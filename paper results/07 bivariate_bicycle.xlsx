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rkwebster/Dropbox/QuantumComputing/QEC Projects/distance benchmarking/results 20251223/"/>
    </mc:Choice>
  </mc:AlternateContent>
  <xr:revisionPtr revIDLastSave="0" documentId="13_ncr:1_{8B93D48E-DB0D-B946-8696-60C05341B885}" xr6:coauthVersionLast="47" xr6:coauthVersionMax="47" xr10:uidLastSave="{00000000-0000-0000-0000-000000000000}"/>
  <bookViews>
    <workbookView xWindow="140" yWindow="900" windowWidth="14480" windowHeight="17040" xr2:uid="{C3ADB0BE-7A80-7F44-999C-93B5C5D7E48D}"/>
  </bookViews>
  <sheets>
    <sheet name="analysis" sheetId="33" r:id="rId1"/>
    <sheet name="best" sheetId="30" r:id="rId2"/>
    <sheet name="magma" sheetId="26" r:id="rId3"/>
    <sheet name="CLISAT" sheetId="1" r:id="rId4"/>
    <sheet name="CCStim" sheetId="2" r:id="rId5"/>
    <sheet name="bposd" sheetId="3" r:id="rId6"/>
    <sheet name="bposdO8I10" sheetId="24" r:id="rId7"/>
    <sheet name="m4ri_CC-start1" sheetId="4" r:id="rId8"/>
    <sheet name="m4ri_CC" sheetId="28" r:id="rId9"/>
    <sheet name="m4ri_RW" sheetId="5" r:id="rId10"/>
    <sheet name="m4riRW1M" sheetId="32" r:id="rId11"/>
    <sheet name="GEStim" sheetId="6" r:id="rId12"/>
    <sheet name="Gurobi" sheetId="7" r:id="rId13"/>
    <sheet name="MIP-SCIP" sheetId="8" r:id="rId14"/>
    <sheet name="bposd Sens" sheetId="23" r:id="rId15"/>
    <sheet name="bplsd" sheetId="14" r:id="rId16"/>
    <sheet name="bposd-serial" sheetId="15" r:id="rId17"/>
    <sheet name="bposd-order8" sheetId="16" r:id="rId18"/>
    <sheet name="bposd-order0" sheetId="22" r:id="rId19"/>
    <sheet name="bposd-addstabs" sheetId="18" r:id="rId20"/>
    <sheet name="bposd-maxiter0" sheetId="17" r:id="rId21"/>
    <sheet name="bposd-maxiter10" sheetId="19" r:id="rId22"/>
    <sheet name="bposd-maxiter1000" sheetId="20" r:id="rId23"/>
    <sheet name="QDistEvol20251221" sheetId="9" r:id="rId24"/>
    <sheet name="QDistEvol" sheetId="34" r:id="rId25"/>
    <sheet name="QDistRndMW20251221" sheetId="10" r:id="rId26"/>
    <sheet name="QDistRndMW" sheetId="35" r:id="rId27"/>
    <sheet name="QDistRndHL" sheetId="21" r:id="rId28"/>
    <sheet name="UEStim" sheetId="11" r:id="rId29"/>
  </sheets>
  <definedNames>
    <definedName name="_xleta.MATCH" hidden="1">#NAME?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L67" i="33" l="1"/>
  <c r="HI67" i="33"/>
  <c r="HH67" i="33"/>
  <c r="HG67" i="33"/>
  <c r="HF67" i="33"/>
  <c r="HB67" i="33"/>
  <c r="GZ67" i="33"/>
  <c r="HN67" i="33" s="1"/>
  <c r="GY67" i="33"/>
  <c r="HM67" i="33" s="1"/>
  <c r="GX67" i="33"/>
  <c r="GW67" i="33"/>
  <c r="HK67" i="33" s="1"/>
  <c r="GV67" i="33"/>
  <c r="HJ67" i="33" s="1"/>
  <c r="GU67" i="33"/>
  <c r="GT67" i="33"/>
  <c r="GS67" i="33"/>
  <c r="GR67" i="33"/>
  <c r="GQ67" i="33"/>
  <c r="HE67" i="33" s="1"/>
  <c r="GP67" i="33"/>
  <c r="HD67" i="33" s="1"/>
  <c r="GO67" i="33"/>
  <c r="HC67" i="33" s="1"/>
  <c r="FZ67" i="33"/>
  <c r="DN67" i="33"/>
  <c r="DE67" i="33"/>
  <c r="DV67" i="33" s="1"/>
  <c r="EM67" i="33" s="1"/>
  <c r="FD67" i="33" s="1"/>
  <c r="CR67" i="33"/>
  <c r="CF67" i="33"/>
  <c r="CW67" i="33" s="1"/>
  <c r="CD67" i="33"/>
  <c r="CU67" i="33" s="1"/>
  <c r="DL67" i="33" s="1"/>
  <c r="CC67" i="33"/>
  <c r="CT67" i="33" s="1"/>
  <c r="BW67" i="33"/>
  <c r="CN67" i="33" s="1"/>
  <c r="BU67" i="33"/>
  <c r="CL67" i="33" s="1"/>
  <c r="DC67" i="33" s="1"/>
  <c r="DT67" i="33" s="1"/>
  <c r="EK67" i="33" s="1"/>
  <c r="FB67" i="33" s="1"/>
  <c r="BO67" i="33"/>
  <c r="BL67" i="33"/>
  <c r="BJ67" i="33"/>
  <c r="CA67" i="33" s="1"/>
  <c r="BI67" i="33"/>
  <c r="BZ67" i="33" s="1"/>
  <c r="CQ67" i="33" s="1"/>
  <c r="BG67" i="33"/>
  <c r="BX67" i="33" s="1"/>
  <c r="CO67" i="33" s="1"/>
  <c r="DF67" i="33" s="1"/>
  <c r="DW67" i="33" s="1"/>
  <c r="EN67" i="33" s="1"/>
  <c r="FE67" i="33" s="1"/>
  <c r="BE67" i="33"/>
  <c r="BV67" i="33" s="1"/>
  <c r="CM67" i="33" s="1"/>
  <c r="DD67" i="33" s="1"/>
  <c r="DU67" i="33" s="1"/>
  <c r="EL67" i="33" s="1"/>
  <c r="FC67" i="33" s="1"/>
  <c r="BD67" i="33"/>
  <c r="AZ67" i="33"/>
  <c r="AX67" i="33"/>
  <c r="AW67" i="33"/>
  <c r="AQ67" i="33"/>
  <c r="AP67" i="33"/>
  <c r="AY67" i="33" s="1"/>
  <c r="AO67" i="33"/>
  <c r="AN67" i="33"/>
  <c r="AM67" i="33"/>
  <c r="AV67" i="33" s="1"/>
  <c r="AG67" i="33"/>
  <c r="AF67" i="33"/>
  <c r="BN67" i="33" s="1"/>
  <c r="CE67" i="33" s="1"/>
  <c r="CV67" i="33" s="1"/>
  <c r="DM67" i="33" s="1"/>
  <c r="AE67" i="33"/>
  <c r="BM67" i="33" s="1"/>
  <c r="AD67" i="33"/>
  <c r="AC67" i="33"/>
  <c r="BK67" i="33" s="1"/>
  <c r="AB67" i="33"/>
  <c r="AA67" i="33"/>
  <c r="Z67" i="33"/>
  <c r="BH67" i="33" s="1"/>
  <c r="BY67" i="33" s="1"/>
  <c r="CP67" i="33" s="1"/>
  <c r="DG67" i="33" s="1"/>
  <c r="DX67" i="33" s="1"/>
  <c r="EO67" i="33" s="1"/>
  <c r="FF67" i="33" s="1"/>
  <c r="Y67" i="33"/>
  <c r="X67" i="33"/>
  <c r="BF67" i="33" s="1"/>
  <c r="W67" i="33"/>
  <c r="V67" i="33"/>
  <c r="FT66" i="33"/>
  <c r="FT65" i="33"/>
  <c r="A55" i="33"/>
  <c r="M54" i="33"/>
  <c r="A54" i="33"/>
  <c r="M53" i="33"/>
  <c r="A53" i="33"/>
  <c r="M52" i="33"/>
  <c r="A52" i="33"/>
  <c r="M51" i="33"/>
  <c r="A51" i="33"/>
  <c r="M50" i="33"/>
  <c r="A50" i="33"/>
  <c r="M49" i="33"/>
  <c r="A49" i="33"/>
  <c r="M48" i="33"/>
  <c r="A48" i="33"/>
  <c r="M47" i="33"/>
  <c r="A47" i="33"/>
  <c r="M46" i="33"/>
  <c r="A46" i="33"/>
  <c r="R45" i="33"/>
  <c r="Q45" i="33" s="1"/>
  <c r="P45" i="33" s="1"/>
  <c r="O45" i="33" s="1"/>
  <c r="N45" i="33" s="1"/>
  <c r="M45" i="33"/>
  <c r="H45" i="33"/>
  <c r="G45" i="33"/>
  <c r="F45" i="33" s="1"/>
  <c r="E45" i="33" s="1"/>
  <c r="D45" i="33" s="1"/>
  <c r="C45" i="33" s="1"/>
  <c r="B45" i="33" s="1"/>
  <c r="A45" i="33"/>
  <c r="FX38" i="33"/>
  <c r="FX37" i="33"/>
  <c r="FX36" i="33"/>
  <c r="FX35" i="33"/>
  <c r="FX34" i="33"/>
  <c r="U15" i="33"/>
  <c r="N3" i="33"/>
  <c r="A1" i="33" a="1"/>
  <c r="A1" i="33" s="1"/>
  <c r="B64" i="33"/>
  <c r="DH67" i="33" l="1"/>
  <c r="DK67" i="33"/>
  <c r="EE67" i="33"/>
  <c r="CB67" i="33"/>
  <c r="CS67" i="33" s="1"/>
  <c r="DI67" i="33"/>
  <c r="ED67" i="33"/>
  <c r="EC67" i="33"/>
  <c r="N7" i="23"/>
  <c r="L7" i="23"/>
  <c r="K7" i="23"/>
  <c r="E7" i="23"/>
  <c r="G7" i="23"/>
  <c r="I7" i="23"/>
  <c r="D7" i="23"/>
  <c r="C7" i="23"/>
  <c r="B7" i="23"/>
  <c r="W16" i="23"/>
  <c r="W15" i="23"/>
  <c r="W14" i="23"/>
  <c r="W13" i="23"/>
  <c r="W12" i="23"/>
  <c r="W11" i="23"/>
  <c r="W10" i="23"/>
  <c r="W9" i="23"/>
  <c r="W8" i="23"/>
  <c r="W7" i="23"/>
  <c r="AA25" i="23"/>
  <c r="AO25" i="23" s="1"/>
  <c r="BC25" i="23" s="1"/>
  <c r="BQ25" i="23" s="1"/>
  <c r="CE25" i="23" s="1"/>
  <c r="CS25" i="23" s="1"/>
  <c r="DG25" i="23" s="1"/>
  <c r="DU25" i="23" s="1"/>
  <c r="Z25" i="23"/>
  <c r="AN25" i="23" s="1"/>
  <c r="BB25" i="23" s="1"/>
  <c r="BP25" i="23" s="1"/>
  <c r="CD25" i="23" s="1"/>
  <c r="CR25" i="23" s="1"/>
  <c r="DF25" i="23" s="1"/>
  <c r="DT25" i="23" s="1"/>
  <c r="Y25" i="23"/>
  <c r="AM25" i="23" s="1"/>
  <c r="BA25" i="23" s="1"/>
  <c r="BO25" i="23" s="1"/>
  <c r="CC25" i="23" s="1"/>
  <c r="CQ25" i="23" s="1"/>
  <c r="DE25" i="23" s="1"/>
  <c r="DS25" i="23" s="1"/>
  <c r="X25" i="23"/>
  <c r="AL25" i="23" s="1"/>
  <c r="AZ25" i="23" s="1"/>
  <c r="BN25" i="23" s="1"/>
  <c r="CB25" i="23" s="1"/>
  <c r="CP25" i="23" s="1"/>
  <c r="DD25" i="23" s="1"/>
  <c r="DR25" i="23" s="1"/>
  <c r="W25" i="23"/>
  <c r="AK25" i="23" s="1"/>
  <c r="AY25" i="23" s="1"/>
  <c r="BM25" i="23" s="1"/>
  <c r="CA25" i="23" s="1"/>
  <c r="CO25" i="23" s="1"/>
  <c r="DC25" i="23" s="1"/>
  <c r="DQ25" i="23" s="1"/>
  <c r="V25" i="23"/>
  <c r="AJ25" i="23" s="1"/>
  <c r="AX25" i="23" s="1"/>
  <c r="BL25" i="23" s="1"/>
  <c r="BZ25" i="23" s="1"/>
  <c r="CN25" i="23" s="1"/>
  <c r="DB25" i="23" s="1"/>
  <c r="DP25" i="23" s="1"/>
  <c r="U25" i="23"/>
  <c r="AI25" i="23" s="1"/>
  <c r="AW25" i="23" s="1"/>
  <c r="BK25" i="23" s="1"/>
  <c r="BY25" i="23" s="1"/>
  <c r="CM25" i="23" s="1"/>
  <c r="DA25" i="23" s="1"/>
  <c r="DO25" i="23" s="1"/>
  <c r="T25" i="23"/>
  <c r="AH25" i="23" s="1"/>
  <c r="AV25" i="23" s="1"/>
  <c r="BJ25" i="23" s="1"/>
  <c r="BX25" i="23" s="1"/>
  <c r="CL25" i="23" s="1"/>
  <c r="CZ25" i="23" s="1"/>
  <c r="DN25" i="23" s="1"/>
  <c r="S25" i="23"/>
  <c r="AG25" i="23" s="1"/>
  <c r="AU25" i="23" s="1"/>
  <c r="BI25" i="23" s="1"/>
  <c r="BW25" i="23" s="1"/>
  <c r="CK25" i="23" s="1"/>
  <c r="CY25" i="23" s="1"/>
  <c r="DM25" i="23" s="1"/>
  <c r="Q25" i="23"/>
  <c r="AE25" i="23" s="1"/>
  <c r="P25" i="23"/>
  <c r="AD25" i="23" s="1"/>
  <c r="B84" i="33" a="1"/>
  <c r="B68" i="33" a="1"/>
  <c r="B77" i="33" a="1"/>
  <c r="B86" i="33" a="1"/>
  <c r="A82" i="33" a="1"/>
  <c r="A87" i="33" a="1"/>
  <c r="B71" i="33" a="1"/>
  <c r="B79" i="33" a="1"/>
  <c r="A83" i="33" a="1"/>
  <c r="B70" i="33" a="1"/>
  <c r="B69" i="33" a="1"/>
  <c r="B76" i="33" a="1"/>
  <c r="A74" i="33" a="1"/>
  <c r="B83" i="33" a="1"/>
  <c r="A75" i="33" a="1"/>
  <c r="B75" i="33" a="1"/>
  <c r="A68" i="33" a="1"/>
  <c r="B82" i="33" a="1"/>
  <c r="B80" i="33" a="1"/>
  <c r="A79" i="33" a="1"/>
  <c r="B85" i="33" a="1"/>
  <c r="B73" i="33" a="1"/>
  <c r="A81" i="33" a="1"/>
  <c r="A85" i="33" a="1"/>
  <c r="A73" i="33" a="1"/>
  <c r="B78" i="33" a="1"/>
  <c r="A76" i="33" a="1"/>
  <c r="A72" i="33" a="1"/>
  <c r="A84" i="33" a="1"/>
  <c r="A70" i="33" a="1"/>
  <c r="A86" i="33" a="1"/>
  <c r="B87" i="33" a="1"/>
  <c r="B72" i="33" a="1"/>
  <c r="A69" i="33" a="1"/>
  <c r="A77" i="33" a="1"/>
  <c r="A71" i="33" a="1"/>
  <c r="A78" i="33" a="1"/>
  <c r="B81" i="33" a="1"/>
  <c r="B74" i="33" a="1"/>
  <c r="A80" i="33" a="1"/>
  <c r="A71" i="33" l="1"/>
  <c r="A75" i="33"/>
  <c r="B68" i="33"/>
  <c r="A77" i="33"/>
  <c r="B72" i="33"/>
  <c r="B80" i="33"/>
  <c r="B73" i="33"/>
  <c r="A82" i="33"/>
  <c r="B78" i="33"/>
  <c r="A85" i="33"/>
  <c r="A81" i="33"/>
  <c r="B82" i="33"/>
  <c r="A72" i="33"/>
  <c r="A76" i="33"/>
  <c r="A69" i="33"/>
  <c r="A83" i="33"/>
  <c r="B75" i="33"/>
  <c r="B83" i="33"/>
  <c r="B69" i="33"/>
  <c r="A84" i="33"/>
  <c r="B79" i="33"/>
  <c r="A73" i="33"/>
  <c r="B87" i="33"/>
  <c r="A68" i="33"/>
  <c r="A78" i="33"/>
  <c r="A87" i="33"/>
  <c r="B76" i="33"/>
  <c r="B84" i="33"/>
  <c r="B70" i="33"/>
  <c r="B85" i="33"/>
  <c r="B71" i="33"/>
  <c r="A79" i="33"/>
  <c r="B81" i="33"/>
  <c r="A74" i="33"/>
  <c r="B74" i="33"/>
  <c r="A80" i="33"/>
  <c r="A70" i="33"/>
  <c r="B77" i="33"/>
  <c r="A86" i="33"/>
  <c r="B86" i="33"/>
  <c r="DY67" i="33"/>
  <c r="EP67" i="33" s="1"/>
  <c r="FG67" i="33" s="1"/>
  <c r="DJ67" i="33"/>
  <c r="EU67" i="33"/>
  <c r="FL67" i="33" s="1"/>
  <c r="ET67" i="33"/>
  <c r="FK67" i="33" s="1"/>
  <c r="EV67" i="33"/>
  <c r="FM67" i="33" s="1"/>
  <c r="EB67" i="33"/>
  <c r="DZ67" i="33"/>
  <c r="A26" i="23"/>
  <c r="A40" i="23"/>
  <c r="A32" i="23"/>
  <c r="A38" i="23"/>
  <c r="A36" i="23"/>
  <c r="A43" i="23"/>
  <c r="A44" i="23"/>
  <c r="A45" i="23"/>
  <c r="A31" i="23"/>
  <c r="A33" i="23"/>
  <c r="A35" i="23"/>
  <c r="A42" i="23"/>
  <c r="A28" i="23"/>
  <c r="A39" i="23"/>
  <c r="A41" i="23"/>
  <c r="A27" i="23"/>
  <c r="A34" i="23"/>
  <c r="A29" i="23"/>
  <c r="A37" i="23"/>
  <c r="A30" i="23"/>
  <c r="B42" i="23"/>
  <c r="B35" i="23"/>
  <c r="B34" i="23"/>
  <c r="B36" i="23"/>
  <c r="B33" i="23"/>
  <c r="B37" i="23"/>
  <c r="B32" i="23"/>
  <c r="B39" i="23"/>
  <c r="B30" i="23"/>
  <c r="B40" i="23"/>
  <c r="B38" i="23"/>
  <c r="B41" i="23"/>
  <c r="B27" i="23"/>
  <c r="B43" i="23"/>
  <c r="B44" i="23"/>
  <c r="B29" i="23"/>
  <c r="B45" i="23"/>
  <c r="B31" i="23"/>
  <c r="B28" i="23"/>
  <c r="B26" i="23"/>
  <c r="H30" i="23"/>
  <c r="L38" i="23"/>
  <c r="G27" i="23"/>
  <c r="H45" i="23"/>
  <c r="F29" i="23"/>
  <c r="F28" i="23"/>
  <c r="G42" i="23"/>
  <c r="K35" i="23"/>
  <c r="G44" i="23"/>
  <c r="M40" i="23"/>
  <c r="H29" i="23"/>
  <c r="M35" i="23"/>
  <c r="I43" i="23"/>
  <c r="F45" i="23"/>
  <c r="H38" i="23"/>
  <c r="I35" i="23"/>
  <c r="M29" i="23"/>
  <c r="E45" i="23"/>
  <c r="E33" i="23"/>
  <c r="L41" i="23"/>
  <c r="J36" i="23"/>
  <c r="F43" i="23"/>
  <c r="K45" i="23"/>
  <c r="J29" i="23"/>
  <c r="I44" i="23"/>
  <c r="G37" i="23"/>
  <c r="F36" i="23"/>
  <c r="G38" i="23"/>
  <c r="H36" i="23"/>
  <c r="L35" i="23"/>
  <c r="I36" i="23"/>
  <c r="L30" i="23"/>
  <c r="I42" i="23"/>
  <c r="J39" i="23"/>
  <c r="J41" i="23"/>
  <c r="I33" i="23"/>
  <c r="J27" i="23"/>
  <c r="M34" i="23"/>
  <c r="H28" i="23"/>
  <c r="K41" i="23"/>
  <c r="K33" i="23"/>
  <c r="J31" i="23"/>
  <c r="M37" i="23"/>
  <c r="F41" i="23"/>
  <c r="M28" i="23"/>
  <c r="I31" i="23"/>
  <c r="F38" i="23"/>
  <c r="J42" i="23"/>
  <c r="K26" i="23"/>
  <c r="L26" i="23"/>
  <c r="E44" i="23"/>
  <c r="F37" i="23"/>
  <c r="I45" i="23"/>
  <c r="G36" i="23"/>
  <c r="M30" i="23"/>
  <c r="G35" i="23"/>
  <c r="I26" i="23"/>
  <c r="I34" i="23"/>
  <c r="F40" i="23"/>
  <c r="M33" i="23"/>
  <c r="H40" i="23"/>
  <c r="E27" i="23"/>
  <c r="J34" i="23"/>
  <c r="K37" i="23"/>
  <c r="M38" i="23"/>
  <c r="E30" i="23"/>
  <c r="F33" i="23"/>
  <c r="I41" i="23"/>
  <c r="H32" i="23"/>
  <c r="K38" i="23"/>
  <c r="K28" i="23"/>
  <c r="I27" i="23"/>
  <c r="L36" i="23"/>
  <c r="E38" i="23"/>
  <c r="G31" i="23"/>
  <c r="J40" i="23"/>
  <c r="L31" i="23"/>
  <c r="G32" i="23"/>
  <c r="M32" i="23"/>
  <c r="J44" i="23"/>
  <c r="G40" i="23"/>
  <c r="J32" i="23"/>
  <c r="G26" i="23"/>
  <c r="I30" i="23"/>
  <c r="K34" i="23"/>
  <c r="F42" i="23"/>
  <c r="F26" i="23"/>
  <c r="J45" i="23"/>
  <c r="L45" i="23"/>
  <c r="M39" i="23"/>
  <c r="M27" i="23"/>
  <c r="M42" i="23"/>
  <c r="I38" i="23"/>
  <c r="K44" i="23"/>
  <c r="E34" i="23"/>
  <c r="F32" i="23"/>
  <c r="E41" i="23"/>
  <c r="K42" i="23"/>
  <c r="K30" i="23"/>
  <c r="H37" i="23"/>
  <c r="L44" i="23"/>
  <c r="F39" i="23"/>
  <c r="M26" i="23"/>
  <c r="F31" i="23"/>
  <c r="L34" i="23"/>
  <c r="G45" i="23"/>
  <c r="H26" i="23"/>
  <c r="E36" i="23"/>
  <c r="L33" i="23"/>
  <c r="E32" i="23"/>
  <c r="F35" i="23"/>
  <c r="E39" i="23"/>
  <c r="H33" i="23"/>
  <c r="J33" i="23"/>
  <c r="L32" i="23"/>
  <c r="I29" i="23"/>
  <c r="F30" i="23"/>
  <c r="H34" i="23"/>
  <c r="E29" i="23"/>
  <c r="E31" i="23"/>
  <c r="I37" i="23"/>
  <c r="H41" i="23"/>
  <c r="M41" i="23"/>
  <c r="G29" i="23"/>
  <c r="K39" i="23"/>
  <c r="H27" i="23"/>
  <c r="I28" i="23"/>
  <c r="J28" i="23"/>
  <c r="G41" i="23"/>
  <c r="G39" i="23"/>
  <c r="M44" i="23"/>
  <c r="G34" i="23"/>
  <c r="H35" i="23"/>
  <c r="K40" i="23"/>
  <c r="J38" i="23"/>
  <c r="J26" i="23"/>
  <c r="K32" i="23"/>
  <c r="M31" i="23"/>
  <c r="K29" i="23"/>
  <c r="G33" i="23"/>
  <c r="L42" i="23"/>
  <c r="I40" i="23"/>
  <c r="I39" i="23"/>
  <c r="E42" i="23"/>
  <c r="M45" i="23"/>
  <c r="J37" i="23"/>
  <c r="L28" i="23"/>
  <c r="I32" i="23"/>
  <c r="F34" i="23"/>
  <c r="H31" i="23"/>
  <c r="J30" i="23"/>
  <c r="L37" i="23"/>
  <c r="J35" i="23"/>
  <c r="G28" i="23"/>
  <c r="K43" i="23"/>
  <c r="F44" i="23"/>
  <c r="E37" i="23"/>
  <c r="F27" i="23"/>
  <c r="L29" i="23"/>
  <c r="L39" i="23"/>
  <c r="E26" i="23"/>
  <c r="K31" i="23"/>
  <c r="H39" i="23"/>
  <c r="L40" i="23"/>
  <c r="E43" i="23"/>
  <c r="E35" i="23"/>
  <c r="L43" i="23"/>
  <c r="M43" i="23"/>
  <c r="G43" i="23"/>
  <c r="M36" i="23"/>
  <c r="H44" i="23"/>
  <c r="H43" i="23"/>
  <c r="E40" i="23"/>
  <c r="K36" i="23"/>
  <c r="K27" i="23"/>
  <c r="J43" i="23"/>
  <c r="E28" i="23"/>
  <c r="G30" i="23"/>
  <c r="H42" i="23"/>
  <c r="L27" i="23"/>
  <c r="FS71" i="33" l="1"/>
  <c r="GN71" i="33"/>
  <c r="FS70" i="33"/>
  <c r="GN70" i="33"/>
  <c r="FS76" i="33"/>
  <c r="GN76" i="33"/>
  <c r="GN87" i="33"/>
  <c r="FS87" i="33"/>
  <c r="ES67" i="33"/>
  <c r="FJ67" i="33" s="1"/>
  <c r="EA67" i="33"/>
  <c r="GN85" i="33"/>
  <c r="FS85" i="33"/>
  <c r="FS78" i="33"/>
  <c r="GN78" i="33"/>
  <c r="GN68" i="33"/>
  <c r="FS68" i="33"/>
  <c r="D3" i="33"/>
  <c r="N4" i="33" s="1"/>
  <c r="F3" i="33"/>
  <c r="GN86" i="33"/>
  <c r="FS86" i="33"/>
  <c r="FS83" i="33"/>
  <c r="GN83" i="33"/>
  <c r="FS73" i="33"/>
  <c r="GN73" i="33"/>
  <c r="FS74" i="33"/>
  <c r="GN74" i="33"/>
  <c r="FS81" i="33"/>
  <c r="GN81" i="33"/>
  <c r="FS79" i="33"/>
  <c r="GN79" i="33"/>
  <c r="FS69" i="33"/>
  <c r="GN69" i="33"/>
  <c r="FS75" i="33"/>
  <c r="GN75" i="33"/>
  <c r="FS82" i="33"/>
  <c r="GN82" i="33"/>
  <c r="FS80" i="33"/>
  <c r="GN80" i="33"/>
  <c r="EQ67" i="33"/>
  <c r="FH67" i="33" s="1"/>
  <c r="FS77" i="33"/>
  <c r="GN77" i="33"/>
  <c r="GN84" i="33"/>
  <c r="FS84" i="33"/>
  <c r="GN72" i="33"/>
  <c r="FS72" i="33"/>
  <c r="C35" i="23"/>
  <c r="C32" i="23"/>
  <c r="C33" i="23"/>
  <c r="C36" i="23"/>
  <c r="C34" i="23"/>
  <c r="C27" i="23"/>
  <c r="G80" i="33"/>
  <c r="E77" i="33"/>
  <c r="I71" i="33"/>
  <c r="M69" i="33"/>
  <c r="J77" i="33"/>
  <c r="E76" i="33"/>
  <c r="K69" i="33"/>
  <c r="F79" i="33"/>
  <c r="N73" i="33"/>
  <c r="E68" i="33"/>
  <c r="F77" i="33"/>
  <c r="O79" i="33"/>
  <c r="H79" i="33"/>
  <c r="G81" i="33"/>
  <c r="H70" i="33"/>
  <c r="N84" i="33"/>
  <c r="J73" i="33"/>
  <c r="P76" i="33"/>
  <c r="N68" i="33"/>
  <c r="G71" i="33"/>
  <c r="J74" i="33"/>
  <c r="H76" i="33"/>
  <c r="M82" i="33"/>
  <c r="L82" i="33"/>
  <c r="F73" i="33"/>
  <c r="H82" i="33"/>
  <c r="E79" i="33"/>
  <c r="P83" i="33"/>
  <c r="M76" i="33"/>
  <c r="J78" i="33"/>
  <c r="K72" i="33"/>
  <c r="L85" i="33"/>
  <c r="F72" i="33"/>
  <c r="I79" i="33"/>
  <c r="G74" i="33"/>
  <c r="L68" i="33"/>
  <c r="K75" i="33"/>
  <c r="N69" i="33"/>
  <c r="G83" i="33"/>
  <c r="N79" i="33"/>
  <c r="L80" i="33"/>
  <c r="J86" i="33"/>
  <c r="O74" i="33"/>
  <c r="F74" i="33"/>
  <c r="G79" i="33"/>
  <c r="H83" i="33"/>
  <c r="L86" i="33"/>
  <c r="J84" i="33"/>
  <c r="J68" i="33"/>
  <c r="P84" i="33"/>
  <c r="N75" i="33"/>
  <c r="P81" i="33"/>
  <c r="E84" i="33"/>
  <c r="J82" i="33"/>
  <c r="H85" i="33"/>
  <c r="E86" i="33"/>
  <c r="M75" i="33"/>
  <c r="F84" i="33"/>
  <c r="F80" i="33"/>
  <c r="K81" i="33"/>
  <c r="H74" i="33"/>
  <c r="P79" i="33"/>
  <c r="E82" i="33"/>
  <c r="M72" i="33"/>
  <c r="O76" i="33"/>
  <c r="O78" i="33"/>
  <c r="F85" i="33"/>
  <c r="N87" i="33"/>
  <c r="H68" i="33"/>
  <c r="N83" i="33"/>
  <c r="M85" i="33"/>
  <c r="P72" i="33"/>
  <c r="O73" i="33"/>
  <c r="L84" i="33"/>
  <c r="O71" i="33"/>
  <c r="H81" i="33"/>
  <c r="I81" i="33"/>
  <c r="I73" i="33"/>
  <c r="E75" i="33"/>
  <c r="K85" i="33"/>
  <c r="L78" i="33"/>
  <c r="L74" i="33"/>
  <c r="K82" i="33"/>
  <c r="O68" i="33"/>
  <c r="H84" i="33"/>
  <c r="K73" i="33"/>
  <c r="P71" i="33"/>
  <c r="N74" i="33"/>
  <c r="I82" i="33"/>
  <c r="N80" i="33"/>
  <c r="P69" i="33"/>
  <c r="N77" i="33"/>
  <c r="L69" i="33"/>
  <c r="M78" i="33"/>
  <c r="J75" i="33"/>
  <c r="L77" i="33"/>
  <c r="H86" i="33"/>
  <c r="I87" i="33"/>
  <c r="E80" i="33"/>
  <c r="J76" i="33"/>
  <c r="G69" i="33"/>
  <c r="F81" i="33"/>
  <c r="O86" i="33"/>
  <c r="I76" i="33"/>
  <c r="F83" i="33"/>
  <c r="H72" i="33"/>
  <c r="L70" i="33"/>
  <c r="O72" i="33"/>
  <c r="P77" i="33"/>
  <c r="F82" i="33"/>
  <c r="G75" i="33"/>
  <c r="F71" i="33"/>
  <c r="N82" i="33"/>
  <c r="O80" i="33"/>
  <c r="K70" i="33"/>
  <c r="I69" i="33"/>
  <c r="H73" i="33"/>
  <c r="N81" i="33"/>
  <c r="H77" i="33"/>
  <c r="K79" i="33"/>
  <c r="K78" i="33"/>
  <c r="K83" i="33"/>
  <c r="H78" i="33"/>
  <c r="O87" i="33"/>
  <c r="E85" i="33"/>
  <c r="M86" i="33"/>
  <c r="L75" i="33"/>
  <c r="G84" i="33"/>
  <c r="H75" i="33"/>
  <c r="L83" i="33"/>
  <c r="J72" i="33"/>
  <c r="M80" i="33"/>
  <c r="E70" i="33"/>
  <c r="M74" i="33"/>
  <c r="L79" i="33"/>
  <c r="O82" i="33"/>
  <c r="I83" i="33"/>
  <c r="M79" i="33"/>
  <c r="I86" i="33"/>
  <c r="G87" i="33"/>
  <c r="K77" i="33"/>
  <c r="G82" i="33"/>
  <c r="F86" i="33"/>
  <c r="E87" i="33"/>
  <c r="G78" i="33"/>
  <c r="P78" i="33"/>
  <c r="E81" i="33"/>
  <c r="K76" i="33"/>
  <c r="H71" i="33"/>
  <c r="H87" i="33"/>
  <c r="P73" i="33"/>
  <c r="N85" i="33"/>
  <c r="M70" i="33"/>
  <c r="I72" i="33"/>
  <c r="F87" i="33"/>
  <c r="H69" i="33"/>
  <c r="I70" i="33"/>
  <c r="I80" i="33"/>
  <c r="K74" i="33"/>
  <c r="L72" i="33"/>
  <c r="J69" i="33"/>
  <c r="J80" i="33"/>
  <c r="K80" i="33"/>
  <c r="O84" i="33"/>
  <c r="G68" i="33"/>
  <c r="O85" i="33"/>
  <c r="J87" i="33"/>
  <c r="E74" i="33"/>
  <c r="K84" i="33"/>
  <c r="L87" i="33"/>
  <c r="M87" i="33"/>
  <c r="I74" i="33"/>
  <c r="E83" i="33"/>
  <c r="J79" i="33"/>
  <c r="O75" i="33"/>
  <c r="N71" i="33"/>
  <c r="N86" i="33"/>
  <c r="E78" i="33"/>
  <c r="F76" i="33"/>
  <c r="G76" i="33"/>
  <c r="I68" i="33"/>
  <c r="P68" i="33"/>
  <c r="M68" i="33"/>
  <c r="F68" i="33"/>
  <c r="K87" i="33"/>
  <c r="M81" i="33"/>
  <c r="K71" i="33"/>
  <c r="P74" i="33"/>
  <c r="G85" i="33"/>
  <c r="O70" i="33"/>
  <c r="P70" i="33"/>
  <c r="G70" i="33"/>
  <c r="E69" i="33"/>
  <c r="G77" i="33"/>
  <c r="P85" i="33"/>
  <c r="I75" i="33"/>
  <c r="M77" i="33"/>
  <c r="I84" i="33"/>
  <c r="M71" i="33"/>
  <c r="O69" i="33"/>
  <c r="K86" i="33"/>
  <c r="M84" i="33"/>
  <c r="M73" i="33"/>
  <c r="G73" i="33"/>
  <c r="P75" i="33"/>
  <c r="N70" i="33"/>
  <c r="G72" i="33"/>
  <c r="F75" i="33"/>
  <c r="H80" i="33"/>
  <c r="E73" i="33"/>
  <c r="P87" i="33"/>
  <c r="J83" i="33"/>
  <c r="O81" i="33"/>
  <c r="L71" i="33"/>
  <c r="N72" i="33"/>
  <c r="L73" i="33"/>
  <c r="F78" i="33"/>
  <c r="P82" i="33"/>
  <c r="I77" i="33"/>
  <c r="E71" i="33"/>
  <c r="J81" i="33"/>
  <c r="P80" i="33"/>
  <c r="I85" i="33"/>
  <c r="F69" i="33"/>
  <c r="K68" i="33"/>
  <c r="I78" i="33"/>
  <c r="E72" i="33"/>
  <c r="F70" i="33"/>
  <c r="O77" i="33"/>
  <c r="P86" i="33"/>
  <c r="N78" i="33"/>
  <c r="J71" i="33"/>
  <c r="L76" i="33"/>
  <c r="M83" i="33"/>
  <c r="O83" i="33"/>
  <c r="J85" i="33"/>
  <c r="G86" i="33"/>
  <c r="J70" i="33"/>
  <c r="L81" i="33"/>
  <c r="N76" i="33"/>
  <c r="FM79" i="33" l="1" a="1"/>
  <c r="FM79" i="33" s="1"/>
  <c r="HN79" i="33" s="1"/>
  <c r="EV79" i="33" a="1"/>
  <c r="EV79" i="33" s="1"/>
  <c r="AG79" i="33" a="1"/>
  <c r="AG79" i="33" s="1"/>
  <c r="BO79" i="33" s="1"/>
  <c r="DN79" i="33" a="1"/>
  <c r="DN79" i="33" s="1"/>
  <c r="FM87" i="33" a="1"/>
  <c r="FM87" i="33" s="1"/>
  <c r="HN87" i="33" s="1"/>
  <c r="AG87" i="33" a="1"/>
  <c r="AG87" i="33" s="1"/>
  <c r="BO87" i="33" s="1"/>
  <c r="DN87" i="33" a="1"/>
  <c r="DN87" i="33" s="1"/>
  <c r="EV87" i="33" a="1"/>
  <c r="EV87" i="33" s="1"/>
  <c r="FM84" i="33" a="1"/>
  <c r="FM84" i="33" s="1"/>
  <c r="HN84" i="33" s="1"/>
  <c r="AG84" i="33" a="1"/>
  <c r="AG84" i="33" s="1"/>
  <c r="BO84" i="33" s="1"/>
  <c r="DN84" i="33" a="1"/>
  <c r="DN84" i="33" s="1"/>
  <c r="EV84" i="33" a="1"/>
  <c r="EV84" i="33" s="1"/>
  <c r="FM78" i="33" a="1"/>
  <c r="FM78" i="33" s="1"/>
  <c r="HN78" i="33" s="1"/>
  <c r="EV78" i="33" a="1"/>
  <c r="EV78" i="33" s="1"/>
  <c r="DN78" i="33" a="1"/>
  <c r="DN78" i="33" s="1"/>
  <c r="AG78" i="33" a="1"/>
  <c r="AG78" i="33" s="1"/>
  <c r="BO78" i="33" s="1"/>
  <c r="FM74" i="33" a="1"/>
  <c r="FM74" i="33" s="1"/>
  <c r="HN74" i="33" s="1"/>
  <c r="EV74" i="33" a="1"/>
  <c r="EV74" i="33" s="1"/>
  <c r="DN74" i="33" a="1"/>
  <c r="DN74" i="33" s="1"/>
  <c r="AG74" i="33" a="1"/>
  <c r="AG74" i="33" s="1"/>
  <c r="BO74" i="33" s="1"/>
  <c r="FM80" i="33" a="1"/>
  <c r="FM80" i="33" s="1"/>
  <c r="HN80" i="33" s="1"/>
  <c r="EV80" i="33" a="1"/>
  <c r="EV80" i="33" s="1"/>
  <c r="DN80" i="33" a="1"/>
  <c r="DN80" i="33" s="1"/>
  <c r="AG80" i="33" a="1"/>
  <c r="AG80" i="33" s="1"/>
  <c r="BO80" i="33" s="1"/>
  <c r="FM83" i="33" a="1"/>
  <c r="FM83" i="33" s="1"/>
  <c r="HN83" i="33" s="1"/>
  <c r="EV83" i="33" a="1"/>
  <c r="EV83" i="33" s="1"/>
  <c r="AG83" i="33" a="1"/>
  <c r="AG83" i="33" s="1"/>
  <c r="BO83" i="33" s="1"/>
  <c r="DN83" i="33" a="1"/>
  <c r="DN83" i="33" s="1"/>
  <c r="FM81" i="33" a="1"/>
  <c r="FM81" i="33" s="1"/>
  <c r="HN81" i="33" s="1"/>
  <c r="EV81" i="33" a="1"/>
  <c r="EV81" i="33" s="1"/>
  <c r="AG81" i="33" a="1"/>
  <c r="AG81" i="33" s="1"/>
  <c r="BO81" i="33" s="1"/>
  <c r="DN81" i="33" a="1"/>
  <c r="DN81" i="33" s="1"/>
  <c r="AG86" i="33" a="1"/>
  <c r="AG86" i="33" s="1"/>
  <c r="BO86" i="33" s="1"/>
  <c r="DN86" i="33" a="1"/>
  <c r="DN86" i="33" s="1"/>
  <c r="EV86" i="33" a="1"/>
  <c r="EV86" i="33" s="1"/>
  <c r="FM86" i="33" a="1"/>
  <c r="FM86" i="33" s="1"/>
  <c r="HN86" i="33" s="1"/>
  <c r="EV85" i="33" a="1"/>
  <c r="EV85" i="33" s="1"/>
  <c r="FM85" i="33" a="1"/>
  <c r="FM85" i="33" s="1"/>
  <c r="HN85" i="33" s="1"/>
  <c r="DN85" i="33" a="1"/>
  <c r="DN85" i="33" s="1"/>
  <c r="AG85" i="33" a="1"/>
  <c r="AG85" i="33" s="1"/>
  <c r="BO85" i="33" s="1"/>
  <c r="FM82" i="33" a="1"/>
  <c r="FM82" i="33" s="1"/>
  <c r="HN82" i="33" s="1"/>
  <c r="EV82" i="33" a="1"/>
  <c r="EV82" i="33" s="1"/>
  <c r="DN82" i="33" a="1"/>
  <c r="DN82" i="33" s="1"/>
  <c r="AG82" i="33" a="1"/>
  <c r="AG82" i="33" s="1"/>
  <c r="BO82" i="33" s="1"/>
  <c r="FM77" i="33" a="1"/>
  <c r="FM77" i="33" s="1"/>
  <c r="HN77" i="33" s="1"/>
  <c r="EV77" i="33" a="1"/>
  <c r="EV77" i="33" s="1"/>
  <c r="AG77" i="33" a="1"/>
  <c r="AG77" i="33" s="1"/>
  <c r="BO77" i="33" s="1"/>
  <c r="DN77" i="33" a="1"/>
  <c r="DN77" i="33" s="1"/>
  <c r="FZ85" i="33"/>
  <c r="HB85" i="33"/>
  <c r="HB70" i="33"/>
  <c r="FZ70" i="33"/>
  <c r="HB74" i="33"/>
  <c r="FZ74" i="33"/>
  <c r="HB82" i="33"/>
  <c r="FZ82" i="33"/>
  <c r="HB71" i="33"/>
  <c r="FZ71" i="33"/>
  <c r="FZ84" i="33"/>
  <c r="HB84" i="33"/>
  <c r="HB75" i="33"/>
  <c r="FZ75" i="33"/>
  <c r="FZ69" i="33"/>
  <c r="HB69" i="33"/>
  <c r="HB80" i="33"/>
  <c r="FZ80" i="33"/>
  <c r="HB86" i="33"/>
  <c r="FZ86" i="33"/>
  <c r="HB79" i="33"/>
  <c r="FZ79" i="33"/>
  <c r="HB81" i="33"/>
  <c r="FZ81" i="33"/>
  <c r="P4" i="33"/>
  <c r="HB77" i="33"/>
  <c r="FZ77" i="33"/>
  <c r="HB68" i="33"/>
  <c r="FZ68" i="33"/>
  <c r="HB76" i="33"/>
  <c r="FZ76" i="33"/>
  <c r="HB73" i="33"/>
  <c r="FZ73" i="33"/>
  <c r="ER67" i="33"/>
  <c r="FZ72" i="33"/>
  <c r="HB72" i="33"/>
  <c r="HB83" i="33"/>
  <c r="FZ83" i="33"/>
  <c r="HB78" i="33"/>
  <c r="FZ78" i="33"/>
  <c r="FZ87" i="33"/>
  <c r="HB87" i="33"/>
  <c r="C31" i="23"/>
  <c r="C40" i="23"/>
  <c r="C41" i="23"/>
  <c r="C30" i="23"/>
  <c r="C39" i="23"/>
  <c r="C45" i="23"/>
  <c r="C29" i="23"/>
  <c r="C42" i="23"/>
  <c r="C44" i="23"/>
  <c r="C38" i="23"/>
  <c r="C43" i="23"/>
  <c r="C26" i="23"/>
  <c r="C28" i="23"/>
  <c r="C37" i="23"/>
  <c r="FE82" i="33" a="1"/>
  <c r="Z81" i="33" a="1"/>
  <c r="DM82" i="33" a="1"/>
  <c r="AD82" i="33" a="1"/>
  <c r="FD74" i="33" a="1"/>
  <c r="FF73" i="33" a="1"/>
  <c r="DD85" i="33" a="1"/>
  <c r="V85" i="33" a="1"/>
  <c r="DM68" i="33" a="1"/>
  <c r="FF84" i="33" a="1"/>
  <c r="DJ81" i="33" a="1"/>
  <c r="DE77" i="33" a="1"/>
  <c r="W68" i="33" a="1"/>
  <c r="AG68" i="33" a="1"/>
  <c r="DC74" i="33" a="1"/>
  <c r="FL71" i="33" a="1"/>
  <c r="AB74" i="33" a="1"/>
  <c r="DM78" i="33" a="1"/>
  <c r="DM87" i="33" a="1"/>
  <c r="AE73" i="33" a="1"/>
  <c r="AF75" i="33" a="1"/>
  <c r="AA70" i="33" a="1"/>
  <c r="DF69" i="33" a="1"/>
  <c r="DK68" i="33" a="1"/>
  <c r="DL83" i="33" a="1"/>
  <c r="FF69" i="33" a="1"/>
  <c r="DL80" i="33" a="1"/>
  <c r="FB73" i="33" a="1"/>
  <c r="W69" i="33" a="1"/>
  <c r="AE83" i="33" a="1"/>
  <c r="FK76" i="33" a="1"/>
  <c r="DG79" i="33" a="1"/>
  <c r="AF85" i="33" a="1"/>
  <c r="FH75" i="33" a="1"/>
  <c r="DN72" i="33" a="1"/>
  <c r="FG82" i="33" a="1"/>
  <c r="Y81" i="33" a="1"/>
  <c r="AG70" i="33" a="1"/>
  <c r="DF72" i="33" a="1"/>
  <c r="FK77" i="33" a="1"/>
  <c r="DK76" i="33" a="1"/>
  <c r="DK86" i="33" a="1"/>
  <c r="FL73" i="33" a="1"/>
  <c r="FG68" i="33" a="1"/>
  <c r="DH82" i="33" a="1"/>
  <c r="FF71" i="33" a="1"/>
  <c r="X68" i="33" a="1"/>
  <c r="Y69" i="33" a="1"/>
  <c r="DI84" i="33" a="1"/>
  <c r="FH78" i="33" a="1"/>
  <c r="DL70" i="33" a="1"/>
  <c r="DF77" i="33" a="1"/>
  <c r="V76" i="33" a="1"/>
  <c r="FL86" i="33" a="1"/>
  <c r="AG72" i="33" a="1"/>
  <c r="X73" i="33" a="1"/>
  <c r="DG73" i="33" a="1"/>
  <c r="V69" i="33" a="1"/>
  <c r="FF80" i="33" a="1"/>
  <c r="DD68" i="33" a="1"/>
  <c r="DH86" i="33" a="1"/>
  <c r="DE73" i="33" a="1"/>
  <c r="DK70" i="33" a="1"/>
  <c r="FG87" i="33" a="1"/>
  <c r="FE69" i="33" a="1"/>
  <c r="AC76" i="33" a="1"/>
  <c r="FM72" i="33" a="1"/>
  <c r="Z75" i="33" a="1"/>
  <c r="DM86" i="33" a="1"/>
  <c r="FC78" i="33" a="1"/>
  <c r="DD82" i="33" a="1"/>
  <c r="FE72" i="33" a="1"/>
  <c r="DE72" i="33" a="1"/>
  <c r="Z71" i="33" a="1"/>
  <c r="DK83" i="33" a="1"/>
  <c r="FF78" i="33" a="1"/>
  <c r="AE72" i="33" a="1"/>
  <c r="W80" i="33" a="1"/>
  <c r="AC86" i="33" a="1"/>
  <c r="FL79" i="33" a="1"/>
  <c r="DE71" i="33" a="1"/>
  <c r="DL76" i="33" a="1"/>
  <c r="DD77" i="33" a="1"/>
  <c r="AD72" i="33" a="1"/>
  <c r="FL87" i="33" a="1"/>
  <c r="DE78" i="33" a="1"/>
  <c r="AF83" i="33" a="1"/>
  <c r="Z76" i="33" a="1"/>
  <c r="FB86" i="33" a="1"/>
  <c r="FE70" i="33" a="1"/>
  <c r="Y72" i="33" a="1"/>
  <c r="FD73" i="33" a="1"/>
  <c r="Z85" i="33" a="1"/>
  <c r="AB81" i="33" a="1"/>
  <c r="FD82" i="33" a="1"/>
  <c r="FF76" i="33" a="1"/>
  <c r="FC77" i="33" a="1"/>
  <c r="X78" i="33" a="1"/>
  <c r="FC70" i="33" a="1"/>
  <c r="FF85" i="33" a="1"/>
  <c r="FD79" i="33" a="1"/>
  <c r="DH73" i="33" a="1"/>
  <c r="W75" i="33" a="1"/>
  <c r="FM76" i="33" a="1"/>
  <c r="Z87" i="33" a="1"/>
  <c r="X80" i="33" a="1"/>
  <c r="FD84" i="33" a="1"/>
  <c r="FH85" i="33" a="1"/>
  <c r="AE69" i="33" a="1"/>
  <c r="DL77" i="33" a="1"/>
  <c r="FC84" i="33" a="1"/>
  <c r="DM72" i="33" a="1"/>
  <c r="FC72" i="33" a="1"/>
  <c r="X83" i="33" a="1"/>
  <c r="DI69" i="33" a="1"/>
  <c r="FI74" i="33" a="1"/>
  <c r="FK70" i="33" a="1"/>
  <c r="FL70" i="33" a="1"/>
  <c r="DK82" i="33" a="1"/>
  <c r="AC74" i="33" a="1"/>
  <c r="V73" i="33" a="1"/>
  <c r="Y83" i="33" a="1"/>
  <c r="DH79" i="33" a="1"/>
  <c r="DJ82" i="33" a="1"/>
  <c r="FL82" i="33" a="1"/>
  <c r="AD80" i="33" a="1"/>
  <c r="DG86" i="33" a="1"/>
  <c r="FB76" i="33" a="1"/>
  <c r="Z77" i="33" a="1"/>
  <c r="DF73" i="33" a="1"/>
  <c r="FC75" i="33" a="1"/>
  <c r="DK85" i="33" a="1"/>
  <c r="DM81" i="33" a="1"/>
  <c r="DC76" i="33" a="1"/>
  <c r="DF71" i="33" a="1"/>
  <c r="W71" i="33" a="1"/>
  <c r="FM70" i="33" a="1"/>
  <c r="FD86" i="33" a="1"/>
  <c r="Z78" i="33" a="1"/>
  <c r="AD73" i="33" a="1"/>
  <c r="AB80" i="33" a="1"/>
  <c r="X72" i="33" a="1"/>
  <c r="FH69" i="33" a="1"/>
  <c r="DK75" i="33" a="1"/>
  <c r="FC74" i="33" a="1"/>
  <c r="DE75" i="33" a="1"/>
  <c r="FK85" i="33" a="1"/>
  <c r="FL80" i="33" a="1"/>
  <c r="DJ84" i="33" a="1"/>
  <c r="FH81" i="33" a="1"/>
  <c r="AA79" i="33" a="1"/>
  <c r="DG68" i="33" a="1"/>
  <c r="AC84" i="33" a="1"/>
  <c r="FL69" i="33" a="1"/>
  <c r="DH84" i="33" a="1"/>
  <c r="DN71" i="33" a="1"/>
  <c r="DF78" i="33" a="1"/>
  <c r="Z70" i="33" a="1"/>
  <c r="FL74" i="33" a="1"/>
  <c r="FH80" i="33" a="1"/>
  <c r="DD78" i="33" a="1"/>
  <c r="DJ86" i="33" a="1"/>
  <c r="DD79" i="33" a="1"/>
  <c r="DI70" i="33" a="1"/>
  <c r="DL69" i="33" a="1"/>
  <c r="DG84" i="33" a="1"/>
  <c r="AB82" i="33" a="1"/>
  <c r="FJ85" i="33" a="1"/>
  <c r="AC82" i="33" a="1"/>
  <c r="DH78" i="33" a="1"/>
  <c r="DF68" i="33" a="1"/>
  <c r="FJ84" i="33" a="1"/>
  <c r="DK73" i="33" a="1"/>
  <c r="FD77" i="33" a="1"/>
  <c r="AB73" i="33" a="1"/>
  <c r="FG84" i="33" a="1"/>
  <c r="FF87" i="33" a="1"/>
  <c r="AF74" i="33" a="1"/>
  <c r="AF78" i="33" a="1"/>
  <c r="AD70" i="33" a="1"/>
  <c r="FM73" i="33" a="1"/>
  <c r="FI79" i="33" a="1"/>
  <c r="Z83" i="33" a="1"/>
  <c r="AC72" i="33" a="1"/>
  <c r="DL68" i="33" a="1"/>
  <c r="DJ69" i="33" a="1"/>
  <c r="DK87" i="33" a="1"/>
  <c r="DC73" i="33" a="1"/>
  <c r="FB78" i="33" a="1"/>
  <c r="DF79" i="33" a="1"/>
  <c r="DG71" i="33" a="1"/>
  <c r="AD75" i="33" a="1"/>
  <c r="FE86" i="33" a="1"/>
  <c r="DD69" i="33" a="1"/>
  <c r="DC87" i="33" a="1"/>
  <c r="AA71" i="33" a="1"/>
  <c r="X70" i="33" a="1"/>
  <c r="AF70" i="33" a="1"/>
  <c r="FE73" i="33" a="1"/>
  <c r="DE87" i="33" a="1"/>
  <c r="DK80" i="33" a="1"/>
  <c r="FE78" i="33" a="1"/>
  <c r="FL83" i="33" a="1"/>
  <c r="Z80" i="33" a="1"/>
  <c r="DI86" i="33" a="1"/>
  <c r="AC77" i="33" a="1"/>
  <c r="DL75" i="33" a="1"/>
  <c r="AB68" i="33" a="1"/>
  <c r="DE85" i="33" a="1"/>
  <c r="DK81" i="33" a="1"/>
  <c r="AE71" i="33" a="1"/>
  <c r="Y87" i="33" a="1"/>
  <c r="X79" i="33" a="1"/>
  <c r="DI81" i="33" a="1"/>
  <c r="W83" i="33" a="1"/>
  <c r="DM73" i="33" a="1"/>
  <c r="W82" i="33" a="1"/>
  <c r="FG85" i="33" a="1"/>
  <c r="AF76" i="33" a="1"/>
  <c r="FJ76" i="33" a="1"/>
  <c r="AD87" i="33" a="1"/>
  <c r="DG74" i="33" a="1"/>
  <c r="Y76" i="33" a="1"/>
  <c r="DE84" i="33" a="1"/>
  <c r="DF86" i="33" a="1"/>
  <c r="FD68" i="33" a="1"/>
  <c r="DM77" i="33" a="1"/>
  <c r="FJ87" i="33" a="1"/>
  <c r="DI74" i="33" a="1"/>
  <c r="FG73" i="33" a="1"/>
  <c r="W87" i="33" a="1"/>
  <c r="FG72" i="33" a="1"/>
  <c r="DH76" i="33" a="1"/>
  <c r="DG75" i="33" a="1"/>
  <c r="DC69" i="33" a="1"/>
  <c r="DF85" i="33" a="1"/>
  <c r="DH74" i="33" a="1"/>
  <c r="DC77" i="33" a="1"/>
  <c r="FB75" i="33" a="1"/>
  <c r="Y71" i="33" a="1"/>
  <c r="Y73" i="33" a="1"/>
  <c r="V84" i="33" a="1"/>
  <c r="AA72" i="33" a="1"/>
  <c r="FG71" i="33" a="1"/>
  <c r="AB86" i="33" a="1"/>
  <c r="AG73" i="33" a="1"/>
  <c r="FH79" i="33" a="1"/>
  <c r="AE68" i="33" a="1"/>
  <c r="Y79" i="33" a="1"/>
  <c r="DN69" i="33" a="1"/>
  <c r="AA68" i="33" a="1"/>
  <c r="FJ79" i="33" a="1"/>
  <c r="DE79" i="33" a="1"/>
  <c r="Y78" i="33" a="1"/>
  <c r="DE80" i="33" a="1"/>
  <c r="FB81" i="33" a="1"/>
  <c r="V79" i="33" a="1"/>
  <c r="V68" i="33" a="1"/>
  <c r="AD84" i="33" a="1"/>
  <c r="AF87" i="33" a="1"/>
  <c r="DC72" i="33" a="1"/>
  <c r="FK72" i="33" a="1"/>
  <c r="DE74" i="33" a="1"/>
  <c r="DF74" i="33" a="1"/>
  <c r="AE80" i="33" a="1"/>
  <c r="FG70" i="33" a="1"/>
  <c r="DF80" i="33" a="1"/>
  <c r="FK73" i="33" a="1"/>
  <c r="DH80" i="33" a="1"/>
  <c r="FB68" i="33" a="1"/>
  <c r="Y86" i="33" a="1"/>
  <c r="FB82" i="33" a="1"/>
  <c r="FJ81" i="33" a="1"/>
  <c r="AC78" i="33" a="1"/>
  <c r="AD78" i="33" a="1"/>
  <c r="W78" i="33" a="1"/>
  <c r="AF69" i="33" a="1"/>
  <c r="DL81" i="33" a="1"/>
  <c r="AA81" i="33" a="1"/>
  <c r="FD85" i="33" a="1"/>
  <c r="FE84" i="33" a="1"/>
  <c r="FE76" i="33" a="1"/>
  <c r="AA82" i="33" a="1"/>
  <c r="DE82" i="33" a="1"/>
  <c r="DK72" i="33" a="1"/>
  <c r="DL82" i="33" a="1"/>
  <c r="FK82" i="33" a="1"/>
  <c r="FD72" i="33" a="1"/>
  <c r="X87" i="33" a="1"/>
  <c r="X82" i="33" a="1"/>
  <c r="FH87" i="33" a="1"/>
  <c r="X75" i="33" a="1"/>
  <c r="FJ80" i="33" a="1"/>
  <c r="FC76" i="33" a="1"/>
  <c r="AC75" i="33" a="1"/>
  <c r="FB71" i="33" a="1"/>
  <c r="DL79" i="33" a="1"/>
  <c r="FM71" i="33" a="1"/>
  <c r="DI87" i="33" a="1"/>
  <c r="DD73" i="33" a="1"/>
  <c r="FF68" i="33" a="1"/>
  <c r="DG82" i="33" a="1"/>
  <c r="DG78" i="33" a="1"/>
  <c r="AG71" i="33" a="1"/>
  <c r="AF82" i="33" a="1"/>
  <c r="AD86" i="33" a="1"/>
  <c r="DE83" i="33" a="1"/>
  <c r="FJ69" i="33" a="1"/>
  <c r="AE78" i="33" a="1"/>
  <c r="Z79" i="33" a="1"/>
  <c r="DC81" i="33" a="1"/>
  <c r="DM71" i="33" a="1"/>
  <c r="FK75" i="33" a="1"/>
  <c r="AF71" i="33" a="1"/>
  <c r="Y68" i="33" a="1"/>
  <c r="FK69" i="33" a="1"/>
  <c r="X76" i="33" a="1"/>
  <c r="Y85" i="33" a="1"/>
  <c r="FH86" i="33" a="1"/>
  <c r="AD69" i="33" a="1"/>
  <c r="DJ70" i="33" a="1"/>
  <c r="DC78" i="33" a="1"/>
  <c r="FL77" i="33" a="1"/>
  <c r="AA77" i="33" a="1"/>
  <c r="Y80" i="33" a="1"/>
  <c r="DN68" i="33" a="1"/>
  <c r="FL76" i="33" a="1"/>
  <c r="AE79" i="33" a="1"/>
  <c r="DI78" i="33" a="1"/>
  <c r="FG77" i="33" a="1"/>
  <c r="FJ77" i="33" a="1"/>
  <c r="V81" i="33" a="1"/>
  <c r="DD70" i="33" a="1"/>
  <c r="DM79" i="33" a="1"/>
  <c r="DE69" i="33" a="1"/>
  <c r="FD69" i="33" a="1"/>
  <c r="DK77" i="33" a="1"/>
  <c r="DD75" i="33" a="1"/>
  <c r="FK81" i="33" a="1"/>
  <c r="X74" i="33" a="1"/>
  <c r="Z86" i="33" a="1"/>
  <c r="DL84" i="33" a="1"/>
  <c r="AC87" i="33" a="1"/>
  <c r="DD71" i="33" a="1"/>
  <c r="DC75" i="33" a="1"/>
  <c r="FB85" i="33" a="1"/>
  <c r="FE81" i="33" a="1"/>
  <c r="FJ74" i="33" a="1"/>
  <c r="FH71" i="33" a="1"/>
  <c r="AF80" i="33" a="1"/>
  <c r="FH84" i="33" a="1"/>
  <c r="FJ86" i="33" a="1"/>
  <c r="DI71" i="33" a="1"/>
  <c r="FC81" i="33" a="1"/>
  <c r="AE77" i="33" a="1"/>
  <c r="AB83" i="33" a="1"/>
  <c r="FK87" i="33" a="1"/>
  <c r="Y82" i="33" a="1"/>
  <c r="AD77" i="33" a="1"/>
  <c r="DC82" i="33" a="1"/>
  <c r="DJ75" i="33" a="1"/>
  <c r="FC85" i="33" a="1"/>
  <c r="AD79" i="33" a="1"/>
  <c r="FB72" i="33" a="1"/>
  <c r="DC80" i="33" a="1"/>
  <c r="FJ71" i="33" a="1"/>
  <c r="X77" i="33" a="1"/>
  <c r="AF81" i="33" a="1"/>
  <c r="FD75" i="33" a="1"/>
  <c r="DJ78" i="33" a="1"/>
  <c r="DH72" i="33" a="1"/>
  <c r="DC70" i="33" a="1"/>
  <c r="AA84" i="33" a="1"/>
  <c r="DM75" i="33" a="1"/>
  <c r="FC86" i="33" a="1"/>
  <c r="DL85" i="33" a="1"/>
  <c r="FD70" i="33" a="1"/>
  <c r="FC69" i="33" a="1"/>
  <c r="FK83" i="33" a="1"/>
  <c r="X85" i="33" a="1"/>
  <c r="DH68" i="33" a="1"/>
  <c r="DC68" i="33" a="1"/>
  <c r="FG78" i="33" a="1"/>
  <c r="FB79" i="33" a="1"/>
  <c r="DJ85" i="33" a="1"/>
  <c r="AD71" i="33" a="1"/>
  <c r="DI77" i="33" a="1"/>
  <c r="DD83" i="33" a="1"/>
  <c r="FB87" i="33" a="1"/>
  <c r="DK71" i="33" a="1"/>
  <c r="AF84" i="33" a="1"/>
  <c r="FH83" i="33" a="1"/>
  <c r="DG76" i="33" a="1"/>
  <c r="FC82" i="33" a="1"/>
  <c r="AB70" i="33" a="1"/>
  <c r="AD76" i="33" a="1"/>
  <c r="AC83" i="33" a="1"/>
  <c r="DG85" i="33" a="1"/>
  <c r="FL85" i="33" a="1"/>
  <c r="DK78" i="33" a="1"/>
  <c r="Z69" i="33" a="1"/>
  <c r="AE82" i="33" a="1"/>
  <c r="DD84" i="33" a="1"/>
  <c r="FG81" i="33" a="1"/>
  <c r="FG86" i="33" a="1"/>
  <c r="DD81" i="33" a="1"/>
  <c r="FG83" i="33" a="1"/>
  <c r="AA75" i="33" a="1"/>
  <c r="FJ78" i="33" a="1"/>
  <c r="FF70" i="33" a="1"/>
  <c r="AC73" i="33" a="1"/>
  <c r="DJ68" i="33" a="1"/>
  <c r="FE71" i="33" a="1"/>
  <c r="DK84" i="33" a="1"/>
  <c r="FJ82" i="33" a="1"/>
  <c r="FC68" i="33" a="1"/>
  <c r="FL72" i="33" a="1"/>
  <c r="DL71" i="33" a="1"/>
  <c r="FD71" i="33" a="1"/>
  <c r="DL74" i="33" a="1"/>
  <c r="V83" i="33" a="1"/>
  <c r="FF74" i="33" a="1"/>
  <c r="X81" i="33" a="1"/>
  <c r="Z84" i="33" a="1"/>
  <c r="AE86" i="33" a="1"/>
  <c r="AC69" i="33" a="1"/>
  <c r="FB80" i="33" a="1"/>
  <c r="FJ70" i="33" a="1"/>
  <c r="AC79" i="33" a="1"/>
  <c r="FF82" i="33" a="1"/>
  <c r="AC70" i="33" a="1"/>
  <c r="AE87" i="33" a="1"/>
  <c r="DD86" i="33" a="1"/>
  <c r="FJ75" i="33" a="1"/>
  <c r="Y70" i="33" a="1"/>
  <c r="DG83" i="33" a="1"/>
  <c r="X86" i="33" a="1"/>
  <c r="FG79" i="33" a="1"/>
  <c r="DL73" i="33" a="1"/>
  <c r="AG76" i="33" a="1"/>
  <c r="FF77" i="33" a="1"/>
  <c r="FL81" i="33" a="1"/>
  <c r="AA85" i="33" a="1"/>
  <c r="FC80" i="33" a="1"/>
  <c r="DH81" i="33" a="1"/>
  <c r="FG69" i="33" a="1"/>
  <c r="AB71" i="33" a="1"/>
  <c r="AF68" i="33" a="1"/>
  <c r="FE80" i="33" a="1"/>
  <c r="AD85" i="33" a="1"/>
  <c r="FC79" i="33" a="1"/>
  <c r="DM69" i="33" a="1"/>
  <c r="V77" i="33" a="1"/>
  <c r="DH87" i="33" a="1"/>
  <c r="DD76" i="33" a="1"/>
  <c r="DN70" i="33" a="1"/>
  <c r="DM83" i="33" a="1"/>
  <c r="DG80" i="33" a="1"/>
  <c r="DN73" i="33" a="1"/>
  <c r="W85" i="33" a="1"/>
  <c r="V87" i="33" a="1"/>
  <c r="V74" i="33" a="1"/>
  <c r="DI85" i="33" a="1"/>
  <c r="DF82" i="33" a="1"/>
  <c r="V82" i="33" a="1"/>
  <c r="DM80" i="33" a="1"/>
  <c r="FE77" i="33" a="1"/>
  <c r="DN76" i="33" a="1"/>
  <c r="AA69" i="33" a="1"/>
  <c r="DD72" i="33" a="1"/>
  <c r="AB72" i="33" a="1"/>
  <c r="FD76" i="33" a="1"/>
  <c r="FC87" i="33" a="1"/>
  <c r="DN75" i="33" a="1"/>
  <c r="AA83" i="33" a="1"/>
  <c r="DJ73" i="33" a="1"/>
  <c r="AD74" i="33" a="1"/>
  <c r="DJ83" i="33" a="1"/>
  <c r="DI80" i="33" a="1"/>
  <c r="W72" i="33" a="1"/>
  <c r="FH72" i="33" a="1"/>
  <c r="FF86" i="33" a="1"/>
  <c r="DC83" i="33" a="1"/>
  <c r="FK68" i="33" a="1"/>
  <c r="AD83" i="33" a="1"/>
  <c r="DK69" i="33" a="1"/>
  <c r="AF77" i="33" a="1"/>
  <c r="DI73" i="33" a="1"/>
  <c r="DF81" i="33" a="1"/>
  <c r="DE68" i="33" a="1"/>
  <c r="FM69" i="33" a="1"/>
  <c r="FF72" i="33" a="1"/>
  <c r="DH77" i="33" a="1"/>
  <c r="DK79" i="33" a="1"/>
  <c r="DI75" i="33" a="1"/>
  <c r="FM75" i="33" a="1"/>
  <c r="DJ72" i="33" a="1"/>
  <c r="DM85" i="33" a="1"/>
  <c r="Z72" i="33" a="1"/>
  <c r="FE74" i="33" a="1"/>
  <c r="FB74" i="33" a="1"/>
  <c r="FG74" i="33" a="1"/>
  <c r="FJ72" i="33" a="1"/>
  <c r="AA80" i="33" a="1"/>
  <c r="AE84" i="33" a="1"/>
  <c r="AC85" i="33" a="1"/>
  <c r="FH70" i="33" a="1"/>
  <c r="AD68" i="33" a="1"/>
  <c r="Y77" i="33" a="1"/>
  <c r="DF76" i="33" a="1"/>
  <c r="AF86" i="33" a="1"/>
  <c r="DI76" i="33" a="1"/>
  <c r="DJ77" i="33" a="1"/>
  <c r="FG76" i="33" a="1"/>
  <c r="AC68" i="33" a="1"/>
  <c r="FE85" i="33" a="1"/>
  <c r="DG69" i="33" a="1"/>
  <c r="DJ76" i="33" a="1"/>
  <c r="FH82" i="33" a="1"/>
  <c r="V86" i="33" a="1"/>
  <c r="DI68" i="33" a="1"/>
  <c r="DI82" i="33" a="1"/>
  <c r="FL84" i="33" a="1"/>
  <c r="DD74" i="33" a="1"/>
  <c r="DI83" i="33" a="1"/>
  <c r="W70" i="33" a="1"/>
  <c r="DH83" i="33" a="1"/>
  <c r="V70" i="33" a="1"/>
  <c r="AB79" i="33" a="1"/>
  <c r="AB87" i="33" a="1"/>
  <c r="FK78" i="33" a="1"/>
  <c r="FE83" i="33" a="1"/>
  <c r="DG70" i="33" a="1"/>
  <c r="DJ74" i="33" a="1"/>
  <c r="FH74" i="33" a="1"/>
  <c r="FH68" i="33" a="1"/>
  <c r="V75" i="33" a="1"/>
  <c r="FF75" i="33" a="1"/>
  <c r="DJ80" i="33" a="1"/>
  <c r="AA76" i="33" a="1"/>
  <c r="Y84" i="33" a="1"/>
  <c r="FD83" i="33" a="1"/>
  <c r="DE81" i="33" a="1"/>
  <c r="W86" i="33" a="1"/>
  <c r="FM68" i="33" a="1"/>
  <c r="AC80" i="33" a="1"/>
  <c r="AE76" i="33" a="1"/>
  <c r="FL68" i="33" a="1"/>
  <c r="DM76" i="33" a="1"/>
  <c r="FB70" i="33" a="1"/>
  <c r="AE74" i="33" a="1"/>
  <c r="W76" i="33" a="1"/>
  <c r="AB77" i="33" a="1"/>
  <c r="DG87" i="33" a="1"/>
  <c r="FF81" i="33" a="1"/>
  <c r="DH69" i="33" a="1"/>
  <c r="DF75" i="33" a="1"/>
  <c r="Z68" i="33" a="1"/>
  <c r="FJ68" i="33" a="1"/>
  <c r="DI72" i="33" a="1"/>
  <c r="DL87" i="33" a="1"/>
  <c r="DE70" i="33" a="1"/>
  <c r="AD81" i="33" a="1"/>
  <c r="AA73" i="33" a="1"/>
  <c r="FC71" i="33" a="1"/>
  <c r="V72" i="33" a="1"/>
  <c r="W79" i="33" a="1"/>
  <c r="DH85" i="33" a="1"/>
  <c r="DJ79" i="33" a="1"/>
  <c r="DE76" i="33" a="1"/>
  <c r="FK84" i="33" a="1"/>
  <c r="DM84" i="33" a="1"/>
  <c r="FB83" i="33" a="1"/>
  <c r="DL72" i="33" a="1"/>
  <c r="DD80" i="33" a="1"/>
  <c r="FE79" i="33" a="1"/>
  <c r="FG80" i="33" a="1"/>
  <c r="DF87" i="33" a="1"/>
  <c r="FG75" i="33" a="1"/>
  <c r="DF84" i="33" a="1"/>
  <c r="Y75" i="33" a="1"/>
  <c r="FF79" i="33" a="1"/>
  <c r="FD78" i="33" a="1"/>
  <c r="V80" i="33" a="1"/>
  <c r="AF79" i="33" a="1"/>
  <c r="DE86" i="33" a="1"/>
  <c r="FE75" i="33" a="1"/>
  <c r="W73" i="33" a="1"/>
  <c r="FH76" i="33" a="1"/>
  <c r="FH77" i="33" a="1"/>
  <c r="X71" i="33" a="1"/>
  <c r="DM70" i="33" a="1"/>
  <c r="AA78" i="33" a="1"/>
  <c r="X69" i="33" a="1"/>
  <c r="W84" i="33" a="1"/>
  <c r="FH73" i="33" a="1"/>
  <c r="DH75" i="33" a="1"/>
  <c r="FK71" i="33" a="1"/>
  <c r="DD87" i="33" a="1"/>
  <c r="FB84" i="33" a="1"/>
  <c r="AC81" i="33" a="1"/>
  <c r="AF72" i="33" a="1"/>
  <c r="DL78" i="33" a="1"/>
  <c r="AG75" i="33" a="1"/>
  <c r="FD80" i="33" a="1"/>
  <c r="FK80" i="33" a="1"/>
  <c r="DC79" i="33" a="1"/>
  <c r="AE70" i="33" a="1"/>
  <c r="FB69" i="33" a="1"/>
  <c r="AE81" i="33" a="1"/>
  <c r="DG81" i="33" a="1"/>
  <c r="DI79" i="33" a="1"/>
  <c r="AA87" i="33" a="1"/>
  <c r="Y74" i="33" a="1"/>
  <c r="FD81" i="33" a="1"/>
  <c r="AB76" i="33" a="1"/>
  <c r="DF70" i="33" a="1"/>
  <c r="W77" i="33" a="1"/>
  <c r="AB78" i="33" a="1"/>
  <c r="DC84" i="33" a="1"/>
  <c r="FJ73" i="33" a="1"/>
  <c r="FK86" i="33" a="1"/>
  <c r="DC86" i="33" a="1"/>
  <c r="AE85" i="33" a="1"/>
  <c r="FD87" i="33" a="1"/>
  <c r="DG72" i="33" a="1"/>
  <c r="DJ71" i="33" a="1"/>
  <c r="AB85" i="33" a="1"/>
  <c r="DL86" i="33" a="1"/>
  <c r="FC83" i="33" a="1"/>
  <c r="DH71" i="33" a="1"/>
  <c r="FK74" i="33" a="1"/>
  <c r="Z82" i="33" a="1"/>
  <c r="W81" i="33" a="1"/>
  <c r="V78" i="33" a="1"/>
  <c r="DF83" i="33" a="1"/>
  <c r="DJ87" i="33" a="1"/>
  <c r="AF73" i="33" a="1"/>
  <c r="AB84" i="33" a="1"/>
  <c r="DC85" i="33" a="1"/>
  <c r="AE75" i="33" a="1"/>
  <c r="W74" i="33" a="1"/>
  <c r="Z73" i="33" a="1"/>
  <c r="FL78" i="33" a="1"/>
  <c r="FK79" i="33" a="1"/>
  <c r="DH70" i="33" a="1"/>
  <c r="AC71" i="33" a="1"/>
  <c r="X84" i="33" a="1"/>
  <c r="Z74" i="33" a="1"/>
  <c r="AG69" i="33" a="1"/>
  <c r="AB75" i="33" a="1"/>
  <c r="AA74" i="33" a="1"/>
  <c r="FL75" i="33" a="1"/>
  <c r="DC71" i="33" a="1"/>
  <c r="FB77" i="33" a="1"/>
  <c r="AB69" i="33" a="1"/>
  <c r="AA86" i="33" a="1"/>
  <c r="DM74" i="33" a="1"/>
  <c r="V71" i="33" a="1"/>
  <c r="FJ83" i="33" a="1"/>
  <c r="FC73" i="33" a="1"/>
  <c r="FF83" i="33" a="1"/>
  <c r="FE68" i="33" a="1"/>
  <c r="FE87" i="33" a="1"/>
  <c r="DK74" i="33" a="1"/>
  <c r="DG77" i="33" a="1"/>
  <c r="FI74" i="33" l="1"/>
  <c r="AG76" i="33"/>
  <c r="BO76" i="33" s="1"/>
  <c r="FE84" i="33"/>
  <c r="X77" i="33"/>
  <c r="BF77" i="33" s="1"/>
  <c r="FD83" i="33"/>
  <c r="DF85" i="33"/>
  <c r="AP85" i="33" s="1"/>
  <c r="DK74" i="33"/>
  <c r="DJ82" i="33"/>
  <c r="FD79" i="33"/>
  <c r="V81" i="33"/>
  <c r="BD81" i="33" s="1"/>
  <c r="Y71" i="33"/>
  <c r="BG71" i="33" s="1"/>
  <c r="FJ83" i="33"/>
  <c r="X85" i="33"/>
  <c r="BF85" i="33" s="1"/>
  <c r="DI76" i="33"/>
  <c r="FT76" i="33" s="1"/>
  <c r="V79" i="33"/>
  <c r="BD79" i="33" s="1"/>
  <c r="FM71" i="33"/>
  <c r="DK76" i="33"/>
  <c r="AB81" i="33"/>
  <c r="BJ81" i="33" s="1"/>
  <c r="DF72" i="33"/>
  <c r="AP72" i="33" s="1"/>
  <c r="Y74" i="33"/>
  <c r="BG74" i="33" s="1"/>
  <c r="FH82" i="33"/>
  <c r="DJ75" i="33"/>
  <c r="AC77" i="33"/>
  <c r="BK77" i="33" s="1"/>
  <c r="FF70" i="33"/>
  <c r="DL81" i="33"/>
  <c r="FD69" i="33"/>
  <c r="FJ77" i="33"/>
  <c r="DF87" i="33"/>
  <c r="AP87" i="33" s="1"/>
  <c r="AA76" i="33"/>
  <c r="BI76" i="33" s="1"/>
  <c r="AC78" i="33"/>
  <c r="BK78" i="33" s="1"/>
  <c r="DF68" i="33"/>
  <c r="FK82" i="33"/>
  <c r="DH69" i="33"/>
  <c r="DN73" i="33"/>
  <c r="AG72" i="33"/>
  <c r="BO72" i="33" s="1"/>
  <c r="AB70" i="33"/>
  <c r="BJ70" i="33" s="1"/>
  <c r="Y85" i="33"/>
  <c r="BG85" i="33" s="1"/>
  <c r="AD78" i="33"/>
  <c r="BL78" i="33" s="1"/>
  <c r="FE86" i="33"/>
  <c r="FF84" i="33"/>
  <c r="FC78" i="33"/>
  <c r="DN71" i="33"/>
  <c r="FJ69" i="33"/>
  <c r="FG83" i="33"/>
  <c r="Y70" i="33"/>
  <c r="BG70" i="33" s="1"/>
  <c r="DF78" i="33"/>
  <c r="AP78" i="33" s="1"/>
  <c r="FK87" i="33"/>
  <c r="FH75" i="33"/>
  <c r="FG75" i="33"/>
  <c r="AE81" i="33"/>
  <c r="BM81" i="33" s="1"/>
  <c r="FL79" i="33"/>
  <c r="DL73" i="33"/>
  <c r="DM70" i="33"/>
  <c r="DJ80" i="33"/>
  <c r="Y87" i="33"/>
  <c r="BG87" i="33" s="1"/>
  <c r="DC76" i="33"/>
  <c r="AM76" i="33" s="1"/>
  <c r="AC74" i="33"/>
  <c r="BK74" i="33" s="1"/>
  <c r="X86" i="33"/>
  <c r="BF86" i="33" s="1"/>
  <c r="DD72" i="33"/>
  <c r="AN72" i="33" s="1"/>
  <c r="AA70" i="33"/>
  <c r="BI70" i="33" s="1"/>
  <c r="FL68" i="33"/>
  <c r="AD86" i="33"/>
  <c r="BL86" i="33" s="1"/>
  <c r="FB79" i="33"/>
  <c r="DK69" i="33"/>
  <c r="DL78" i="33"/>
  <c r="FC83" i="33"/>
  <c r="FL82" i="33"/>
  <c r="DL87" i="33"/>
  <c r="DI75" i="33"/>
  <c r="FT75" i="33" s="1"/>
  <c r="AB77" i="33"/>
  <c r="BJ77" i="33" s="1"/>
  <c r="FE73" i="33"/>
  <c r="AF70" i="33"/>
  <c r="BN70" i="33" s="1"/>
  <c r="DC85" i="33"/>
  <c r="AM85" i="33" s="1"/>
  <c r="FC75" i="33"/>
  <c r="AD73" i="33"/>
  <c r="BL73" i="33" s="1"/>
  <c r="DJ83" i="33"/>
  <c r="DG86" i="33"/>
  <c r="AQ86" i="33" s="1"/>
  <c r="AE77" i="33"/>
  <c r="BM77" i="33" s="1"/>
  <c r="FC85" i="33"/>
  <c r="FI79" i="33"/>
  <c r="DE77" i="33"/>
  <c r="AO77" i="33" s="1"/>
  <c r="DG72" i="33"/>
  <c r="AQ72" i="33" s="1"/>
  <c r="V78" i="33"/>
  <c r="BD78" i="33" s="1"/>
  <c r="FF86" i="33"/>
  <c r="DF79" i="33"/>
  <c r="AP79" i="33" s="1"/>
  <c r="DC71" i="33"/>
  <c r="DE75" i="33"/>
  <c r="Z71" i="33"/>
  <c r="BH71" i="33" s="1"/>
  <c r="FF87" i="33"/>
  <c r="AC71" i="33"/>
  <c r="BK71" i="33" s="1"/>
  <c r="FG72" i="33"/>
  <c r="V77" i="33"/>
  <c r="BD77" i="33" s="1"/>
  <c r="Z73" i="33"/>
  <c r="BH73" i="33" s="1"/>
  <c r="FE85" i="33"/>
  <c r="DG84" i="33"/>
  <c r="AQ84" i="33" s="1"/>
  <c r="FB81" i="33"/>
  <c r="X73" i="33"/>
  <c r="BF73" i="33" s="1"/>
  <c r="DI72" i="33"/>
  <c r="FT72" i="33" s="1"/>
  <c r="DF83" i="33"/>
  <c r="AP83" i="33" s="1"/>
  <c r="DC69" i="33"/>
  <c r="Z80" i="33"/>
  <c r="BH80" i="33" s="1"/>
  <c r="AB85" i="33"/>
  <c r="BJ85" i="33" s="1"/>
  <c r="DG74" i="33"/>
  <c r="AQ74" i="33" s="1"/>
  <c r="FE68" i="33"/>
  <c r="DN75" i="33"/>
  <c r="Y79" i="33"/>
  <c r="BG79" i="33" s="1"/>
  <c r="AA81" i="33"/>
  <c r="BI81" i="33" s="1"/>
  <c r="DF77" i="33"/>
  <c r="AP77" i="33" s="1"/>
  <c r="X80" i="33"/>
  <c r="BF80" i="33" s="1"/>
  <c r="FM76" i="33"/>
  <c r="DK79" i="33"/>
  <c r="FF71" i="33"/>
  <c r="AF76" i="33"/>
  <c r="BN76" i="33" s="1"/>
  <c r="DC82" i="33"/>
  <c r="AM82" i="33" s="1"/>
  <c r="DL86" i="33"/>
  <c r="FB84" i="33"/>
  <c r="AA72" i="33"/>
  <c r="BI72" i="33" s="1"/>
  <c r="FM72" i="33"/>
  <c r="DI70" i="33"/>
  <c r="FT70" i="33" s="1"/>
  <c r="AA85" i="33"/>
  <c r="BI85" i="33" s="1"/>
  <c r="FJ78" i="33"/>
  <c r="DF86" i="33"/>
  <c r="AP86" i="33" s="1"/>
  <c r="V83" i="33"/>
  <c r="BD83" i="33" s="1"/>
  <c r="DH70" i="33"/>
  <c r="DC80" i="33"/>
  <c r="AM80" i="33" s="1"/>
  <c r="AE78" i="33"/>
  <c r="BM78" i="33" s="1"/>
  <c r="DD83" i="33"/>
  <c r="AN83" i="33" s="1"/>
  <c r="FE70" i="33"/>
  <c r="DE87" i="33"/>
  <c r="AO87" i="33" s="1"/>
  <c r="FF85" i="33"/>
  <c r="FE78" i="33"/>
  <c r="DM82" i="33"/>
  <c r="DF75" i="33"/>
  <c r="Z83" i="33"/>
  <c r="BH83" i="33" s="1"/>
  <c r="FC69" i="33"/>
  <c r="DG79" i="33"/>
  <c r="AQ79" i="33" s="1"/>
  <c r="AA84" i="33"/>
  <c r="BI84" i="33" s="1"/>
  <c r="AE72" i="33"/>
  <c r="BM72" i="33" s="1"/>
  <c r="W83" i="33"/>
  <c r="BE83" i="33" s="1"/>
  <c r="DM69" i="33"/>
  <c r="DF80" i="33"/>
  <c r="AP80" i="33" s="1"/>
  <c r="X87" i="33"/>
  <c r="BF87" i="33" s="1"/>
  <c r="DE68" i="33"/>
  <c r="AE84" i="33"/>
  <c r="BM84" i="33" s="1"/>
  <c r="FL73" i="33"/>
  <c r="DJ76" i="33"/>
  <c r="DC68" i="33"/>
  <c r="FC74" i="33"/>
  <c r="AF74" i="33"/>
  <c r="BN74" i="33" s="1"/>
  <c r="FG84" i="33"/>
  <c r="DL72" i="33"/>
  <c r="DE70" i="33"/>
  <c r="V85" i="33"/>
  <c r="BD85" i="33" s="1"/>
  <c r="DL77" i="33"/>
  <c r="AD70" i="33"/>
  <c r="BL70" i="33" s="1"/>
  <c r="DC78" i="33"/>
  <c r="AM78" i="33" s="1"/>
  <c r="X75" i="33"/>
  <c r="BF75" i="33" s="1"/>
  <c r="FJ70" i="33"/>
  <c r="AB72" i="33"/>
  <c r="BJ72" i="33" s="1"/>
  <c r="Y76" i="33"/>
  <c r="BG76" i="33" s="1"/>
  <c r="Y68" i="33"/>
  <c r="BG68" i="33" s="1"/>
  <c r="FE79" i="33"/>
  <c r="DK71" i="33"/>
  <c r="X78" i="33"/>
  <c r="BF78" i="33" s="1"/>
  <c r="DC84" i="33"/>
  <c r="AM84" i="33" s="1"/>
  <c r="AG68" i="33"/>
  <c r="BO68" i="33" s="1"/>
  <c r="FL75" i="33"/>
  <c r="AB68" i="33"/>
  <c r="V69" i="33"/>
  <c r="BD69" i="33" s="1"/>
  <c r="FK80" i="33"/>
  <c r="DF76" i="33"/>
  <c r="AP76" i="33" s="1"/>
  <c r="DK68" i="33"/>
  <c r="FM75" i="33"/>
  <c r="DM84" i="33"/>
  <c r="AD81" i="33"/>
  <c r="BL81" i="33" s="1"/>
  <c r="FJ71" i="33"/>
  <c r="FD80" i="33"/>
  <c r="DC73" i="33"/>
  <c r="AM73" i="33" s="1"/>
  <c r="FL76" i="33"/>
  <c r="AE86" i="33"/>
  <c r="BM86" i="33" s="1"/>
  <c r="AD80" i="33"/>
  <c r="BL80" i="33" s="1"/>
  <c r="AB87" i="33"/>
  <c r="BJ87" i="33" s="1"/>
  <c r="FG68" i="33"/>
  <c r="FC81" i="33"/>
  <c r="FB83" i="33"/>
  <c r="DD87" i="33"/>
  <c r="AN87" i="33" s="1"/>
  <c r="DG82" i="33"/>
  <c r="AQ82" i="33" s="1"/>
  <c r="FK75" i="33"/>
  <c r="W73" i="33"/>
  <c r="BE73" i="33" s="1"/>
  <c r="FD87" i="33"/>
  <c r="FF68" i="33"/>
  <c r="DH79" i="33"/>
  <c r="DE84" i="33"/>
  <c r="AO84" i="33" s="1"/>
  <c r="AF73" i="33"/>
  <c r="BN73" i="33" s="1"/>
  <c r="FF83" i="33"/>
  <c r="DN69" i="33"/>
  <c r="FG71" i="33"/>
  <c r="FG77" i="33"/>
  <c r="W85" i="33"/>
  <c r="BE85" i="33" s="1"/>
  <c r="V74" i="33"/>
  <c r="BD74" i="33" s="1"/>
  <c r="FG81" i="33"/>
  <c r="W80" i="33"/>
  <c r="BE80" i="33" s="1"/>
  <c r="DF69" i="33"/>
  <c r="DG80" i="33"/>
  <c r="AQ80" i="33" s="1"/>
  <c r="DJ87" i="33"/>
  <c r="Y83" i="33"/>
  <c r="BG83" i="33" s="1"/>
  <c r="FF80" i="33"/>
  <c r="FH85" i="33"/>
  <c r="FB78" i="33"/>
  <c r="X82" i="33"/>
  <c r="BF82" i="33" s="1"/>
  <c r="AG75" i="33"/>
  <c r="BO75" i="33" s="1"/>
  <c r="DK81" i="33"/>
  <c r="FB77" i="33"/>
  <c r="FK71" i="33"/>
  <c r="Z69" i="33"/>
  <c r="BH69" i="33" s="1"/>
  <c r="AB71" i="33"/>
  <c r="BJ71" i="33" s="1"/>
  <c r="DM68" i="33"/>
  <c r="DI85" i="33"/>
  <c r="FT85" i="33" s="1"/>
  <c r="FF74" i="33"/>
  <c r="DG78" i="33"/>
  <c r="AQ78" i="33" s="1"/>
  <c r="DE82" i="33"/>
  <c r="AO82" i="33" s="1"/>
  <c r="AC79" i="33"/>
  <c r="BK79" i="33" s="1"/>
  <c r="FE77" i="33"/>
  <c r="DE80" i="33"/>
  <c r="AO80" i="33" s="1"/>
  <c r="FD77" i="33"/>
  <c r="FC80" i="33"/>
  <c r="DM76" i="33"/>
  <c r="FB82" i="33"/>
  <c r="FK86" i="33"/>
  <c r="FH83" i="33"/>
  <c r="FH87" i="33"/>
  <c r="DH68" i="33"/>
  <c r="FH79" i="33"/>
  <c r="DD81" i="33"/>
  <c r="AN81" i="33" s="1"/>
  <c r="FH71" i="33"/>
  <c r="AD83" i="33"/>
  <c r="BL83" i="33" s="1"/>
  <c r="AG70" i="33"/>
  <c r="BO70" i="33" s="1"/>
  <c r="DL75" i="33"/>
  <c r="FE72" i="33"/>
  <c r="AF77" i="33"/>
  <c r="BN77" i="33" s="1"/>
  <c r="FE80" i="33"/>
  <c r="FC76" i="33"/>
  <c r="AA79" i="33"/>
  <c r="BI79" i="33" s="1"/>
  <c r="X84" i="33"/>
  <c r="BF84" i="33" s="1"/>
  <c r="DM73" i="33"/>
  <c r="AC70" i="33"/>
  <c r="BK70" i="33" s="1"/>
  <c r="FD74" i="33"/>
  <c r="V68" i="33"/>
  <c r="BD68" i="33" s="1"/>
  <c r="FJ84" i="33"/>
  <c r="DE72" i="33"/>
  <c r="AO72" i="33" s="1"/>
  <c r="AC69" i="33"/>
  <c r="BK69" i="33" s="1"/>
  <c r="AD77" i="33"/>
  <c r="BL77" i="33" s="1"/>
  <c r="DM87" i="33"/>
  <c r="FG76" i="33"/>
  <c r="AE80" i="33"/>
  <c r="BM80" i="33" s="1"/>
  <c r="FF78" i="33"/>
  <c r="FL84" i="33"/>
  <c r="V71" i="33"/>
  <c r="BD71" i="33" s="1"/>
  <c r="DD80" i="33"/>
  <c r="AN80" i="33" s="1"/>
  <c r="FF72" i="33"/>
  <c r="FE69" i="33"/>
  <c r="FB74" i="33"/>
  <c r="DN76" i="33"/>
  <c r="FJ73" i="33"/>
  <c r="FD73" i="33"/>
  <c r="FB69" i="33"/>
  <c r="Z74" i="33"/>
  <c r="BH74" i="33" s="1"/>
  <c r="Y77" i="33"/>
  <c r="BG77" i="33" s="1"/>
  <c r="DG71" i="33"/>
  <c r="AQ71" i="33" s="1"/>
  <c r="V82" i="33"/>
  <c r="BD82" i="33" s="1"/>
  <c r="FF73" i="33"/>
  <c r="DG81" i="33"/>
  <c r="AQ81" i="33" s="1"/>
  <c r="DE73" i="33"/>
  <c r="AO73" i="33" s="1"/>
  <c r="FH72" i="33"/>
  <c r="FE83" i="33"/>
  <c r="DK73" i="33"/>
  <c r="Z72" i="33"/>
  <c r="BH72" i="33" s="1"/>
  <c r="AC83" i="33"/>
  <c r="BK83" i="33" s="1"/>
  <c r="DK70" i="33"/>
  <c r="Y69" i="33"/>
  <c r="BG69" i="33" s="1"/>
  <c r="FK77" i="33"/>
  <c r="DL80" i="33"/>
  <c r="FE76" i="33"/>
  <c r="DC74" i="33"/>
  <c r="AM74" i="33" s="1"/>
  <c r="Z78" i="33"/>
  <c r="BH78" i="33" s="1"/>
  <c r="FJ68" i="33"/>
  <c r="Z86" i="33"/>
  <c r="BH86" i="33" s="1"/>
  <c r="DJ79" i="33"/>
  <c r="AF84" i="33"/>
  <c r="BN84" i="33" s="1"/>
  <c r="FJ81" i="33"/>
  <c r="AD71" i="33"/>
  <c r="BL71" i="33" s="1"/>
  <c r="AA87" i="33"/>
  <c r="BI87" i="33" s="1"/>
  <c r="FD75" i="33"/>
  <c r="AC86" i="33"/>
  <c r="BK86" i="33" s="1"/>
  <c r="DI83" i="33"/>
  <c r="FT83" i="33" s="1"/>
  <c r="FJ80" i="33"/>
  <c r="X76" i="33"/>
  <c r="BF76" i="33" s="1"/>
  <c r="DI79" i="33"/>
  <c r="FT79" i="33" s="1"/>
  <c r="W81" i="33"/>
  <c r="BE81" i="33" s="1"/>
  <c r="FL71" i="33"/>
  <c r="DF71" i="33"/>
  <c r="AP71" i="33" s="1"/>
  <c r="DN70" i="33"/>
  <c r="AB76" i="33"/>
  <c r="BJ76" i="33" s="1"/>
  <c r="DK75" i="33"/>
  <c r="DL70" i="33"/>
  <c r="AE75" i="33"/>
  <c r="BM75" i="33" s="1"/>
  <c r="DM77" i="33"/>
  <c r="Z68" i="33"/>
  <c r="BH68" i="33" s="1"/>
  <c r="FD84" i="33"/>
  <c r="DE74" i="33"/>
  <c r="AO74" i="33" s="1"/>
  <c r="AF85" i="33"/>
  <c r="BN85" i="33" s="1"/>
  <c r="FK81" i="33"/>
  <c r="FK85" i="33"/>
  <c r="X72" i="33"/>
  <c r="BF72" i="33" s="1"/>
  <c r="DJ69" i="33"/>
  <c r="FE87" i="33"/>
  <c r="DH76" i="33"/>
  <c r="FK79" i="33"/>
  <c r="V84" i="33"/>
  <c r="BD84" i="33" s="1"/>
  <c r="DJ71" i="33"/>
  <c r="DH72" i="33"/>
  <c r="DC77" i="33"/>
  <c r="AM77" i="33" s="1"/>
  <c r="DG73" i="33"/>
  <c r="AQ73" i="33" s="1"/>
  <c r="DN72" i="33"/>
  <c r="AB83" i="33"/>
  <c r="BJ83" i="33" s="1"/>
  <c r="FH70" i="33"/>
  <c r="DK80" i="33"/>
  <c r="DI87" i="33"/>
  <c r="FT87" i="33" s="1"/>
  <c r="DK78" i="33"/>
  <c r="AA68" i="33"/>
  <c r="BI68" i="33" s="1"/>
  <c r="Y86" i="33"/>
  <c r="BG86" i="33" s="1"/>
  <c r="AB79" i="33"/>
  <c r="BJ79" i="33" s="1"/>
  <c r="Z84" i="33"/>
  <c r="BH84" i="33" s="1"/>
  <c r="DI71" i="33"/>
  <c r="FT71" i="33" s="1"/>
  <c r="DC81" i="33"/>
  <c r="AM81" i="33" s="1"/>
  <c r="FE71" i="33"/>
  <c r="DK83" i="33"/>
  <c r="FM70" i="33"/>
  <c r="DC83" i="33"/>
  <c r="AM83" i="33" s="1"/>
  <c r="FG70" i="33"/>
  <c r="FH76" i="33"/>
  <c r="AF68" i="33"/>
  <c r="BN68" i="33" s="1"/>
  <c r="DC79" i="33"/>
  <c r="AM79" i="33" s="1"/>
  <c r="AG71" i="33"/>
  <c r="BO71" i="33" s="1"/>
  <c r="AD69" i="33"/>
  <c r="BL69" i="33" s="1"/>
  <c r="FK78" i="33"/>
  <c r="Y72" i="33"/>
  <c r="BG72" i="33" s="1"/>
  <c r="DF70" i="33"/>
  <c r="FL77" i="33"/>
  <c r="Y80" i="33"/>
  <c r="BG80" i="33" s="1"/>
  <c r="Y78" i="33"/>
  <c r="BG78" i="33" s="1"/>
  <c r="DG68" i="33"/>
  <c r="AF82" i="33"/>
  <c r="BN82" i="33" s="1"/>
  <c r="AC75" i="33"/>
  <c r="BK75" i="33" s="1"/>
  <c r="FG79" i="33"/>
  <c r="DG83" i="33"/>
  <c r="AQ83" i="33" s="1"/>
  <c r="AE87" i="33"/>
  <c r="BM87" i="33" s="1"/>
  <c r="X74" i="33"/>
  <c r="BF74" i="33" s="1"/>
  <c r="FB68" i="33"/>
  <c r="AB75" i="33"/>
  <c r="BJ75" i="33" s="1"/>
  <c r="DH84" i="33"/>
  <c r="FD72" i="33"/>
  <c r="FK72" i="33"/>
  <c r="FL70" i="33"/>
  <c r="DK77" i="33"/>
  <c r="FB85" i="33"/>
  <c r="DJ74" i="33"/>
  <c r="DJ78" i="33"/>
  <c r="FD86" i="33"/>
  <c r="FH73" i="33"/>
  <c r="DJ72" i="33"/>
  <c r="FH69" i="33"/>
  <c r="AF80" i="33"/>
  <c r="BN80" i="33" s="1"/>
  <c r="DG76" i="33"/>
  <c r="AQ76" i="33" s="1"/>
  <c r="DK85" i="33"/>
  <c r="FH74" i="33"/>
  <c r="FH78" i="33"/>
  <c r="DC86" i="33"/>
  <c r="AM86" i="33" s="1"/>
  <c r="DC75" i="33"/>
  <c r="DF81" i="33"/>
  <c r="AP81" i="33" s="1"/>
  <c r="FG73" i="33"/>
  <c r="FJ87" i="33"/>
  <c r="FC82" i="33"/>
  <c r="DH86" i="33"/>
  <c r="FD81" i="33"/>
  <c r="V70" i="33"/>
  <c r="BD70" i="33" s="1"/>
  <c r="AB69" i="33"/>
  <c r="BJ69" i="33" s="1"/>
  <c r="FC77" i="33"/>
  <c r="Z76" i="33"/>
  <c r="BH76" i="33" s="1"/>
  <c r="V75" i="33"/>
  <c r="BD75" i="33" s="1"/>
  <c r="DI84" i="33"/>
  <c r="FT84" i="33" s="1"/>
  <c r="Y81" i="33"/>
  <c r="BG81" i="33" s="1"/>
  <c r="FG80" i="33"/>
  <c r="DK87" i="33"/>
  <c r="FG78" i="33"/>
  <c r="DD75" i="33"/>
  <c r="DL79" i="33"/>
  <c r="AB73" i="33"/>
  <c r="BJ73" i="33" s="1"/>
  <c r="AC72" i="33"/>
  <c r="BK72" i="33" s="1"/>
  <c r="FB70" i="33"/>
  <c r="DI69" i="33"/>
  <c r="FT69" i="33" s="1"/>
  <c r="DD77" i="33"/>
  <c r="AN77" i="33" s="1"/>
  <c r="FL80" i="33"/>
  <c r="AD85" i="33"/>
  <c r="BL85" i="33" s="1"/>
  <c r="AB74" i="33"/>
  <c r="BJ74" i="33" s="1"/>
  <c r="AB78" i="33"/>
  <c r="BJ78" i="33" s="1"/>
  <c r="V86" i="33"/>
  <c r="BD86" i="33" s="1"/>
  <c r="AB84" i="33"/>
  <c r="BJ84" i="33" s="1"/>
  <c r="DH73" i="33"/>
  <c r="DH80" i="33"/>
  <c r="DH78" i="33"/>
  <c r="DD82" i="33"/>
  <c r="AN82" i="33" s="1"/>
  <c r="AA86" i="33"/>
  <c r="BI86" i="33" s="1"/>
  <c r="X81" i="33"/>
  <c r="BF81" i="33" s="1"/>
  <c r="DE86" i="33"/>
  <c r="AO86" i="33" s="1"/>
  <c r="W75" i="33"/>
  <c r="BE75" i="33" s="1"/>
  <c r="AE79" i="33"/>
  <c r="BM79" i="33" s="1"/>
  <c r="DI73" i="33"/>
  <c r="FT73" i="33" s="1"/>
  <c r="DC70" i="33"/>
  <c r="W77" i="33"/>
  <c r="BE77" i="33" s="1"/>
  <c r="DM80" i="33"/>
  <c r="FF76" i="33"/>
  <c r="FJ85" i="33"/>
  <c r="DI74" i="33"/>
  <c r="FT74" i="33" s="1"/>
  <c r="DI78" i="33"/>
  <c r="FT78" i="33" s="1"/>
  <c r="FB86" i="33"/>
  <c r="FB75" i="33"/>
  <c r="FH84" i="33"/>
  <c r="FE81" i="33"/>
  <c r="AA73" i="33"/>
  <c r="BI73" i="33" s="1"/>
  <c r="AA80" i="33"/>
  <c r="BI80" i="33" s="1"/>
  <c r="AD87" i="33"/>
  <c r="BL87" i="33" s="1"/>
  <c r="AA78" i="33"/>
  <c r="BI78" i="33" s="1"/>
  <c r="W82" i="33"/>
  <c r="BE82" i="33" s="1"/>
  <c r="FG86" i="33"/>
  <c r="DE81" i="33"/>
  <c r="AO81" i="33" s="1"/>
  <c r="W68" i="33"/>
  <c r="BE68" i="33" s="1"/>
  <c r="DK82" i="33"/>
  <c r="DD86" i="33"/>
  <c r="AN86" i="33" s="1"/>
  <c r="DG75" i="33"/>
  <c r="AQ75" i="33" s="1"/>
  <c r="FL81" i="33"/>
  <c r="DD71" i="33"/>
  <c r="AC73" i="33"/>
  <c r="BK73" i="33" s="1"/>
  <c r="DC72" i="33"/>
  <c r="AM72" i="33" s="1"/>
  <c r="FL83" i="33"/>
  <c r="FC70" i="33"/>
  <c r="DL69" i="33"/>
  <c r="DG77" i="33"/>
  <c r="AQ77" i="33" s="1"/>
  <c r="FH80" i="33"/>
  <c r="V87" i="33"/>
  <c r="BD87" i="33" s="1"/>
  <c r="FK76" i="33"/>
  <c r="FK74" i="33"/>
  <c r="AF78" i="33"/>
  <c r="BN78" i="33" s="1"/>
  <c r="Y82" i="33"/>
  <c r="BG82" i="33" s="1"/>
  <c r="FH86" i="33"/>
  <c r="AC81" i="33"/>
  <c r="BK81" i="33" s="1"/>
  <c r="DE71" i="33"/>
  <c r="AC68" i="33"/>
  <c r="BK68" i="33" s="1"/>
  <c r="FG87" i="33"/>
  <c r="DM86" i="33"/>
  <c r="AD79" i="33"/>
  <c r="BL79" i="33" s="1"/>
  <c r="V73" i="33"/>
  <c r="BD73" i="33" s="1"/>
  <c r="Z87" i="33"/>
  <c r="BH87" i="33" s="1"/>
  <c r="AF72" i="33"/>
  <c r="BN72" i="33" s="1"/>
  <c r="AA69" i="33"/>
  <c r="BI69" i="33" s="1"/>
  <c r="DJ85" i="33"/>
  <c r="FG74" i="33"/>
  <c r="AE71" i="33"/>
  <c r="BM71" i="33" s="1"/>
  <c r="AD72" i="33"/>
  <c r="BL72" i="33" s="1"/>
  <c r="DG69" i="33"/>
  <c r="AQ69" i="33" s="1"/>
  <c r="FG85" i="33"/>
  <c r="AD74" i="33"/>
  <c r="BL74" i="33" s="1"/>
  <c r="FM68" i="33"/>
  <c r="AC82" i="33"/>
  <c r="BK82" i="33" s="1"/>
  <c r="Z81" i="33"/>
  <c r="BH81" i="33" s="1"/>
  <c r="DE85" i="33"/>
  <c r="AO85" i="33" s="1"/>
  <c r="DD84" i="33"/>
  <c r="AN84" i="33" s="1"/>
  <c r="Z82" i="33"/>
  <c r="BH82" i="33" s="1"/>
  <c r="FJ86" i="33"/>
  <c r="AD75" i="33"/>
  <c r="BL75" i="33" s="1"/>
  <c r="FK83" i="33"/>
  <c r="V80" i="33"/>
  <c r="BD80" i="33" s="1"/>
  <c r="AD76" i="33"/>
  <c r="BL76" i="33" s="1"/>
  <c r="FH68" i="33"/>
  <c r="DD73" i="33"/>
  <c r="AN73" i="33" s="1"/>
  <c r="AF69" i="33"/>
  <c r="BN69" i="33" s="1"/>
  <c r="DG85" i="33"/>
  <c r="AQ85" i="33" s="1"/>
  <c r="DF74" i="33"/>
  <c r="AP74" i="33" s="1"/>
  <c r="X68" i="33"/>
  <c r="BF68" i="33" s="1"/>
  <c r="Y75" i="33"/>
  <c r="BG75" i="33" s="1"/>
  <c r="FC79" i="33"/>
  <c r="FK84" i="33"/>
  <c r="DD69" i="33"/>
  <c r="DJ77" i="33"/>
  <c r="AC76" i="33"/>
  <c r="BK76" i="33" s="1"/>
  <c r="FG82" i="33"/>
  <c r="Z79" i="33"/>
  <c r="BH79" i="33" s="1"/>
  <c r="DG70" i="33"/>
  <c r="AQ70" i="33" s="1"/>
  <c r="FM69" i="33"/>
  <c r="FL85" i="33"/>
  <c r="AD84" i="33"/>
  <c r="BL84" i="33" s="1"/>
  <c r="Y73" i="33"/>
  <c r="BG73" i="33" s="1"/>
  <c r="DL85" i="33"/>
  <c r="FK73" i="33"/>
  <c r="AC80" i="33"/>
  <c r="BK80" i="33" s="1"/>
  <c r="AF87" i="33"/>
  <c r="BN87" i="33" s="1"/>
  <c r="V76" i="33"/>
  <c r="BD76" i="33" s="1"/>
  <c r="FC68" i="33"/>
  <c r="AD82" i="33"/>
  <c r="BL82" i="33" s="1"/>
  <c r="Z75" i="33"/>
  <c r="BH75" i="33" s="1"/>
  <c r="V72" i="33"/>
  <c r="BD72" i="33" s="1"/>
  <c r="Z77" i="33"/>
  <c r="BH77" i="33" s="1"/>
  <c r="FB87" i="33"/>
  <c r="FK68" i="33"/>
  <c r="DF82" i="33"/>
  <c r="AP82" i="33" s="1"/>
  <c r="DJ81" i="33"/>
  <c r="X71" i="33"/>
  <c r="BF71" i="33" s="1"/>
  <c r="DJ68" i="33"/>
  <c r="AC87" i="33"/>
  <c r="BK87" i="33" s="1"/>
  <c r="DD85" i="33"/>
  <c r="AN85" i="33" s="1"/>
  <c r="AD68" i="33"/>
  <c r="BL68" i="33" s="1"/>
  <c r="FD82" i="33"/>
  <c r="DH81" i="33"/>
  <c r="FB71" i="33"/>
  <c r="DH87" i="33"/>
  <c r="FD78" i="33"/>
  <c r="DL82" i="33"/>
  <c r="AF86" i="33"/>
  <c r="BN86" i="33" s="1"/>
  <c r="DF84" i="33"/>
  <c r="AP84" i="33" s="1"/>
  <c r="DG87" i="33"/>
  <c r="AQ87" i="33" s="1"/>
  <c r="DM72" i="33"/>
  <c r="AC85" i="33"/>
  <c r="BK85" i="33" s="1"/>
  <c r="DH74" i="33"/>
  <c r="DL71" i="33"/>
  <c r="FM73" i="33"/>
  <c r="FJ72" i="33"/>
  <c r="X83" i="33"/>
  <c r="BF83" i="33" s="1"/>
  <c r="FF69" i="33"/>
  <c r="FD76" i="33"/>
  <c r="DH85" i="33"/>
  <c r="DN68" i="33"/>
  <c r="AF75" i="33"/>
  <c r="BN75" i="33" s="1"/>
  <c r="X79" i="33"/>
  <c r="BF79" i="33" s="1"/>
  <c r="AF71" i="33"/>
  <c r="BN71" i="33" s="1"/>
  <c r="FD85" i="33"/>
  <c r="W84" i="33"/>
  <c r="BE84" i="33" s="1"/>
  <c r="W72" i="33"/>
  <c r="BE72" i="33" s="1"/>
  <c r="W87" i="33"/>
  <c r="BE87" i="33" s="1"/>
  <c r="DD78" i="33"/>
  <c r="AN78" i="33" s="1"/>
  <c r="DK86" i="33"/>
  <c r="DL83" i="33"/>
  <c r="AE70" i="33"/>
  <c r="BM70" i="33" s="1"/>
  <c r="FH81" i="33"/>
  <c r="FC73" i="33"/>
  <c r="DH83" i="33"/>
  <c r="DD76" i="33"/>
  <c r="AN76" i="33" s="1"/>
  <c r="FD68" i="33"/>
  <c r="AB82" i="33"/>
  <c r="BJ82" i="33" s="1"/>
  <c r="DD79" i="33"/>
  <c r="AN79" i="33" s="1"/>
  <c r="DL84" i="33"/>
  <c r="W69" i="33"/>
  <c r="BE69" i="33" s="1"/>
  <c r="DH82" i="33"/>
  <c r="AG69" i="33"/>
  <c r="BO69" i="33" s="1"/>
  <c r="FH77" i="33"/>
  <c r="DD74" i="33"/>
  <c r="AN74" i="33" s="1"/>
  <c r="DH75" i="33"/>
  <c r="DK84" i="33"/>
  <c r="DF73" i="33"/>
  <c r="AP73" i="33" s="1"/>
  <c r="FL74" i="33"/>
  <c r="AF79" i="33"/>
  <c r="BN79" i="33" s="1"/>
  <c r="AA71" i="33"/>
  <c r="BI71" i="33" s="1"/>
  <c r="AE73" i="33"/>
  <c r="BM73" i="33" s="1"/>
  <c r="X70" i="33"/>
  <c r="BF70" i="33" s="1"/>
  <c r="DE69" i="33"/>
  <c r="DH77" i="33"/>
  <c r="FL87" i="33"/>
  <c r="FC86" i="33"/>
  <c r="DJ84" i="33"/>
  <c r="AF81" i="33"/>
  <c r="BN81" i="33" s="1"/>
  <c r="FC71" i="33"/>
  <c r="DJ73" i="33"/>
  <c r="AF83" i="33"/>
  <c r="BN83" i="33" s="1"/>
  <c r="W70" i="33"/>
  <c r="BE70" i="33" s="1"/>
  <c r="AE69" i="33"/>
  <c r="BM69" i="33" s="1"/>
  <c r="AB80" i="33"/>
  <c r="BJ80" i="33" s="1"/>
  <c r="DC87" i="33"/>
  <c r="AM87" i="33" s="1"/>
  <c r="DL76" i="33"/>
  <c r="DL74" i="33"/>
  <c r="FL78" i="33"/>
  <c r="DL68" i="33"/>
  <c r="DI86" i="33"/>
  <c r="FT86" i="33" s="1"/>
  <c r="DE78" i="33"/>
  <c r="AO78" i="33" s="1"/>
  <c r="AE82" i="33"/>
  <c r="BM82" i="33" s="1"/>
  <c r="FL86" i="33"/>
  <c r="FJ79" i="33"/>
  <c r="Y84" i="33"/>
  <c r="BG84" i="33" s="1"/>
  <c r="FB73" i="33"/>
  <c r="FL72" i="33"/>
  <c r="FG69" i="33"/>
  <c r="AA74" i="33"/>
  <c r="BI74" i="33" s="1"/>
  <c r="DJ86" i="33"/>
  <c r="AG73" i="33"/>
  <c r="BO73" i="33" s="1"/>
  <c r="DK72" i="33"/>
  <c r="DE83" i="33"/>
  <c r="AO83" i="33" s="1"/>
  <c r="DE76" i="33"/>
  <c r="AO76" i="33" s="1"/>
  <c r="FJ74" i="33"/>
  <c r="DM75" i="33"/>
  <c r="DE79" i="33"/>
  <c r="AO79" i="33" s="1"/>
  <c r="FF81" i="33"/>
  <c r="DM71" i="33"/>
  <c r="FC84" i="33"/>
  <c r="FC72" i="33"/>
  <c r="FC87" i="33"/>
  <c r="W78" i="33"/>
  <c r="BE78" i="33" s="1"/>
  <c r="FF82" i="33"/>
  <c r="FJ75" i="33"/>
  <c r="AE83" i="33"/>
  <c r="BM83" i="33" s="1"/>
  <c r="FK70" i="33"/>
  <c r="FB80" i="33"/>
  <c r="FJ76" i="33"/>
  <c r="DI68" i="33"/>
  <c r="DI81" i="33"/>
  <c r="FT81" i="33" s="1"/>
  <c r="AA83" i="33"/>
  <c r="BI83" i="33" s="1"/>
  <c r="FL69" i="33"/>
  <c r="W76" i="33"/>
  <c r="BE76" i="33" s="1"/>
  <c r="Z85" i="33"/>
  <c r="BH85" i="33" s="1"/>
  <c r="FE74" i="33"/>
  <c r="DI82" i="33"/>
  <c r="FT82" i="33" s="1"/>
  <c r="FE75" i="33"/>
  <c r="W79" i="33"/>
  <c r="BE79" i="33" s="1"/>
  <c r="DJ70" i="33"/>
  <c r="AA82" i="33"/>
  <c r="BI82" i="33" s="1"/>
  <c r="FF79" i="33"/>
  <c r="Z70" i="33"/>
  <c r="BH70" i="33" s="1"/>
  <c r="DI77" i="33"/>
  <c r="FT77" i="33" s="1"/>
  <c r="DM85" i="33"/>
  <c r="W74" i="33"/>
  <c r="BE74" i="33" s="1"/>
  <c r="AA75" i="33"/>
  <c r="BI75" i="33" s="1"/>
  <c r="AE85" i="33"/>
  <c r="BM85" i="33" s="1"/>
  <c r="DM74" i="33"/>
  <c r="DM79" i="33"/>
  <c r="DH71" i="33"/>
  <c r="FD70" i="33"/>
  <c r="X69" i="33"/>
  <c r="BF69" i="33" s="1"/>
  <c r="AA77" i="33"/>
  <c r="BI77" i="33" s="1"/>
  <c r="FB76" i="33"/>
  <c r="DD68" i="33"/>
  <c r="FJ82" i="33"/>
  <c r="W86" i="33"/>
  <c r="BE86" i="33" s="1"/>
  <c r="FF75" i="33"/>
  <c r="AC84" i="33"/>
  <c r="BK84" i="33" s="1"/>
  <c r="DM81" i="33"/>
  <c r="W71" i="33"/>
  <c r="BE71" i="33" s="1"/>
  <c r="FB72" i="33"/>
  <c r="DM83" i="33"/>
  <c r="DD70" i="33"/>
  <c r="FK69" i="33"/>
  <c r="FF77" i="33"/>
  <c r="DI80" i="33"/>
  <c r="FT80" i="33" s="1"/>
  <c r="AE76" i="33"/>
  <c r="BM76" i="33" s="1"/>
  <c r="AE74" i="33"/>
  <c r="BM74" i="33" s="1"/>
  <c r="DM78" i="33"/>
  <c r="AE68" i="33"/>
  <c r="BM68" i="33" s="1"/>
  <c r="FE82" i="33"/>
  <c r="AB86" i="33"/>
  <c r="BJ86" i="33" s="1"/>
  <c r="FD71" i="33"/>
  <c r="CF83" i="33"/>
  <c r="GL83" i="33"/>
  <c r="CF86" i="33"/>
  <c r="GL86" i="33"/>
  <c r="CF74" i="33"/>
  <c r="GL74" i="33"/>
  <c r="FI67" i="33"/>
  <c r="CF81" i="33"/>
  <c r="GL81" i="33"/>
  <c r="CF77" i="33"/>
  <c r="GL77" i="33"/>
  <c r="CF82" i="33"/>
  <c r="GL82" i="33"/>
  <c r="GL85" i="33"/>
  <c r="CF85" i="33"/>
  <c r="CF80" i="33"/>
  <c r="GL80" i="33"/>
  <c r="CF79" i="33"/>
  <c r="GL79" i="33"/>
  <c r="CF84" i="33"/>
  <c r="GL84" i="33"/>
  <c r="GL87" i="33"/>
  <c r="CF87" i="33"/>
  <c r="CF78" i="33"/>
  <c r="GL78" i="33"/>
  <c r="AN69" i="33" l="1"/>
  <c r="AP75" i="33"/>
  <c r="AM69" i="33"/>
  <c r="AM71" i="33"/>
  <c r="AN70" i="33"/>
  <c r="AP70" i="33"/>
  <c r="AM70" i="33"/>
  <c r="BZ82" i="33"/>
  <c r="AX79" i="33"/>
  <c r="BZ74" i="33"/>
  <c r="AX78" i="33"/>
  <c r="GJ69" i="33"/>
  <c r="CD69" i="33"/>
  <c r="AY73" i="33"/>
  <c r="CD70" i="33"/>
  <c r="GJ70" i="33"/>
  <c r="GK71" i="33"/>
  <c r="CE71" i="33"/>
  <c r="CE86" i="33"/>
  <c r="GK86" i="33"/>
  <c r="AW85" i="33"/>
  <c r="BY77" i="33"/>
  <c r="AY74" i="33"/>
  <c r="CC75" i="33"/>
  <c r="CC74" i="33"/>
  <c r="GK72" i="33"/>
  <c r="CE72" i="33"/>
  <c r="CB81" i="33"/>
  <c r="AZ77" i="33"/>
  <c r="AZ75" i="33"/>
  <c r="CC87" i="33"/>
  <c r="BV75" i="33"/>
  <c r="CA84" i="33"/>
  <c r="BX81" i="33"/>
  <c r="GD81" i="33"/>
  <c r="FV74" i="33"/>
  <c r="CA75" i="33"/>
  <c r="AQ68" i="33"/>
  <c r="R17" i="33"/>
  <c r="R16" i="33"/>
  <c r="CF71" i="33"/>
  <c r="BX69" i="33"/>
  <c r="AZ81" i="33"/>
  <c r="BU68" i="33"/>
  <c r="GK77" i="33"/>
  <c r="CE77" i="33"/>
  <c r="B17" i="33"/>
  <c r="B11" i="33"/>
  <c r="AX80" i="33"/>
  <c r="CA71" i="33"/>
  <c r="FV85" i="33"/>
  <c r="BU74" i="33"/>
  <c r="BJ68" i="33"/>
  <c r="B3" i="33"/>
  <c r="BX76" i="33"/>
  <c r="GD76" i="33"/>
  <c r="AO70" i="33"/>
  <c r="GJ84" i="33"/>
  <c r="CD84" i="33"/>
  <c r="AZ79" i="33"/>
  <c r="BZ85" i="33"/>
  <c r="BY71" i="33"/>
  <c r="GK70" i="33"/>
  <c r="CE70" i="33"/>
  <c r="AV76" i="33"/>
  <c r="FV75" i="33"/>
  <c r="CD68" i="33"/>
  <c r="GJ68" i="33"/>
  <c r="F7" i="33"/>
  <c r="AN68" i="33"/>
  <c r="O17" i="33"/>
  <c r="O16" i="33"/>
  <c r="CD85" i="33"/>
  <c r="GJ85" i="33"/>
  <c r="BZ83" i="33"/>
  <c r="BV70" i="33"/>
  <c r="AW79" i="33"/>
  <c r="BW79" i="33"/>
  <c r="CB87" i="33"/>
  <c r="BU72" i="33"/>
  <c r="CB76" i="33"/>
  <c r="AZ85" i="33"/>
  <c r="BY87" i="33"/>
  <c r="FV86" i="33"/>
  <c r="AW86" i="33"/>
  <c r="BZ80" i="33"/>
  <c r="AX86" i="33"/>
  <c r="BU86" i="33"/>
  <c r="CB72" i="33"/>
  <c r="BX78" i="33"/>
  <c r="GD78" i="33"/>
  <c r="AV79" i="33"/>
  <c r="AV81" i="33"/>
  <c r="BU84" i="33"/>
  <c r="GK85" i="33"/>
  <c r="CE85" i="33"/>
  <c r="CA76" i="33"/>
  <c r="BY86" i="33"/>
  <c r="GJ80" i="33"/>
  <c r="CD80" i="33"/>
  <c r="FV87" i="33"/>
  <c r="BY69" i="33"/>
  <c r="BV85" i="33"/>
  <c r="CC81" i="33"/>
  <c r="CA72" i="33"/>
  <c r="AO68" i="33"/>
  <c r="P16" i="33"/>
  <c r="P17" i="33"/>
  <c r="AW83" i="33"/>
  <c r="AZ74" i="33"/>
  <c r="AZ84" i="33"/>
  <c r="AO75" i="33"/>
  <c r="BX87" i="33"/>
  <c r="GD87" i="33"/>
  <c r="AP68" i="33"/>
  <c r="Q16" i="33"/>
  <c r="Q17" i="33"/>
  <c r="CB77" i="33"/>
  <c r="BU79" i="33"/>
  <c r="BZ75" i="33"/>
  <c r="BV79" i="33"/>
  <c r="BV78" i="33"/>
  <c r="F17" i="33"/>
  <c r="F11" i="33"/>
  <c r="GK83" i="33"/>
  <c r="CE83" i="33"/>
  <c r="AO69" i="33"/>
  <c r="CA82" i="33"/>
  <c r="CE75" i="33"/>
  <c r="D17" i="33"/>
  <c r="D11" i="33"/>
  <c r="BY75" i="33"/>
  <c r="BX73" i="33"/>
  <c r="GD73" i="33"/>
  <c r="GK69" i="33"/>
  <c r="CE69" i="33"/>
  <c r="BY82" i="33"/>
  <c r="AZ69" i="33"/>
  <c r="BU73" i="33"/>
  <c r="BX82" i="33"/>
  <c r="GD82" i="33"/>
  <c r="BZ73" i="33"/>
  <c r="BW81" i="33"/>
  <c r="CA78" i="33"/>
  <c r="CA73" i="33"/>
  <c r="BU75" i="33"/>
  <c r="AZ76" i="33"/>
  <c r="BW74" i="33"/>
  <c r="BX80" i="33"/>
  <c r="GD80" i="33"/>
  <c r="GK68" i="33"/>
  <c r="CE68" i="33"/>
  <c r="G7" i="33"/>
  <c r="FV70" i="33"/>
  <c r="AX74" i="33"/>
  <c r="CB86" i="33"/>
  <c r="E12" i="33"/>
  <c r="CB83" i="33"/>
  <c r="BU82" i="33"/>
  <c r="CB70" i="33"/>
  <c r="FV83" i="33"/>
  <c r="CB79" i="33"/>
  <c r="BX83" i="33"/>
  <c r="GD83" i="33"/>
  <c r="CA87" i="33"/>
  <c r="CF68" i="33"/>
  <c r="H7" i="33"/>
  <c r="H46" i="33" s="1"/>
  <c r="BW87" i="33"/>
  <c r="BY83" i="33"/>
  <c r="GJ78" i="33"/>
  <c r="CD78" i="33"/>
  <c r="CA85" i="33"/>
  <c r="GJ77" i="33"/>
  <c r="CD77" i="33"/>
  <c r="CA77" i="33"/>
  <c r="CC86" i="33"/>
  <c r="AY78" i="33"/>
  <c r="CC78" i="33"/>
  <c r="CB78" i="33"/>
  <c r="AY85" i="33"/>
  <c r="GJ74" i="33"/>
  <c r="CD74" i="33"/>
  <c r="BV71" i="33"/>
  <c r="BZ77" i="33"/>
  <c r="BV74" i="33"/>
  <c r="FT68" i="33"/>
  <c r="C17" i="33"/>
  <c r="C11" i="33"/>
  <c r="AX76" i="33"/>
  <c r="BW70" i="33"/>
  <c r="AW74" i="33"/>
  <c r="AW78" i="33"/>
  <c r="H11" i="33"/>
  <c r="H50" i="33" s="1"/>
  <c r="H17" i="33"/>
  <c r="BW71" i="33"/>
  <c r="CC82" i="33"/>
  <c r="CC84" i="33"/>
  <c r="AW73" i="33"/>
  <c r="AW84" i="33"/>
  <c r="CC72" i="33"/>
  <c r="CC79" i="33"/>
  <c r="GK78" i="33"/>
  <c r="CE78" i="33"/>
  <c r="BV68" i="33"/>
  <c r="BZ86" i="33"/>
  <c r="CA74" i="33"/>
  <c r="BY76" i="33"/>
  <c r="GK80" i="33"/>
  <c r="CE80" i="33"/>
  <c r="GJ87" i="33"/>
  <c r="CD87" i="33"/>
  <c r="FV76" i="33"/>
  <c r="BY84" i="33"/>
  <c r="CA83" i="33"/>
  <c r="BY78" i="33"/>
  <c r="BY72" i="33"/>
  <c r="AZ71" i="33"/>
  <c r="CF70" i="33"/>
  <c r="AX82" i="33"/>
  <c r="BV73" i="33"/>
  <c r="CC80" i="33"/>
  <c r="AV84" i="33"/>
  <c r="BW75" i="33"/>
  <c r="GK74" i="33"/>
  <c r="CE74" i="33"/>
  <c r="AY80" i="33"/>
  <c r="AV80" i="33"/>
  <c r="BZ72" i="33"/>
  <c r="BW80" i="33"/>
  <c r="BY80" i="33"/>
  <c r="BY73" i="33"/>
  <c r="AY79" i="33"/>
  <c r="AZ86" i="33"/>
  <c r="G12" i="33"/>
  <c r="BX70" i="33"/>
  <c r="GD85" i="33"/>
  <c r="BX85" i="33"/>
  <c r="BZ76" i="33"/>
  <c r="FV82" i="33"/>
  <c r="BW85" i="33"/>
  <c r="GJ76" i="33"/>
  <c r="CD76" i="33"/>
  <c r="BW69" i="33"/>
  <c r="AX83" i="33"/>
  <c r="BX84" i="33"/>
  <c r="GD84" i="33"/>
  <c r="GJ73" i="33"/>
  <c r="CD73" i="33"/>
  <c r="FV77" i="33"/>
  <c r="AW76" i="33"/>
  <c r="BV87" i="33"/>
  <c r="CB85" i="33"/>
  <c r="FV68" i="33"/>
  <c r="C12" i="33"/>
  <c r="AX85" i="33"/>
  <c r="CD71" i="33"/>
  <c r="GJ71" i="33"/>
  <c r="AV72" i="33"/>
  <c r="AX81" i="33"/>
  <c r="FV84" i="33"/>
  <c r="BV77" i="33"/>
  <c r="AW82" i="33"/>
  <c r="CC85" i="33"/>
  <c r="AN75" i="33"/>
  <c r="AY81" i="33"/>
  <c r="FV69" i="33"/>
  <c r="AZ83" i="33"/>
  <c r="CA79" i="33"/>
  <c r="BY68" i="33"/>
  <c r="BZ87" i="33"/>
  <c r="AV74" i="33"/>
  <c r="BX77" i="33"/>
  <c r="GD77" i="33"/>
  <c r="CC77" i="33"/>
  <c r="BW84" i="33"/>
  <c r="CC83" i="33"/>
  <c r="AZ78" i="33"/>
  <c r="AZ80" i="33"/>
  <c r="CD86" i="33"/>
  <c r="GJ86" i="33"/>
  <c r="E11" i="33"/>
  <c r="E17" i="33"/>
  <c r="BW78" i="33"/>
  <c r="AV78" i="33"/>
  <c r="AY77" i="33"/>
  <c r="BU77" i="33"/>
  <c r="BZ70" i="33"/>
  <c r="CA70" i="33"/>
  <c r="AY87" i="33"/>
  <c r="BX74" i="33"/>
  <c r="GD74" i="33"/>
  <c r="BW77" i="33"/>
  <c r="CB84" i="33"/>
  <c r="GK81" i="33"/>
  <c r="CE81" i="33"/>
  <c r="BZ71" i="33"/>
  <c r="CF69" i="33"/>
  <c r="BV72" i="33"/>
  <c r="AY82" i="33"/>
  <c r="BU76" i="33"/>
  <c r="CC76" i="33"/>
  <c r="BY81" i="33"/>
  <c r="CB73" i="33"/>
  <c r="CA69" i="33"/>
  <c r="AM75" i="33"/>
  <c r="BX72" i="33"/>
  <c r="GD72" i="33"/>
  <c r="AV83" i="33"/>
  <c r="BX86" i="33"/>
  <c r="GD86" i="33"/>
  <c r="AZ73" i="33"/>
  <c r="BV81" i="33"/>
  <c r="CC71" i="33"/>
  <c r="BY74" i="33"/>
  <c r="AW80" i="33"/>
  <c r="CB69" i="33"/>
  <c r="BZ79" i="33"/>
  <c r="FV71" i="33"/>
  <c r="CF75" i="33"/>
  <c r="AP69" i="33"/>
  <c r="AZ82" i="33"/>
  <c r="AY76" i="33"/>
  <c r="CC70" i="33"/>
  <c r="AM68" i="33"/>
  <c r="N16" i="33"/>
  <c r="N17" i="33"/>
  <c r="BV83" i="33"/>
  <c r="BU83" i="33"/>
  <c r="BZ81" i="33"/>
  <c r="AY83" i="33"/>
  <c r="BU78" i="33"/>
  <c r="CC73" i="33"/>
  <c r="AW72" i="33"/>
  <c r="CF72" i="33"/>
  <c r="AY72" i="33"/>
  <c r="BX71" i="33"/>
  <c r="BY70" i="33"/>
  <c r="BY85" i="33"/>
  <c r="CF73" i="33"/>
  <c r="AV87" i="33"/>
  <c r="GK79" i="33"/>
  <c r="CE79" i="33"/>
  <c r="BV84" i="33"/>
  <c r="AZ87" i="33"/>
  <c r="F12" i="33"/>
  <c r="GK87" i="33"/>
  <c r="CE87" i="33"/>
  <c r="AZ70" i="33"/>
  <c r="BX75" i="33"/>
  <c r="BU80" i="33"/>
  <c r="CB82" i="33"/>
  <c r="CB68" i="33"/>
  <c r="D7" i="33"/>
  <c r="BU87" i="33"/>
  <c r="AN71" i="33"/>
  <c r="BV82" i="33"/>
  <c r="AW77" i="33"/>
  <c r="BU70" i="33"/>
  <c r="AV86" i="33"/>
  <c r="FV73" i="33"/>
  <c r="CB75" i="33"/>
  <c r="BZ68" i="33"/>
  <c r="B7" i="33"/>
  <c r="AV77" i="33"/>
  <c r="BW72" i="33"/>
  <c r="GJ75" i="33"/>
  <c r="CD75" i="33"/>
  <c r="FV72" i="33"/>
  <c r="BU71" i="33"/>
  <c r="AX72" i="33"/>
  <c r="AW81" i="33"/>
  <c r="BW82" i="33"/>
  <c r="BV80" i="33"/>
  <c r="GK73" i="33"/>
  <c r="CE73" i="33"/>
  <c r="AW87" i="33"/>
  <c r="AV73" i="33"/>
  <c r="CD72" i="33"/>
  <c r="GJ72" i="33"/>
  <c r="AY86" i="33"/>
  <c r="AV82" i="33"/>
  <c r="BX79" i="33"/>
  <c r="GD79" i="33"/>
  <c r="CB71" i="33"/>
  <c r="AZ72" i="33"/>
  <c r="BW86" i="33"/>
  <c r="GJ81" i="33"/>
  <c r="CD81" i="33"/>
  <c r="CA81" i="33"/>
  <c r="BU81" i="33"/>
  <c r="CF76" i="33"/>
  <c r="CA86" i="33"/>
  <c r="BV86" i="33"/>
  <c r="BV76" i="33"/>
  <c r="GJ83" i="33"/>
  <c r="CD83" i="33"/>
  <c r="GJ82" i="33"/>
  <c r="CD82" i="33"/>
  <c r="CA80" i="33"/>
  <c r="BV69" i="33"/>
  <c r="FV81" i="33"/>
  <c r="BW83" i="33"/>
  <c r="AY84" i="33"/>
  <c r="CC68" i="33"/>
  <c r="E7" i="33"/>
  <c r="CB80" i="33"/>
  <c r="BY79" i="33"/>
  <c r="BW68" i="33"/>
  <c r="H12" i="33"/>
  <c r="BZ69" i="33"/>
  <c r="AO71" i="33"/>
  <c r="FV80" i="33"/>
  <c r="BZ78" i="33"/>
  <c r="GJ79" i="33"/>
  <c r="CD79" i="33"/>
  <c r="FV78" i="33"/>
  <c r="GK82" i="33"/>
  <c r="CE82" i="33"/>
  <c r="CC69" i="33"/>
  <c r="BW76" i="33"/>
  <c r="CE84" i="33"/>
  <c r="GK84" i="33"/>
  <c r="AX73" i="33"/>
  <c r="FV79" i="33"/>
  <c r="G17" i="33"/>
  <c r="G11" i="33"/>
  <c r="AX84" i="33"/>
  <c r="BU69" i="33"/>
  <c r="BX68" i="33"/>
  <c r="BU85" i="33"/>
  <c r="BZ84" i="33"/>
  <c r="AX87" i="33"/>
  <c r="GK76" i="33"/>
  <c r="CE76" i="33"/>
  <c r="BW73" i="33"/>
  <c r="AX77" i="33"/>
  <c r="AV85" i="33"/>
  <c r="CB74" i="33"/>
  <c r="G50" i="33" l="1"/>
  <c r="CA68" i="33"/>
  <c r="C7" i="33"/>
  <c r="F15" i="33"/>
  <c r="G15" i="33"/>
  <c r="G46" i="33"/>
  <c r="F46" i="33" s="1"/>
  <c r="E46" i="33" s="1"/>
  <c r="D46" i="33" s="1"/>
  <c r="C15" i="33"/>
  <c r="E15" i="33"/>
  <c r="F50" i="33"/>
  <c r="E50" i="33" s="1"/>
  <c r="D50" i="33" s="1"/>
  <c r="C50" i="33" s="1"/>
  <c r="B50" i="33" s="1"/>
  <c r="H15" i="33"/>
  <c r="H54" i="33" s="1"/>
  <c r="H51" i="33"/>
  <c r="G51" i="33" s="1"/>
  <c r="F51" i="33" s="1"/>
  <c r="E51" i="33" s="1"/>
  <c r="G8" i="33"/>
  <c r="F8" i="33"/>
  <c r="E8" i="33"/>
  <c r="B8" i="33"/>
  <c r="H8" i="33"/>
  <c r="H47" i="33" s="1"/>
  <c r="D8" i="33"/>
  <c r="G47" i="33" l="1"/>
  <c r="F47" i="33" s="1"/>
  <c r="E47" i="33" s="1"/>
  <c r="D47" i="33" s="1"/>
  <c r="G54" i="33"/>
  <c r="F54" i="33" s="1"/>
  <c r="E54" i="33" s="1"/>
  <c r="C46" i="33"/>
  <c r="B46" i="33" s="1"/>
  <c r="C8" i="33"/>
  <c r="AA29" i="23" a="1"/>
  <c r="DO44" i="23" a="1"/>
  <c r="Z38" i="23" a="1"/>
  <c r="DO32" i="23" a="1"/>
  <c r="U37" i="23" a="1"/>
  <c r="Z45" i="23" a="1"/>
  <c r="DQ40" i="23" a="1"/>
  <c r="U33" i="23" a="1"/>
  <c r="AA35" i="23" a="1"/>
  <c r="W34" i="23" a="1"/>
  <c r="W35" i="23" a="1"/>
  <c r="W42" i="23" a="1"/>
  <c r="AA31" i="23" a="1"/>
  <c r="DT30" i="23" a="1"/>
  <c r="FI68" i="33" a="1"/>
  <c r="FI73" i="33" a="1"/>
  <c r="DS39" i="23" a="1"/>
  <c r="DN41" i="23" a="1"/>
  <c r="S41" i="23" a="1"/>
  <c r="DS44" i="23" a="1"/>
  <c r="DM34" i="23" a="1"/>
  <c r="Z34" i="23" a="1"/>
  <c r="W31" i="23" a="1"/>
  <c r="S43" i="23" a="1"/>
  <c r="AA42" i="23" a="1"/>
  <c r="DS40" i="23" a="1"/>
  <c r="DN29" i="23" a="1"/>
  <c r="DQ36" i="23" a="1"/>
  <c r="DT33" i="23" a="1"/>
  <c r="DU26" i="23" a="1"/>
  <c r="V39" i="23" a="1"/>
  <c r="S28" i="23" a="1"/>
  <c r="U28" i="23" a="1"/>
  <c r="V37" i="23" a="1"/>
  <c r="Z42" i="23" a="1"/>
  <c r="DM42" i="23" a="1"/>
  <c r="AA39" i="23" a="1"/>
  <c r="V31" i="23" a="1"/>
  <c r="V43" i="23" a="1"/>
  <c r="Z33" i="23" a="1"/>
  <c r="DP28" i="23" a="1"/>
  <c r="DP33" i="23" a="1"/>
  <c r="S32" i="23" a="1"/>
  <c r="DM27" i="23" a="1"/>
  <c r="T34" i="23" a="1"/>
  <c r="AA28" i="23" a="1"/>
  <c r="Y30" i="23" a="1"/>
  <c r="S35" i="23" a="1"/>
  <c r="DQ31" i="23" a="1"/>
  <c r="FI71" i="33" a="1"/>
  <c r="C71" i="33"/>
  <c r="DS45" i="23" a="1"/>
  <c r="X45" i="23" a="1"/>
  <c r="DT36" i="23" a="1"/>
  <c r="T27" i="23" a="1"/>
  <c r="T38" i="23" a="1"/>
  <c r="C85" i="33"/>
  <c r="DR32" i="23" a="1"/>
  <c r="DT40" i="23" a="1"/>
  <c r="T33" i="23" a="1"/>
  <c r="V34" i="23" a="1"/>
  <c r="Z30" i="23" a="1"/>
  <c r="DQ35" i="23" a="1"/>
  <c r="T39" i="23" a="1"/>
  <c r="DM45" i="23" a="1"/>
  <c r="DR44" i="23" a="1"/>
  <c r="DM33" i="23" a="1"/>
  <c r="DP37" i="23" a="1"/>
  <c r="W37" i="23" a="1"/>
  <c r="DN34" i="23" a="1"/>
  <c r="DU37" i="23" a="1"/>
  <c r="DP36" i="23" a="1"/>
  <c r="DQ43" i="23" a="1"/>
  <c r="DO37" i="23" a="1"/>
  <c r="C76" i="33"/>
  <c r="DP40" i="23" a="1"/>
  <c r="DU34" i="23" a="1"/>
  <c r="U41" i="23" a="1"/>
  <c r="DM30" i="23" a="1"/>
  <c r="T35" i="23" a="1"/>
  <c r="DU31" i="23" a="1"/>
  <c r="Y35" i="23" a="1"/>
  <c r="DT31" i="23" a="1"/>
  <c r="S37" i="23" a="1"/>
  <c r="DR28" i="23" a="1"/>
  <c r="DT37" i="23" a="1"/>
  <c r="S31" i="23" a="1"/>
  <c r="X38" i="23" a="1"/>
  <c r="C75" i="33"/>
  <c r="T26" i="23" a="1"/>
  <c r="DN44" i="23" a="1"/>
  <c r="DU29" i="23" a="1"/>
  <c r="V41" i="23" a="1"/>
  <c r="X39" i="23" a="1"/>
  <c r="V38" i="23" a="1"/>
  <c r="U45" i="23" a="1"/>
  <c r="DT38" i="23" a="1"/>
  <c r="DN39" i="23" a="1"/>
  <c r="DP39" i="23" a="1"/>
  <c r="Z43" i="23" a="1"/>
  <c r="AA44" i="23" a="1"/>
  <c r="T42" i="23" a="1"/>
  <c r="W39" i="23" a="1"/>
  <c r="DO29" i="23" a="1"/>
  <c r="C87" i="33"/>
  <c r="DQ29" i="23" a="1"/>
  <c r="DS34" i="23" a="1"/>
  <c r="Z26" i="23" a="1"/>
  <c r="C82" i="33"/>
  <c r="V29" i="23" a="1"/>
  <c r="Y40" i="23" a="1"/>
  <c r="T29" i="23" a="1"/>
  <c r="DQ44" i="23" a="1"/>
  <c r="DM38" i="23" a="1"/>
  <c r="X41" i="23" a="1"/>
  <c r="U27" i="23" a="1"/>
  <c r="T30" i="23" a="1"/>
  <c r="X36" i="23" a="1"/>
  <c r="DS28" i="23" a="1"/>
  <c r="DM26" i="23" a="1"/>
  <c r="DO30" i="23" a="1"/>
  <c r="DU28" i="23" a="1"/>
  <c r="X40" i="23" a="1"/>
  <c r="FI70" i="33" a="1"/>
  <c r="FI83" i="33" a="1"/>
  <c r="Y26" i="23" a="1"/>
  <c r="DO27" i="23" a="1"/>
  <c r="V32" i="23" a="1"/>
  <c r="C79" i="33"/>
  <c r="DR30" i="23" a="1"/>
  <c r="DT41" i="23" a="1"/>
  <c r="Y38" i="23" a="1"/>
  <c r="AA33" i="23" a="1"/>
  <c r="W30" i="23" a="1"/>
  <c r="DQ32" i="23" a="1"/>
  <c r="DO31" i="23" a="1"/>
  <c r="DS26" i="23" a="1"/>
  <c r="DT32" i="23" a="1"/>
  <c r="DU30" i="23" a="1"/>
  <c r="DO35" i="23" a="1"/>
  <c r="DO45" i="23" a="1"/>
  <c r="W43" i="23" a="1"/>
  <c r="DU27" i="23" a="1"/>
  <c r="DN33" i="23" a="1"/>
  <c r="DU35" i="23" a="1"/>
  <c r="U39" i="23" a="1"/>
  <c r="U36" i="23" a="1"/>
  <c r="DU39" i="23" a="1"/>
  <c r="DQ37" i="23" a="1"/>
  <c r="Z29" i="23" a="1"/>
  <c r="DM28" i="23" a="1"/>
  <c r="FI84" i="33" a="1"/>
  <c r="Y31" i="23" a="1"/>
  <c r="S39" i="23" a="1"/>
  <c r="DM40" i="23" a="1"/>
  <c r="DU33" i="23" a="1"/>
  <c r="DR27" i="23" a="1"/>
  <c r="FI76" i="33" a="1"/>
  <c r="DO36" i="23" a="1"/>
  <c r="DR45" i="23" a="1"/>
  <c r="DR31" i="23" a="1"/>
  <c r="W36" i="23" a="1"/>
  <c r="S45" i="23" a="1"/>
  <c r="AA43" i="23" a="1"/>
  <c r="C69" i="33"/>
  <c r="DP43" i="23" a="1"/>
  <c r="U31" i="23" a="1"/>
  <c r="V36" i="23" a="1"/>
  <c r="V44" i="23" a="1"/>
  <c r="U30" i="23" a="1"/>
  <c r="DO42" i="23" a="1"/>
  <c r="DQ34" i="23" a="1"/>
  <c r="Y45" i="23" a="1"/>
  <c r="AA40" i="23" a="1"/>
  <c r="Z44" i="23" a="1"/>
  <c r="T41" i="23" a="1"/>
  <c r="DU41" i="23" a="1"/>
  <c r="Y43" i="23" a="1"/>
  <c r="DT34" i="23" a="1"/>
  <c r="V30" i="23" a="1"/>
  <c r="U32" i="23" a="1"/>
  <c r="DU44" i="23" a="1"/>
  <c r="W44" i="23" a="1"/>
  <c r="DS31" i="23" a="1"/>
  <c r="FI82" i="33" a="1"/>
  <c r="Z32" i="23" a="1"/>
  <c r="S42" i="23" a="1"/>
  <c r="X32" i="23" a="1"/>
  <c r="U42" i="23" a="1"/>
  <c r="S44" i="23" a="1"/>
  <c r="T31" i="23" a="1"/>
  <c r="W26" i="23" a="1"/>
  <c r="T28" i="23" a="1"/>
  <c r="S27" i="23" a="1"/>
  <c r="DN28" i="23" a="1"/>
  <c r="W40" i="23" a="1"/>
  <c r="Y34" i="23" a="1"/>
  <c r="DQ38" i="23" a="1"/>
  <c r="C77" i="33"/>
  <c r="DS37" i="23" a="1"/>
  <c r="DP31" i="23" a="1"/>
  <c r="DM31" i="23" a="1"/>
  <c r="DQ45" i="23" a="1"/>
  <c r="X31" i="23" a="1"/>
  <c r="C80" i="33"/>
  <c r="DO38" i="23" a="1"/>
  <c r="DQ30" i="23" a="1"/>
  <c r="X33" i="23" a="1"/>
  <c r="DQ27" i="23" a="1"/>
  <c r="FI81" i="33" a="1"/>
  <c r="DU43" i="23" a="1"/>
  <c r="DR35" i="23" a="1"/>
  <c r="DR29" i="23" a="1"/>
  <c r="Z27" i="23" a="1"/>
  <c r="DP41" i="23" a="1"/>
  <c r="X35" i="23" a="1"/>
  <c r="C78" i="33"/>
  <c r="Y36" i="23" a="1"/>
  <c r="W38" i="23" a="1"/>
  <c r="DR36" i="23" a="1"/>
  <c r="FI69" i="33" a="1"/>
  <c r="C86" i="33"/>
  <c r="T43" i="23" a="1"/>
  <c r="DS43" i="23" a="1"/>
  <c r="AA37" i="23" a="1"/>
  <c r="DT28" i="23" a="1"/>
  <c r="S36" i="23" a="1"/>
  <c r="T44" i="23" a="1"/>
  <c r="DO39" i="23" a="1"/>
  <c r="DS42" i="23" a="1"/>
  <c r="Z37" i="23" a="1"/>
  <c r="V27" i="23" a="1"/>
  <c r="Z35" i="23" a="1"/>
  <c r="DM39" i="23" a="1"/>
  <c r="DN42" i="23" a="1"/>
  <c r="Y42" i="23" a="1"/>
  <c r="DR26" i="23" a="1"/>
  <c r="DP27" i="23" a="1"/>
  <c r="C72" i="33"/>
  <c r="DN45" i="23" a="1"/>
  <c r="DO40" i="23" a="1"/>
  <c r="DN35" i="23" a="1"/>
  <c r="DS33" i="23" a="1"/>
  <c r="Z40" i="23" a="1"/>
  <c r="AA27" i="23" a="1"/>
  <c r="AA26" i="23" a="1"/>
  <c r="FI85" i="33" a="1"/>
  <c r="X28" i="23" a="1"/>
  <c r="DU36" i="23" a="1"/>
  <c r="AA34" i="23" a="1"/>
  <c r="S33" i="23" a="1"/>
  <c r="DN38" i="23" a="1"/>
  <c r="U29" i="23" a="1"/>
  <c r="V33" i="23" a="1"/>
  <c r="DN43" i="23" a="1"/>
  <c r="DS35" i="23" a="1"/>
  <c r="U26" i="23" a="1"/>
  <c r="T45" i="23" a="1"/>
  <c r="DU32" i="23" a="1"/>
  <c r="DS29" i="23" a="1"/>
  <c r="DT45" i="23" a="1"/>
  <c r="C83" i="33"/>
  <c r="X34" i="23" a="1"/>
  <c r="FI78" i="33" a="1"/>
  <c r="DP29" i="23" a="1"/>
  <c r="Y39" i="23" a="1"/>
  <c r="Y32" i="23" a="1"/>
  <c r="DM44" i="23" a="1"/>
  <c r="DM36" i="23" a="1"/>
  <c r="DP44" i="23" a="1"/>
  <c r="DP42" i="23" a="1"/>
  <c r="Y41" i="23" a="1"/>
  <c r="AA45" i="23" a="1"/>
  <c r="DR37" i="23" a="1"/>
  <c r="Z39" i="23" a="1"/>
  <c r="DP30" i="23" a="1"/>
  <c r="DS30" i="23" a="1"/>
  <c r="W27" i="23" a="1"/>
  <c r="C81" i="33"/>
  <c r="C68" i="33"/>
  <c r="S29" i="23" a="1"/>
  <c r="X27" i="23" a="1"/>
  <c r="DT27" i="23" a="1"/>
  <c r="DR43" i="23" a="1"/>
  <c r="DU42" i="23" a="1"/>
  <c r="X42" i="23" a="1"/>
  <c r="C73" i="33"/>
  <c r="DQ39" i="23" a="1"/>
  <c r="DR42" i="23" a="1"/>
  <c r="U43" i="23" a="1"/>
  <c r="X43" i="23" a="1"/>
  <c r="DQ33" i="23" a="1"/>
  <c r="Y44" i="23" a="1"/>
  <c r="S38" i="23" a="1"/>
  <c r="DT26" i="23" a="1"/>
  <c r="V26" i="23" a="1"/>
  <c r="DS32" i="23" a="1"/>
  <c r="FI77" i="33" a="1"/>
  <c r="AA41" i="23" a="1"/>
  <c r="DT43" i="23" a="1"/>
  <c r="DM35" i="23" a="1"/>
  <c r="DR39" i="23" a="1"/>
  <c r="DO33" i="23" a="1"/>
  <c r="DT35" i="23" a="1"/>
  <c r="W28" i="23" a="1"/>
  <c r="W32" i="23" a="1"/>
  <c r="FI86" i="33" a="1"/>
  <c r="V45" i="23" a="1"/>
  <c r="U44" i="23" a="1"/>
  <c r="DT42" i="23" a="1"/>
  <c r="DT29" i="23" a="1"/>
  <c r="Y28" i="23" a="1"/>
  <c r="DO43" i="23" a="1"/>
  <c r="DU38" i="23" a="1"/>
  <c r="DR38" i="23" a="1"/>
  <c r="DN31" i="23" a="1"/>
  <c r="DQ26" i="23" a="1"/>
  <c r="Y27" i="23" a="1"/>
  <c r="AA36" i="23" a="1"/>
  <c r="AA32" i="23" a="1"/>
  <c r="X29" i="23" a="1"/>
  <c r="X37" i="23" a="1"/>
  <c r="S40" i="23" a="1"/>
  <c r="DN30" i="23" a="1"/>
  <c r="DP32" i="23" a="1"/>
  <c r="DP34" i="23" a="1"/>
  <c r="C84" i="33"/>
  <c r="FI80" i="33" a="1"/>
  <c r="W45" i="23" a="1"/>
  <c r="V28" i="23" a="1"/>
  <c r="Y33" i="23" a="1"/>
  <c r="DO26" i="23" a="1"/>
  <c r="S34" i="23" a="1"/>
  <c r="DQ41" i="23" a="1"/>
  <c r="X30" i="23" a="1"/>
  <c r="DN32" i="23" a="1"/>
  <c r="V42" i="23" a="1"/>
  <c r="Z36" i="23" a="1"/>
  <c r="DN40" i="23" a="1"/>
  <c r="T36" i="23" a="1"/>
  <c r="DR34" i="23" a="1"/>
  <c r="W29" i="23" a="1"/>
  <c r="U38" i="23" a="1"/>
  <c r="V40" i="23" a="1"/>
  <c r="DO41" i="23" a="1"/>
  <c r="Z28" i="23" a="1"/>
  <c r="DM37" i="23" a="1"/>
  <c r="DM32" i="23" a="1"/>
  <c r="DS27" i="23" a="1"/>
  <c r="DT44" i="23" a="1"/>
  <c r="Y37" i="23" a="1"/>
  <c r="FI72" i="33" a="1"/>
  <c r="DP45" i="23" a="1"/>
  <c r="DS36" i="23" a="1"/>
  <c r="Y29" i="23" a="1"/>
  <c r="DN26" i="23" a="1"/>
  <c r="FI75" i="33" a="1"/>
  <c r="DQ28" i="23" a="1"/>
  <c r="T32" i="23" a="1"/>
  <c r="S26" i="23" a="1"/>
  <c r="DM29" i="23" a="1"/>
  <c r="DQ42" i="23" a="1"/>
  <c r="V35" i="23" a="1"/>
  <c r="DP35" i="23" a="1"/>
  <c r="T37" i="23" a="1"/>
  <c r="DR33" i="23" a="1"/>
  <c r="DS41" i="23" a="1"/>
  <c r="DN27" i="23" a="1"/>
  <c r="C74" i="33"/>
  <c r="DR41" i="23" a="1"/>
  <c r="FI87" i="33" a="1"/>
  <c r="DM43" i="23" a="1"/>
  <c r="DN36" i="23" a="1"/>
  <c r="DO28" i="23" a="1"/>
  <c r="S30" i="23" a="1"/>
  <c r="DO34" i="23" a="1"/>
  <c r="W41" i="23" a="1"/>
  <c r="X26" i="23" a="1"/>
  <c r="DU40" i="23" a="1"/>
  <c r="DN37" i="23" a="1"/>
  <c r="Z41" i="23" a="1"/>
  <c r="AA30" i="23" a="1"/>
  <c r="DM41" i="23" a="1"/>
  <c r="Z31" i="23" a="1"/>
  <c r="X44" i="23" a="1"/>
  <c r="DS38" i="23" a="1"/>
  <c r="DP26" i="23" a="1"/>
  <c r="DU45" i="23" a="1"/>
  <c r="T40" i="23" a="1"/>
  <c r="DT39" i="23" a="1"/>
  <c r="U34" i="23" a="1"/>
  <c r="DR40" i="23" a="1"/>
  <c r="AA38" i="23" a="1"/>
  <c r="U35" i="23" a="1"/>
  <c r="W33" i="23" a="1"/>
  <c r="DP38" i="23" a="1"/>
  <c r="C70" i="33"/>
  <c r="U40" i="23" a="1"/>
  <c r="U40" i="23" l="1"/>
  <c r="AI40" i="23" s="1"/>
  <c r="AW40" i="23" s="1"/>
  <c r="BK40" i="23" s="1"/>
  <c r="GI70" i="33"/>
  <c r="CU70" i="33"/>
  <c r="CM70" i="33"/>
  <c r="CW70" i="33"/>
  <c r="GG70" i="33"/>
  <c r="GF70" i="33"/>
  <c r="CS70" i="33"/>
  <c r="CT70" i="33"/>
  <c r="GB70" i="33"/>
  <c r="GA70" i="33"/>
  <c r="GC70" i="33"/>
  <c r="CQ70" i="33"/>
  <c r="CP70" i="33"/>
  <c r="GD70" i="33"/>
  <c r="CO70" i="33"/>
  <c r="CV70" i="33"/>
  <c r="GE70" i="33"/>
  <c r="CR70" i="33"/>
  <c r="CN70" i="33"/>
  <c r="AX70" i="33" s="1"/>
  <c r="CL70" i="33"/>
  <c r="GH70" i="33"/>
  <c r="GL70" i="33"/>
  <c r="DP38" i="23"/>
  <c r="W33" i="23"/>
  <c r="AK33" i="23" s="1"/>
  <c r="AY33" i="23" s="1"/>
  <c r="BM33" i="23" s="1"/>
  <c r="U35" i="23"/>
  <c r="AI35" i="23" s="1"/>
  <c r="BY35" i="23" s="1" a="1"/>
  <c r="BY35" i="23" s="1"/>
  <c r="AA38" i="23"/>
  <c r="AO38" i="23" s="1"/>
  <c r="DR40" i="23"/>
  <c r="U34" i="23"/>
  <c r="AI34" i="23" s="1"/>
  <c r="AW34" i="23" s="1"/>
  <c r="BK34" i="23" s="1"/>
  <c r="DT39" i="23"/>
  <c r="T40" i="23"/>
  <c r="AH40" i="23" s="1"/>
  <c r="DU45" i="23"/>
  <c r="DP26" i="23"/>
  <c r="I9" i="23" s="1"/>
  <c r="I11" i="23" s="1"/>
  <c r="DS38" i="23"/>
  <c r="X44" i="23"/>
  <c r="AL44" i="23" s="1"/>
  <c r="CB44" i="23" s="1" a="1"/>
  <c r="CB44" i="23" s="1"/>
  <c r="Z31" i="23"/>
  <c r="AN31" i="23" s="1"/>
  <c r="BB31" i="23" s="1"/>
  <c r="BP31" i="23" s="1"/>
  <c r="DM41" i="23"/>
  <c r="AA30" i="23"/>
  <c r="AO30" i="23" s="1"/>
  <c r="Z41" i="23"/>
  <c r="AN41" i="23" s="1"/>
  <c r="DN37" i="23"/>
  <c r="DU40" i="23"/>
  <c r="X26" i="23"/>
  <c r="AL26" i="23" s="1"/>
  <c r="W41" i="23"/>
  <c r="AK41" i="23" s="1"/>
  <c r="DO34" i="23"/>
  <c r="S30" i="23"/>
  <c r="AG30" i="23" s="1"/>
  <c r="AU30" i="23" s="1"/>
  <c r="BI30" i="23" s="1"/>
  <c r="DO28" i="23"/>
  <c r="DN36" i="23"/>
  <c r="DM43" i="23"/>
  <c r="FI87" i="33"/>
  <c r="DR41" i="23"/>
  <c r="CW74" i="33"/>
  <c r="EE74" i="33" s="1"/>
  <c r="GZ74" i="33" s="1"/>
  <c r="GA74" i="33"/>
  <c r="CQ74" i="33"/>
  <c r="GH74" i="33"/>
  <c r="CN74" i="33"/>
  <c r="CP74" i="33"/>
  <c r="GG74" i="33"/>
  <c r="GC74" i="33"/>
  <c r="CR74" i="33"/>
  <c r="CV74" i="33"/>
  <c r="CT74" i="33"/>
  <c r="GE74" i="33"/>
  <c r="CO74" i="33"/>
  <c r="GF74" i="33"/>
  <c r="CS74" i="33"/>
  <c r="CM74" i="33"/>
  <c r="GI74" i="33"/>
  <c r="CU74" i="33"/>
  <c r="EC74" i="33" s="1"/>
  <c r="GX74" i="33" s="1"/>
  <c r="CL74" i="33"/>
  <c r="GB74" i="33"/>
  <c r="DN27" i="23"/>
  <c r="DS41" i="23"/>
  <c r="DR33" i="23"/>
  <c r="T37" i="23"/>
  <c r="AH37" i="23" s="1"/>
  <c r="AV37" i="23" s="1"/>
  <c r="BJ37" i="23" s="1"/>
  <c r="DP35" i="23"/>
  <c r="V35" i="23"/>
  <c r="AJ35" i="23" s="1"/>
  <c r="BZ35" i="23" s="1" a="1"/>
  <c r="BZ35" i="23" s="1"/>
  <c r="DQ42" i="23"/>
  <c r="DM29" i="23"/>
  <c r="S26" i="23"/>
  <c r="AG26" i="23" s="1"/>
  <c r="AU26" i="23" s="1"/>
  <c r="BI26" i="23" s="1"/>
  <c r="T32" i="23"/>
  <c r="AH32" i="23" s="1"/>
  <c r="DQ28" i="23"/>
  <c r="FI75" i="33"/>
  <c r="DN26" i="23"/>
  <c r="C9" i="23" s="1"/>
  <c r="Y29" i="23"/>
  <c r="AM29" i="23" s="1"/>
  <c r="BA29" i="23" s="1"/>
  <c r="BO29" i="23" s="1"/>
  <c r="DS36" i="23"/>
  <c r="DP45" i="23"/>
  <c r="FI72" i="33"/>
  <c r="Y37" i="23"/>
  <c r="AM37" i="23" s="1"/>
  <c r="BA37" i="23" s="1"/>
  <c r="BO37" i="23" s="1"/>
  <c r="DT44" i="23"/>
  <c r="DS27" i="23"/>
  <c r="DM32" i="23"/>
  <c r="DM37" i="23"/>
  <c r="Z28" i="23"/>
  <c r="AN28" i="23" s="1"/>
  <c r="BB28" i="23" s="1"/>
  <c r="BP28" i="23" s="1"/>
  <c r="DO41" i="23"/>
  <c r="V40" i="23"/>
  <c r="AJ40" i="23" s="1"/>
  <c r="AX40" i="23" s="1"/>
  <c r="BL40" i="23" s="1"/>
  <c r="U38" i="23"/>
  <c r="AI38" i="23" s="1"/>
  <c r="BY38" i="23" s="1" a="1"/>
  <c r="BY38" i="23" s="1"/>
  <c r="W29" i="23"/>
  <c r="AK29" i="23" s="1"/>
  <c r="AY29" i="23" s="1"/>
  <c r="BM29" i="23" s="1"/>
  <c r="DR34" i="23"/>
  <c r="T36" i="23"/>
  <c r="AH36" i="23" s="1"/>
  <c r="DN40" i="23"/>
  <c r="Z36" i="23"/>
  <c r="AN36" i="23" s="1"/>
  <c r="V42" i="23"/>
  <c r="AJ42" i="23" s="1"/>
  <c r="DN32" i="23"/>
  <c r="X30" i="23"/>
  <c r="AL30" i="23" s="1"/>
  <c r="DQ41" i="23"/>
  <c r="S34" i="23"/>
  <c r="AG34" i="23" s="1"/>
  <c r="DO26" i="23"/>
  <c r="D9" i="23" s="1"/>
  <c r="Y33" i="23"/>
  <c r="AM33" i="23" s="1"/>
  <c r="CC33" i="23" s="1" a="1"/>
  <c r="CC33" i="23" s="1"/>
  <c r="V28" i="23"/>
  <c r="AJ28" i="23" s="1"/>
  <c r="W45" i="23"/>
  <c r="AK45" i="23" s="1"/>
  <c r="AY45" i="23" s="1"/>
  <c r="BM45" i="23" s="1"/>
  <c r="FI80" i="33"/>
  <c r="CL84" i="33"/>
  <c r="CM84" i="33"/>
  <c r="CN84" i="33"/>
  <c r="CW84" i="33"/>
  <c r="EE84" i="33" s="1"/>
  <c r="GZ84" i="33" s="1"/>
  <c r="CQ84" i="33"/>
  <c r="CU84" i="33"/>
  <c r="GG84" i="33"/>
  <c r="GF84" i="33"/>
  <c r="GI84" i="33"/>
  <c r="CS84" i="33"/>
  <c r="GE84" i="33"/>
  <c r="GH84" i="33"/>
  <c r="CO84" i="33"/>
  <c r="GB84" i="33"/>
  <c r="CR84" i="33"/>
  <c r="CV84" i="33"/>
  <c r="CT84" i="33"/>
  <c r="GA84" i="33"/>
  <c r="CP84" i="33"/>
  <c r="GC84" i="33"/>
  <c r="DP34" i="23"/>
  <c r="DP32" i="23"/>
  <c r="DN30" i="23"/>
  <c r="S40" i="23"/>
  <c r="AG40" i="23" s="1"/>
  <c r="X37" i="23"/>
  <c r="AL37" i="23" s="1"/>
  <c r="CB37" i="23" s="1" a="1"/>
  <c r="CB37" i="23" s="1"/>
  <c r="X29" i="23"/>
  <c r="AL29" i="23" s="1"/>
  <c r="CB29" i="23" s="1" a="1"/>
  <c r="CB29" i="23" s="1"/>
  <c r="AA32" i="23"/>
  <c r="AO32" i="23" s="1"/>
  <c r="BC32" i="23" s="1"/>
  <c r="BQ32" i="23" s="1"/>
  <c r="AA36" i="23"/>
  <c r="AO36" i="23" s="1"/>
  <c r="BC36" i="23" s="1"/>
  <c r="BQ36" i="23" s="1"/>
  <c r="Y27" i="23"/>
  <c r="AM27" i="23" s="1"/>
  <c r="CC27" i="23" s="1" a="1"/>
  <c r="CC27" i="23" s="1"/>
  <c r="DQ26" i="23"/>
  <c r="G9" i="23" s="1"/>
  <c r="G16" i="23" s="1"/>
  <c r="DN31" i="23"/>
  <c r="DR38" i="23"/>
  <c r="DU38" i="23"/>
  <c r="DO43" i="23"/>
  <c r="Y28" i="23"/>
  <c r="AM28" i="23" s="1"/>
  <c r="BA28" i="23" s="1"/>
  <c r="BO28" i="23" s="1"/>
  <c r="DT29" i="23"/>
  <c r="DT42" i="23"/>
  <c r="U44" i="23"/>
  <c r="AI44" i="23" s="1"/>
  <c r="BY44" i="23" s="1" a="1"/>
  <c r="BY44" i="23" s="1"/>
  <c r="V45" i="23"/>
  <c r="AJ45" i="23" s="1"/>
  <c r="FI86" i="33"/>
  <c r="W32" i="23"/>
  <c r="AK32" i="23" s="1"/>
  <c r="AY32" i="23" s="1"/>
  <c r="BM32" i="23" s="1"/>
  <c r="W28" i="23"/>
  <c r="AK28" i="23" s="1"/>
  <c r="CA28" i="23" s="1" a="1"/>
  <c r="CA28" i="23" s="1"/>
  <c r="DT35" i="23"/>
  <c r="DO33" i="23"/>
  <c r="DR39" i="23"/>
  <c r="DM35" i="23"/>
  <c r="DT43" i="23"/>
  <c r="AA41" i="23"/>
  <c r="AO41" i="23" s="1"/>
  <c r="BC41" i="23" s="1"/>
  <c r="BQ41" i="23" s="1"/>
  <c r="FI77" i="33"/>
  <c r="DS32" i="23"/>
  <c r="V26" i="23"/>
  <c r="AJ26" i="23" s="1"/>
  <c r="BZ26" i="23" s="1" a="1"/>
  <c r="BZ26" i="23" s="1"/>
  <c r="I10" i="23" s="1"/>
  <c r="DT26" i="23"/>
  <c r="L9" i="23" s="1"/>
  <c r="L16" i="23" s="1"/>
  <c r="S38" i="23"/>
  <c r="AG38" i="23" s="1"/>
  <c r="BW38" i="23" s="1" a="1"/>
  <c r="BW38" i="23" s="1"/>
  <c r="Y44" i="23"/>
  <c r="AM44" i="23" s="1"/>
  <c r="CC44" i="23" s="1" a="1"/>
  <c r="CC44" i="23" s="1"/>
  <c r="DQ33" i="23"/>
  <c r="X43" i="23"/>
  <c r="AL43" i="23" s="1"/>
  <c r="AZ43" i="23" s="1"/>
  <c r="BN43" i="23" s="1"/>
  <c r="U43" i="23"/>
  <c r="AI43" i="23" s="1"/>
  <c r="DR42" i="23"/>
  <c r="DQ39" i="23"/>
  <c r="CU73" i="33"/>
  <c r="GA73" i="33"/>
  <c r="CR73" i="33"/>
  <c r="CN73" i="33"/>
  <c r="CT73" i="33"/>
  <c r="GI73" i="33"/>
  <c r="GC73" i="33"/>
  <c r="CL73" i="33"/>
  <c r="CQ73" i="33"/>
  <c r="GG73" i="33"/>
  <c r="GB73" i="33"/>
  <c r="CS73" i="33"/>
  <c r="GE73" i="33"/>
  <c r="GH73" i="33"/>
  <c r="CV73" i="33"/>
  <c r="GF73" i="33"/>
  <c r="CW73" i="33"/>
  <c r="CP73" i="33"/>
  <c r="CO73" i="33"/>
  <c r="CM73" i="33"/>
  <c r="GL73" i="33"/>
  <c r="X42" i="23"/>
  <c r="AL42" i="23" s="1"/>
  <c r="CB42" i="23" s="1" a="1"/>
  <c r="CB42" i="23" s="1"/>
  <c r="DU42" i="23"/>
  <c r="DR43" i="23"/>
  <c r="DT27" i="23"/>
  <c r="X27" i="23"/>
  <c r="AL27" i="23" s="1"/>
  <c r="CB27" i="23" s="1" a="1"/>
  <c r="CB27" i="23" s="1"/>
  <c r="S29" i="23"/>
  <c r="AG29" i="23" s="1"/>
  <c r="GI68" i="33"/>
  <c r="GF68" i="33"/>
  <c r="CQ68" i="33"/>
  <c r="GL68" i="33"/>
  <c r="CL68" i="33"/>
  <c r="CW68" i="33"/>
  <c r="H3" i="33"/>
  <c r="C18" i="33" s="1"/>
  <c r="CT68" i="33"/>
  <c r="GD68" i="33"/>
  <c r="CV68" i="33"/>
  <c r="CO68" i="33"/>
  <c r="AY68" i="33" s="1"/>
  <c r="GC68" i="33"/>
  <c r="CM68" i="33"/>
  <c r="CP68" i="33"/>
  <c r="GG68" i="33"/>
  <c r="GA68" i="33"/>
  <c r="CS68" i="33"/>
  <c r="CU68" i="33"/>
  <c r="GE68" i="33"/>
  <c r="GB68" i="33"/>
  <c r="GH68" i="33"/>
  <c r="CN68" i="33"/>
  <c r="CR68" i="33"/>
  <c r="GF81" i="33"/>
  <c r="CV81" i="33"/>
  <c r="GB81" i="33"/>
  <c r="GC81" i="33"/>
  <c r="CS81" i="33"/>
  <c r="CT81" i="33"/>
  <c r="CW81" i="33"/>
  <c r="EE81" i="33" s="1"/>
  <c r="GZ81" i="33" s="1"/>
  <c r="CO81" i="33"/>
  <c r="GA81" i="33"/>
  <c r="CU81" i="33"/>
  <c r="CL81" i="33"/>
  <c r="CR81" i="33"/>
  <c r="GG81" i="33"/>
  <c r="CN81" i="33"/>
  <c r="CP81" i="33"/>
  <c r="GH81" i="33"/>
  <c r="GI81" i="33"/>
  <c r="CQ81" i="33"/>
  <c r="GE81" i="33"/>
  <c r="CM81" i="33"/>
  <c r="W27" i="23"/>
  <c r="AK27" i="23" s="1"/>
  <c r="CA27" i="23" s="1" a="1"/>
  <c r="CA27" i="23" s="1"/>
  <c r="DS30" i="23"/>
  <c r="DP30" i="23"/>
  <c r="Z39" i="23"/>
  <c r="AN39" i="23" s="1"/>
  <c r="BB39" i="23" s="1"/>
  <c r="BP39" i="23" s="1"/>
  <c r="DR37" i="23"/>
  <c r="AA45" i="23"/>
  <c r="AO45" i="23" s="1"/>
  <c r="CE45" i="23" s="1" a="1"/>
  <c r="CE45" i="23" s="1"/>
  <c r="Y41" i="23"/>
  <c r="AM41" i="23" s="1"/>
  <c r="DP42" i="23"/>
  <c r="DP44" i="23"/>
  <c r="DM36" i="23"/>
  <c r="DM44" i="23"/>
  <c r="Y32" i="23"/>
  <c r="AM32" i="23" s="1"/>
  <c r="Y39" i="23"/>
  <c r="AM39" i="23" s="1"/>
  <c r="BA39" i="23" s="1"/>
  <c r="BO39" i="23" s="1"/>
  <c r="DP29" i="23"/>
  <c r="FI78" i="33"/>
  <c r="X34" i="23"/>
  <c r="AL34" i="23" s="1"/>
  <c r="AZ34" i="23" s="1"/>
  <c r="BN34" i="23" s="1"/>
  <c r="GF83" i="33"/>
  <c r="GA83" i="33"/>
  <c r="CS83" i="33"/>
  <c r="GH83" i="33"/>
  <c r="CV83" i="33"/>
  <c r="CN83" i="33"/>
  <c r="CP83" i="33"/>
  <c r="CM83" i="33"/>
  <c r="GI83" i="33"/>
  <c r="CQ83" i="33"/>
  <c r="DY83" i="33" s="1"/>
  <c r="GT83" i="33" s="1"/>
  <c r="GG83" i="33"/>
  <c r="CU83" i="33"/>
  <c r="GB83" i="33"/>
  <c r="GC83" i="33"/>
  <c r="GE83" i="33"/>
  <c r="CT83" i="33"/>
  <c r="CW83" i="33"/>
  <c r="EE83" i="33" s="1"/>
  <c r="GZ83" i="33" s="1"/>
  <c r="CO83" i="33"/>
  <c r="CR83" i="33"/>
  <c r="CL83" i="33"/>
  <c r="DT45" i="23"/>
  <c r="DS29" i="23"/>
  <c r="DU32" i="23"/>
  <c r="T45" i="23"/>
  <c r="AH45" i="23" s="1"/>
  <c r="AV45" i="23" s="1"/>
  <c r="BJ45" i="23" s="1"/>
  <c r="U26" i="23"/>
  <c r="AI26" i="23" s="1"/>
  <c r="D8" i="23" s="1"/>
  <c r="DS35" i="23"/>
  <c r="DN43" i="23"/>
  <c r="V33" i="23"/>
  <c r="AJ33" i="23" s="1"/>
  <c r="BZ33" i="23" s="1" a="1"/>
  <c r="BZ33" i="23" s="1"/>
  <c r="U29" i="23"/>
  <c r="AI29" i="23" s="1"/>
  <c r="BY29" i="23" s="1" a="1"/>
  <c r="BY29" i="23" s="1"/>
  <c r="DN38" i="23"/>
  <c r="S33" i="23"/>
  <c r="AG33" i="23" s="1"/>
  <c r="BW33" i="23" s="1" a="1"/>
  <c r="BW33" i="23" s="1"/>
  <c r="AA34" i="23"/>
  <c r="AO34" i="23" s="1"/>
  <c r="CE34" i="23" s="1" a="1"/>
  <c r="CE34" i="23" s="1"/>
  <c r="DU36" i="23"/>
  <c r="X28" i="23"/>
  <c r="AL28" i="23" s="1"/>
  <c r="AZ28" i="23" s="1"/>
  <c r="BN28" i="23" s="1"/>
  <c r="FI85" i="33"/>
  <c r="AA26" i="23"/>
  <c r="AO26" i="23" s="1"/>
  <c r="BC26" i="23" s="1"/>
  <c r="BQ26" i="23" s="1"/>
  <c r="AA27" i="23"/>
  <c r="AO27" i="23" s="1"/>
  <c r="BC27" i="23" s="1"/>
  <c r="BQ27" i="23" s="1"/>
  <c r="Z40" i="23"/>
  <c r="AN40" i="23" s="1"/>
  <c r="DS33" i="23"/>
  <c r="DN35" i="23"/>
  <c r="DO40" i="23"/>
  <c r="DN45" i="23"/>
  <c r="CM72" i="33"/>
  <c r="GB72" i="33"/>
  <c r="GL72" i="33"/>
  <c r="CV72" i="33"/>
  <c r="CL72" i="33"/>
  <c r="CO72" i="33"/>
  <c r="GE72" i="33"/>
  <c r="CW72" i="33"/>
  <c r="CS72" i="33"/>
  <c r="CN72" i="33"/>
  <c r="CU72" i="33"/>
  <c r="GA72" i="33"/>
  <c r="GH72" i="33"/>
  <c r="GC72" i="33"/>
  <c r="GG72" i="33"/>
  <c r="CT72" i="33"/>
  <c r="CQ72" i="33"/>
  <c r="GF72" i="33"/>
  <c r="CR72" i="33"/>
  <c r="CP72" i="33"/>
  <c r="GI72" i="33"/>
  <c r="DP27" i="23"/>
  <c r="DR26" i="23"/>
  <c r="E9" i="23" s="1"/>
  <c r="E16" i="23" s="1"/>
  <c r="Y42" i="23"/>
  <c r="AM42" i="23" s="1"/>
  <c r="DN42" i="23"/>
  <c r="DM39" i="23"/>
  <c r="Z35" i="23"/>
  <c r="AN35" i="23" s="1"/>
  <c r="CD35" i="23" s="1" a="1"/>
  <c r="CD35" i="23" s="1"/>
  <c r="V27" i="23"/>
  <c r="AJ27" i="23" s="1"/>
  <c r="Z37" i="23"/>
  <c r="AN37" i="23" s="1"/>
  <c r="BB37" i="23" s="1"/>
  <c r="BP37" i="23" s="1"/>
  <c r="DS42" i="23"/>
  <c r="DO39" i="23"/>
  <c r="T44" i="23"/>
  <c r="AH44" i="23" s="1"/>
  <c r="S36" i="23"/>
  <c r="AG36" i="23" s="1"/>
  <c r="BW36" i="23" s="1" a="1"/>
  <c r="BW36" i="23" s="1"/>
  <c r="DT28" i="23"/>
  <c r="AA37" i="23"/>
  <c r="AO37" i="23" s="1"/>
  <c r="BC37" i="23" s="1"/>
  <c r="BQ37" i="23" s="1"/>
  <c r="DS43" i="23"/>
  <c r="T43" i="23"/>
  <c r="AH43" i="23" s="1"/>
  <c r="AV43" i="23" s="1"/>
  <c r="BJ43" i="23" s="1"/>
  <c r="CN86" i="33"/>
  <c r="CL86" i="33"/>
  <c r="GH86" i="33"/>
  <c r="CM86" i="33"/>
  <c r="CU86" i="33"/>
  <c r="CW86" i="33"/>
  <c r="EE86" i="33" s="1"/>
  <c r="GZ86" i="33" s="1"/>
  <c r="GG86" i="33"/>
  <c r="GF86" i="33"/>
  <c r="GC86" i="33"/>
  <c r="CO86" i="33"/>
  <c r="CV86" i="33"/>
  <c r="GA86" i="33"/>
  <c r="CQ86" i="33"/>
  <c r="CR86" i="33"/>
  <c r="GE86" i="33"/>
  <c r="GI86" i="33"/>
  <c r="CT86" i="33"/>
  <c r="CP86" i="33"/>
  <c r="CS86" i="33"/>
  <c r="GB86" i="33"/>
  <c r="FI69" i="33"/>
  <c r="DR36" i="23"/>
  <c r="W38" i="23"/>
  <c r="AK38" i="23" s="1"/>
  <c r="AY38" i="23" s="1"/>
  <c r="BM38" i="23" s="1"/>
  <c r="Y36" i="23"/>
  <c r="AM36" i="23" s="1"/>
  <c r="GG78" i="33"/>
  <c r="CQ78" i="33"/>
  <c r="CR78" i="33"/>
  <c r="GH78" i="33"/>
  <c r="CT78" i="33"/>
  <c r="CU78" i="33"/>
  <c r="CV78" i="33"/>
  <c r="GC78" i="33"/>
  <c r="GA78" i="33"/>
  <c r="CN78" i="33"/>
  <c r="GF78" i="33"/>
  <c r="CW78" i="33"/>
  <c r="EE78" i="33" s="1"/>
  <c r="GZ78" i="33" s="1"/>
  <c r="GI78" i="33"/>
  <c r="CP78" i="33"/>
  <c r="GB78" i="33"/>
  <c r="CL78" i="33"/>
  <c r="CO78" i="33"/>
  <c r="CM78" i="33"/>
  <c r="CS78" i="33"/>
  <c r="GE78" i="33"/>
  <c r="X35" i="23"/>
  <c r="AL35" i="23" s="1"/>
  <c r="DP41" i="23"/>
  <c r="Z27" i="23"/>
  <c r="AN27" i="23" s="1"/>
  <c r="BB27" i="23" s="1"/>
  <c r="BP27" i="23" s="1"/>
  <c r="DR29" i="23"/>
  <c r="DR35" i="23"/>
  <c r="DU43" i="23"/>
  <c r="FI81" i="33"/>
  <c r="DQ27" i="23"/>
  <c r="X33" i="23"/>
  <c r="AL33" i="23" s="1"/>
  <c r="CB33" i="23" s="1" a="1"/>
  <c r="CB33" i="23" s="1"/>
  <c r="DQ30" i="23"/>
  <c r="DO38" i="23"/>
  <c r="CT80" i="33"/>
  <c r="CQ80" i="33"/>
  <c r="CL80" i="33"/>
  <c r="CV80" i="33"/>
  <c r="ED80" i="33" s="1"/>
  <c r="HM80" i="33" s="1"/>
  <c r="CU80" i="33"/>
  <c r="GA80" i="33"/>
  <c r="GI80" i="33"/>
  <c r="GH80" i="33"/>
  <c r="CO80" i="33"/>
  <c r="GB80" i="33"/>
  <c r="GE80" i="33"/>
  <c r="GF80" i="33"/>
  <c r="CP80" i="33"/>
  <c r="CN80" i="33"/>
  <c r="CR80" i="33"/>
  <c r="CW80" i="33"/>
  <c r="EE80" i="33" s="1"/>
  <c r="GZ80" i="33" s="1"/>
  <c r="CS80" i="33"/>
  <c r="GC80" i="33"/>
  <c r="CM80" i="33"/>
  <c r="GG80" i="33"/>
  <c r="X31" i="23"/>
  <c r="AL31" i="23" s="1"/>
  <c r="AZ31" i="23" s="1"/>
  <c r="BN31" i="23" s="1"/>
  <c r="DQ45" i="23"/>
  <c r="DM31" i="23"/>
  <c r="DP31" i="23"/>
  <c r="DS37" i="23"/>
  <c r="GF77" i="33"/>
  <c r="GC77" i="33"/>
  <c r="CP77" i="33"/>
  <c r="GE77" i="33"/>
  <c r="CL77" i="33"/>
  <c r="CN77" i="33"/>
  <c r="GG77" i="33"/>
  <c r="GI77" i="33"/>
  <c r="GB77" i="33"/>
  <c r="CO77" i="33"/>
  <c r="DW77" i="33" s="1"/>
  <c r="GR77" i="33" s="1"/>
  <c r="CM77" i="33"/>
  <c r="CW77" i="33"/>
  <c r="EE77" i="33" s="1"/>
  <c r="GZ77" i="33" s="1"/>
  <c r="CS77" i="33"/>
  <c r="CU77" i="33"/>
  <c r="GH77" i="33"/>
  <c r="GA77" i="33"/>
  <c r="CQ77" i="33"/>
  <c r="CR77" i="33"/>
  <c r="CV77" i="33"/>
  <c r="CT77" i="33"/>
  <c r="DQ38" i="23"/>
  <c r="Y34" i="23"/>
  <c r="AM34" i="23" s="1"/>
  <c r="CC34" i="23" s="1" a="1"/>
  <c r="CC34" i="23" s="1"/>
  <c r="W40" i="23"/>
  <c r="AK40" i="23" s="1"/>
  <c r="CA40" i="23" s="1" a="1"/>
  <c r="CA40" i="23" s="1"/>
  <c r="DN28" i="23"/>
  <c r="S27" i="23"/>
  <c r="AG27" i="23" s="1"/>
  <c r="AU27" i="23" s="1"/>
  <c r="BI27" i="23" s="1"/>
  <c r="T28" i="23"/>
  <c r="AH28" i="23" s="1"/>
  <c r="BX28" i="23" s="1" a="1"/>
  <c r="BX28" i="23" s="1"/>
  <c r="W26" i="23"/>
  <c r="AK26" i="23" s="1"/>
  <c r="G8" i="23" s="1"/>
  <c r="T31" i="23"/>
  <c r="AH31" i="23" s="1"/>
  <c r="S44" i="23"/>
  <c r="AG44" i="23" s="1"/>
  <c r="BW44" i="23" s="1" a="1"/>
  <c r="BW44" i="23" s="1"/>
  <c r="U42" i="23"/>
  <c r="AI42" i="23" s="1"/>
  <c r="X32" i="23"/>
  <c r="AL32" i="23" s="1"/>
  <c r="S42" i="23"/>
  <c r="AG42" i="23" s="1"/>
  <c r="AU42" i="23" s="1"/>
  <c r="BI42" i="23" s="1"/>
  <c r="Z32" i="23"/>
  <c r="AN32" i="23" s="1"/>
  <c r="BB32" i="23" s="1"/>
  <c r="BP32" i="23" s="1"/>
  <c r="FI82" i="33"/>
  <c r="DS31" i="23"/>
  <c r="W44" i="23"/>
  <c r="AK44" i="23" s="1"/>
  <c r="AY44" i="23" s="1"/>
  <c r="BM44" i="23" s="1"/>
  <c r="DU44" i="23"/>
  <c r="U32" i="23"/>
  <c r="AI32" i="23" s="1"/>
  <c r="AW32" i="23" s="1"/>
  <c r="BK32" i="23" s="1"/>
  <c r="V30" i="23"/>
  <c r="AJ30" i="23" s="1"/>
  <c r="DT34" i="23"/>
  <c r="Y43" i="23"/>
  <c r="AM43" i="23" s="1"/>
  <c r="BA43" i="23" s="1"/>
  <c r="BO43" i="23" s="1"/>
  <c r="DU41" i="23"/>
  <c r="T41" i="23"/>
  <c r="AH41" i="23" s="1"/>
  <c r="Z44" i="23"/>
  <c r="AN44" i="23" s="1"/>
  <c r="CD44" i="23" s="1" a="1"/>
  <c r="CD44" i="23" s="1"/>
  <c r="AA40" i="23"/>
  <c r="AO40" i="23" s="1"/>
  <c r="BC40" i="23" s="1"/>
  <c r="BQ40" i="23" s="1"/>
  <c r="Y45" i="23"/>
  <c r="AM45" i="23" s="1"/>
  <c r="BA45" i="23" s="1"/>
  <c r="BO45" i="23" s="1"/>
  <c r="DQ34" i="23"/>
  <c r="DO42" i="23"/>
  <c r="U30" i="23"/>
  <c r="AI30" i="23" s="1"/>
  <c r="AW30" i="23" s="1"/>
  <c r="BK30" i="23" s="1"/>
  <c r="V44" i="23"/>
  <c r="AJ44" i="23" s="1"/>
  <c r="AX44" i="23" s="1"/>
  <c r="BL44" i="23" s="1"/>
  <c r="V36" i="23"/>
  <c r="AJ36" i="23" s="1"/>
  <c r="AX36" i="23" s="1"/>
  <c r="BL36" i="23" s="1"/>
  <c r="U31" i="23"/>
  <c r="AI31" i="23" s="1"/>
  <c r="AW31" i="23" s="1"/>
  <c r="BK31" i="23" s="1"/>
  <c r="DP43" i="23"/>
  <c r="GD69" i="33"/>
  <c r="CV69" i="33"/>
  <c r="CO69" i="33"/>
  <c r="GI69" i="33"/>
  <c r="GB69" i="33"/>
  <c r="CL69" i="33"/>
  <c r="GF69" i="33"/>
  <c r="CU69" i="33"/>
  <c r="EC69" i="33" s="1"/>
  <c r="GX69" i="33" s="1"/>
  <c r="GL69" i="33"/>
  <c r="CN69" i="33"/>
  <c r="CS69" i="33"/>
  <c r="CW69" i="33"/>
  <c r="GA69" i="33"/>
  <c r="CT69" i="33"/>
  <c r="CQ69" i="33"/>
  <c r="GG69" i="33"/>
  <c r="GH69" i="33"/>
  <c r="GE69" i="33"/>
  <c r="CM69" i="33"/>
  <c r="CP69" i="33"/>
  <c r="GC69" i="33"/>
  <c r="CR69" i="33"/>
  <c r="AA43" i="23"/>
  <c r="AO43" i="23" s="1"/>
  <c r="S45" i="23"/>
  <c r="AG45" i="23" s="1"/>
  <c r="W36" i="23"/>
  <c r="AK36" i="23" s="1"/>
  <c r="DR31" i="23"/>
  <c r="DR45" i="23"/>
  <c r="DO36" i="23"/>
  <c r="FI76" i="33"/>
  <c r="DR27" i="23"/>
  <c r="DU33" i="23"/>
  <c r="DM40" i="23"/>
  <c r="S39" i="23"/>
  <c r="AG39" i="23" s="1"/>
  <c r="Y31" i="23"/>
  <c r="AM31" i="23" s="1"/>
  <c r="BA31" i="23" s="1"/>
  <c r="BO31" i="23" s="1"/>
  <c r="FI84" i="33"/>
  <c r="DM28" i="23"/>
  <c r="Z29" i="23"/>
  <c r="AN29" i="23" s="1"/>
  <c r="CD29" i="23" s="1" a="1"/>
  <c r="CD29" i="23" s="1"/>
  <c r="DQ37" i="23"/>
  <c r="DU39" i="23"/>
  <c r="U36" i="23"/>
  <c r="AI36" i="23" s="1"/>
  <c r="U39" i="23"/>
  <c r="AI39" i="23" s="1"/>
  <c r="AW39" i="23" s="1"/>
  <c r="BK39" i="23" s="1"/>
  <c r="DU35" i="23"/>
  <c r="DN33" i="23"/>
  <c r="DU27" i="23"/>
  <c r="W43" i="23"/>
  <c r="AK43" i="23" s="1"/>
  <c r="AY43" i="23" s="1"/>
  <c r="BM43" i="23" s="1"/>
  <c r="CO43" i="23" s="1" a="1"/>
  <c r="CO43" i="23" s="1"/>
  <c r="DO45" i="23"/>
  <c r="DO35" i="23"/>
  <c r="DU30" i="23"/>
  <c r="DT32" i="23"/>
  <c r="DS26" i="23"/>
  <c r="K9" i="23" s="1"/>
  <c r="K16" i="23" s="1"/>
  <c r="DO31" i="23"/>
  <c r="DQ32" i="23"/>
  <c r="W30" i="23"/>
  <c r="AK30" i="23" s="1"/>
  <c r="AA33" i="23"/>
  <c r="AO33" i="23" s="1"/>
  <c r="Y38" i="23"/>
  <c r="AM38" i="23" s="1"/>
  <c r="CC38" i="23" s="1" a="1"/>
  <c r="CC38" i="23" s="1"/>
  <c r="DT41" i="23"/>
  <c r="DR30" i="23"/>
  <c r="GB79" i="33"/>
  <c r="CS79" i="33"/>
  <c r="CM79" i="33"/>
  <c r="CL79" i="33"/>
  <c r="GA79" i="33"/>
  <c r="CV79" i="33"/>
  <c r="CQ79" i="33"/>
  <c r="CT79" i="33"/>
  <c r="CU79" i="33"/>
  <c r="GH79" i="33"/>
  <c r="CP79" i="33"/>
  <c r="CN79" i="33"/>
  <c r="GC79" i="33"/>
  <c r="GE79" i="33"/>
  <c r="GI79" i="33"/>
  <c r="CW79" i="33"/>
  <c r="EE79" i="33" s="1"/>
  <c r="GZ79" i="33" s="1"/>
  <c r="CR79" i="33"/>
  <c r="GG79" i="33"/>
  <c r="GF79" i="33"/>
  <c r="CO79" i="33"/>
  <c r="DW79" i="33" s="1"/>
  <c r="GR79" i="33" s="1"/>
  <c r="V32" i="23"/>
  <c r="AJ32" i="23" s="1"/>
  <c r="DO27" i="23"/>
  <c r="Y26" i="23"/>
  <c r="AM26" i="23" s="1"/>
  <c r="BA26" i="23" s="1"/>
  <c r="BO26" i="23" s="1"/>
  <c r="K12" i="23" s="1"/>
  <c r="FI83" i="33"/>
  <c r="FI70" i="33"/>
  <c r="X40" i="23"/>
  <c r="AL40" i="23" s="1"/>
  <c r="AZ40" i="23" s="1"/>
  <c r="BN40" i="23" s="1"/>
  <c r="DU28" i="23"/>
  <c r="DO30" i="23"/>
  <c r="DM26" i="23"/>
  <c r="B9" i="23" s="1"/>
  <c r="DS28" i="23"/>
  <c r="X36" i="23"/>
  <c r="AL36" i="23" s="1"/>
  <c r="CB36" i="23" s="1" a="1"/>
  <c r="CB36" i="23" s="1"/>
  <c r="T30" i="23"/>
  <c r="AH30" i="23" s="1"/>
  <c r="BX30" i="23" s="1" a="1"/>
  <c r="BX30" i="23" s="1"/>
  <c r="U27" i="23"/>
  <c r="AI27" i="23" s="1"/>
  <c r="X41" i="23"/>
  <c r="AL41" i="23" s="1"/>
  <c r="AZ41" i="23" s="1"/>
  <c r="BN41" i="23" s="1"/>
  <c r="DM38" i="23"/>
  <c r="DQ44" i="23"/>
  <c r="T29" i="23"/>
  <c r="AH29" i="23" s="1"/>
  <c r="BX29" i="23" s="1" a="1"/>
  <c r="BX29" i="23" s="1"/>
  <c r="Y40" i="23"/>
  <c r="AM40" i="23" s="1"/>
  <c r="CC40" i="23" s="1" a="1"/>
  <c r="CC40" i="23" s="1"/>
  <c r="V29" i="23"/>
  <c r="AJ29" i="23" s="1"/>
  <c r="AX29" i="23" s="1"/>
  <c r="BL29" i="23" s="1"/>
  <c r="CL82" i="33"/>
  <c r="CM82" i="33"/>
  <c r="GB82" i="33"/>
  <c r="CN82" i="33"/>
  <c r="GG82" i="33"/>
  <c r="CP82" i="33"/>
  <c r="CT82" i="33"/>
  <c r="CW82" i="33"/>
  <c r="EE82" i="33" s="1"/>
  <c r="GZ82" i="33" s="1"/>
  <c r="CR82" i="33"/>
  <c r="GF82" i="33"/>
  <c r="GA82" i="33"/>
  <c r="GI82" i="33"/>
  <c r="CU82" i="33"/>
  <c r="CO82" i="33"/>
  <c r="CV82" i="33"/>
  <c r="CS82" i="33"/>
  <c r="GE82" i="33"/>
  <c r="CQ82" i="33"/>
  <c r="GC82" i="33"/>
  <c r="GH82" i="33"/>
  <c r="Z26" i="23"/>
  <c r="AN26" i="23" s="1"/>
  <c r="CD26" i="23" s="1" a="1"/>
  <c r="CD26" i="23" s="1"/>
  <c r="L10" i="23" s="1"/>
  <c r="DS34" i="23"/>
  <c r="DQ29" i="23"/>
  <c r="GG87" i="33"/>
  <c r="CR87" i="33"/>
  <c r="CN87" i="33"/>
  <c r="GA87" i="33"/>
  <c r="CS87" i="33"/>
  <c r="CV87" i="33"/>
  <c r="GF87" i="33"/>
  <c r="GB87" i="33"/>
  <c r="CQ87" i="33"/>
  <c r="GI87" i="33"/>
  <c r="CP87" i="33"/>
  <c r="CL87" i="33"/>
  <c r="CO87" i="33"/>
  <c r="GH87" i="33"/>
  <c r="CM87" i="33"/>
  <c r="GE87" i="33"/>
  <c r="CU87" i="33"/>
  <c r="CT87" i="33"/>
  <c r="GC87" i="33"/>
  <c r="CW87" i="33"/>
  <c r="EE87" i="33" s="1"/>
  <c r="GZ87" i="33" s="1"/>
  <c r="DO29" i="23"/>
  <c r="W39" i="23"/>
  <c r="AK39" i="23" s="1"/>
  <c r="AY39" i="23" s="1"/>
  <c r="BM39" i="23" s="1"/>
  <c r="T42" i="23"/>
  <c r="AH42" i="23" s="1"/>
  <c r="AA44" i="23"/>
  <c r="AO44" i="23" s="1"/>
  <c r="Z43" i="23"/>
  <c r="AN43" i="23" s="1"/>
  <c r="CD43" i="23" s="1" a="1"/>
  <c r="CD43" i="23" s="1"/>
  <c r="DP39" i="23"/>
  <c r="DN39" i="23"/>
  <c r="DT38" i="23"/>
  <c r="U45" i="23"/>
  <c r="AI45" i="23" s="1"/>
  <c r="AW45" i="23" s="1"/>
  <c r="BK45" i="23" s="1"/>
  <c r="V38" i="23"/>
  <c r="AJ38" i="23" s="1"/>
  <c r="AX38" i="23" s="1"/>
  <c r="BL38" i="23" s="1"/>
  <c r="X39" i="23"/>
  <c r="AL39" i="23" s="1"/>
  <c r="CB39" i="23" s="1" a="1"/>
  <c r="CB39" i="23" s="1"/>
  <c r="V41" i="23"/>
  <c r="AJ41" i="23" s="1"/>
  <c r="DU29" i="23"/>
  <c r="DN44" i="23"/>
  <c r="T26" i="23"/>
  <c r="AH26" i="23" s="1"/>
  <c r="C8" i="23" s="1"/>
  <c r="CR75" i="33"/>
  <c r="GF75" i="33"/>
  <c r="GC75" i="33"/>
  <c r="CM75" i="33"/>
  <c r="GL75" i="33"/>
  <c r="CV75" i="33"/>
  <c r="GB75" i="33"/>
  <c r="CP75" i="33"/>
  <c r="CN75" i="33"/>
  <c r="AX75" i="33" s="1"/>
  <c r="GI75" i="33"/>
  <c r="GH75" i="33"/>
  <c r="GA75" i="33"/>
  <c r="GD75" i="33"/>
  <c r="GE75" i="33"/>
  <c r="CS75" i="33"/>
  <c r="CU75" i="33"/>
  <c r="CW75" i="33"/>
  <c r="CQ75" i="33"/>
  <c r="GG75" i="33"/>
  <c r="CL75" i="33"/>
  <c r="AV75" i="33" s="1"/>
  <c r="GK75" i="33"/>
  <c r="CO75" i="33"/>
  <c r="CT75" i="33"/>
  <c r="X38" i="23"/>
  <c r="AL38" i="23" s="1"/>
  <c r="CB38" i="23" s="1" a="1"/>
  <c r="CB38" i="23" s="1"/>
  <c r="S31" i="23"/>
  <c r="AG31" i="23" s="1"/>
  <c r="DT37" i="23"/>
  <c r="DR28" i="23"/>
  <c r="S37" i="23"/>
  <c r="AG37" i="23" s="1"/>
  <c r="BW37" i="23" s="1" a="1"/>
  <c r="BW37" i="23" s="1"/>
  <c r="DT31" i="23"/>
  <c r="Y35" i="23"/>
  <c r="AM35" i="23" s="1"/>
  <c r="CC35" i="23" s="1" a="1"/>
  <c r="CC35" i="23" s="1"/>
  <c r="DU31" i="23"/>
  <c r="T35" i="23"/>
  <c r="AH35" i="23" s="1"/>
  <c r="DM30" i="23"/>
  <c r="U41" i="23"/>
  <c r="AI41" i="23" s="1"/>
  <c r="BY41" i="23" s="1" a="1"/>
  <c r="BY41" i="23" s="1"/>
  <c r="DU34" i="23"/>
  <c r="DP40" i="23"/>
  <c r="CS76" i="33"/>
  <c r="GI76" i="33"/>
  <c r="GA76" i="33"/>
  <c r="GB76" i="33"/>
  <c r="CM76" i="33"/>
  <c r="CL76" i="33"/>
  <c r="CV76" i="33"/>
  <c r="CQ76" i="33"/>
  <c r="GC76" i="33"/>
  <c r="CW76" i="33"/>
  <c r="GG76" i="33"/>
  <c r="GL76" i="33"/>
  <c r="GH76" i="33"/>
  <c r="CU76" i="33"/>
  <c r="CP76" i="33"/>
  <c r="GE76" i="33"/>
  <c r="CT76" i="33"/>
  <c r="GF76" i="33"/>
  <c r="CO76" i="33"/>
  <c r="CN76" i="33"/>
  <c r="CR76" i="33"/>
  <c r="DO37" i="23"/>
  <c r="DQ43" i="23"/>
  <c r="DP36" i="23"/>
  <c r="DU37" i="23"/>
  <c r="DN34" i="23"/>
  <c r="W37" i="23"/>
  <c r="AK37" i="23" s="1"/>
  <c r="DP37" i="23"/>
  <c r="DM33" i="23"/>
  <c r="DR44" i="23"/>
  <c r="DM45" i="23"/>
  <c r="T39" i="23"/>
  <c r="AH39" i="23" s="1"/>
  <c r="AV39" i="23" s="1"/>
  <c r="BJ39" i="23" s="1"/>
  <c r="DQ35" i="23"/>
  <c r="Z30" i="23"/>
  <c r="AN30" i="23" s="1"/>
  <c r="CD30" i="23" s="1" a="1"/>
  <c r="CD30" i="23" s="1"/>
  <c r="V34" i="23"/>
  <c r="AJ34" i="23" s="1"/>
  <c r="T33" i="23"/>
  <c r="AH33" i="23" s="1"/>
  <c r="DT40" i="23"/>
  <c r="DR32" i="23"/>
  <c r="CQ85" i="33"/>
  <c r="CL85" i="33"/>
  <c r="GA85" i="33"/>
  <c r="GE85" i="33"/>
  <c r="CM85" i="33"/>
  <c r="CO85" i="33"/>
  <c r="DW85" i="33" s="1"/>
  <c r="HF85" i="33" s="1"/>
  <c r="GB85" i="33"/>
  <c r="CR85" i="33"/>
  <c r="GI85" i="33"/>
  <c r="CT85" i="33"/>
  <c r="CP85" i="33"/>
  <c r="CN85" i="33"/>
  <c r="CV85" i="33"/>
  <c r="GC85" i="33"/>
  <c r="CS85" i="33"/>
  <c r="GG85" i="33"/>
  <c r="CW85" i="33"/>
  <c r="EE85" i="33" s="1"/>
  <c r="GZ85" i="33" s="1"/>
  <c r="GF85" i="33"/>
  <c r="CU85" i="33"/>
  <c r="GH85" i="33"/>
  <c r="T38" i="23"/>
  <c r="AH38" i="23" s="1"/>
  <c r="BX38" i="23" s="1" a="1"/>
  <c r="BX38" i="23" s="1"/>
  <c r="T27" i="23"/>
  <c r="AH27" i="23" s="1"/>
  <c r="BX27" i="23" s="1" a="1"/>
  <c r="BX27" i="23" s="1"/>
  <c r="DT36" i="23"/>
  <c r="X45" i="23"/>
  <c r="AL45" i="23" s="1"/>
  <c r="AZ45" i="23" s="1"/>
  <c r="BN45" i="23" s="1"/>
  <c r="DS45" i="23"/>
  <c r="CM71" i="33"/>
  <c r="AW71" i="33" s="1"/>
  <c r="CO71" i="33"/>
  <c r="CQ71" i="33"/>
  <c r="CW71" i="33"/>
  <c r="GB71" i="33"/>
  <c r="GA71" i="33"/>
  <c r="CN71" i="33"/>
  <c r="GI71" i="33"/>
  <c r="CL71" i="33"/>
  <c r="GE71" i="33"/>
  <c r="GC71" i="33"/>
  <c r="CT71" i="33"/>
  <c r="GH71" i="33"/>
  <c r="GF71" i="33"/>
  <c r="CS71" i="33"/>
  <c r="CV71" i="33"/>
  <c r="GD71" i="33"/>
  <c r="GG71" i="33"/>
  <c r="GL71" i="33"/>
  <c r="CR71" i="33"/>
  <c r="CU71" i="33"/>
  <c r="CP71" i="33"/>
  <c r="FI71" i="33"/>
  <c r="DQ31" i="23"/>
  <c r="S35" i="23"/>
  <c r="AG35" i="23" s="1"/>
  <c r="BW35" i="23" s="1" a="1"/>
  <c r="BW35" i="23" s="1"/>
  <c r="Y30" i="23"/>
  <c r="AM30" i="23" s="1"/>
  <c r="BA30" i="23" s="1"/>
  <c r="BO30" i="23" s="1"/>
  <c r="AA28" i="23"/>
  <c r="AO28" i="23" s="1"/>
  <c r="CE28" i="23" s="1" a="1"/>
  <c r="CE28" i="23" s="1"/>
  <c r="T34" i="23"/>
  <c r="AH34" i="23" s="1"/>
  <c r="DM27" i="23"/>
  <c r="S32" i="23"/>
  <c r="AG32" i="23" s="1"/>
  <c r="BW32" i="23" s="1" a="1"/>
  <c r="BW32" i="23" s="1"/>
  <c r="DP33" i="23"/>
  <c r="DP28" i="23"/>
  <c r="Z33" i="23"/>
  <c r="AN33" i="23" s="1"/>
  <c r="BB33" i="23" s="1"/>
  <c r="BP33" i="23" s="1"/>
  <c r="V43" i="23"/>
  <c r="AJ43" i="23" s="1"/>
  <c r="AX43" i="23" s="1"/>
  <c r="BL43" i="23" s="1"/>
  <c r="V31" i="23"/>
  <c r="AJ31" i="23" s="1"/>
  <c r="BZ31" i="23" s="1" a="1"/>
  <c r="BZ31" i="23" s="1"/>
  <c r="AA39" i="23"/>
  <c r="AO39" i="23" s="1"/>
  <c r="DM42" i="23"/>
  <c r="Z42" i="23"/>
  <c r="AN42" i="23" s="1"/>
  <c r="BB42" i="23" s="1"/>
  <c r="BP42" i="23" s="1"/>
  <c r="V37" i="23"/>
  <c r="AJ37" i="23" s="1"/>
  <c r="AX37" i="23" s="1"/>
  <c r="BL37" i="23" s="1"/>
  <c r="U28" i="23"/>
  <c r="AI28" i="23" s="1"/>
  <c r="AW28" i="23" s="1"/>
  <c r="BK28" i="23" s="1"/>
  <c r="S28" i="23"/>
  <c r="AG28" i="23" s="1"/>
  <c r="AU28" i="23" s="1"/>
  <c r="BI28" i="23" s="1"/>
  <c r="V39" i="23"/>
  <c r="AJ39" i="23" s="1"/>
  <c r="BZ39" i="23" s="1" a="1"/>
  <c r="BZ39" i="23" s="1"/>
  <c r="DU26" i="23"/>
  <c r="N9" i="23" s="1"/>
  <c r="N16" i="23" s="1"/>
  <c r="DT33" i="23"/>
  <c r="DQ36" i="23"/>
  <c r="DN29" i="23"/>
  <c r="DS40" i="23"/>
  <c r="AA42" i="23"/>
  <c r="AO42" i="23" s="1"/>
  <c r="CE42" i="23" s="1" a="1"/>
  <c r="CE42" i="23" s="1"/>
  <c r="S43" i="23"/>
  <c r="AG43" i="23" s="1"/>
  <c r="BW43" i="23" s="1" a="1"/>
  <c r="BW43" i="23" s="1"/>
  <c r="W31" i="23"/>
  <c r="AK31" i="23" s="1"/>
  <c r="CA31" i="23" s="1" a="1"/>
  <c r="CA31" i="23" s="1"/>
  <c r="Z34" i="23"/>
  <c r="AN34" i="23" s="1"/>
  <c r="CD34" i="23" s="1" a="1"/>
  <c r="CD34" i="23" s="1"/>
  <c r="DM34" i="23"/>
  <c r="DS44" i="23"/>
  <c r="S41" i="23"/>
  <c r="AG41" i="23" s="1"/>
  <c r="AU41" i="23" s="1"/>
  <c r="BI41" i="23" s="1"/>
  <c r="DN41" i="23"/>
  <c r="DS39" i="23"/>
  <c r="FI73" i="33"/>
  <c r="FI68" i="33"/>
  <c r="DT30" i="23"/>
  <c r="AA31" i="23"/>
  <c r="AO31" i="23" s="1"/>
  <c r="CE31" i="23" s="1" a="1"/>
  <c r="CE31" i="23" s="1"/>
  <c r="W42" i="23"/>
  <c r="AK42" i="23" s="1"/>
  <c r="AY42" i="23" s="1"/>
  <c r="BM42" i="23" s="1"/>
  <c r="W35" i="23"/>
  <c r="AK35" i="23" s="1"/>
  <c r="AY35" i="23" s="1"/>
  <c r="BM35" i="23" s="1"/>
  <c r="W34" i="23"/>
  <c r="AK34" i="23" s="1"/>
  <c r="AY34" i="23" s="1"/>
  <c r="BM34" i="23" s="1"/>
  <c r="AA35" i="23"/>
  <c r="AO35" i="23" s="1"/>
  <c r="BC35" i="23" s="1"/>
  <c r="BQ35" i="23" s="1"/>
  <c r="U33" i="23"/>
  <c r="AI33" i="23" s="1"/>
  <c r="AW33" i="23" s="1"/>
  <c r="BK33" i="23" s="1"/>
  <c r="DQ40" i="23"/>
  <c r="Z45" i="23"/>
  <c r="AN45" i="23" s="1"/>
  <c r="BB45" i="23" s="1"/>
  <c r="BP45" i="23" s="1"/>
  <c r="U37" i="23"/>
  <c r="AI37" i="23" s="1"/>
  <c r="AW37" i="23" s="1"/>
  <c r="BK37" i="23" s="1"/>
  <c r="DO32" i="23"/>
  <c r="Z38" i="23"/>
  <c r="AN38" i="23" s="1"/>
  <c r="BB38" i="23" s="1"/>
  <c r="BP38" i="23" s="1"/>
  <c r="DO44" i="23"/>
  <c r="AA29" i="23"/>
  <c r="AO29" i="23" s="1"/>
  <c r="CE29" i="23" s="1" a="1"/>
  <c r="CE29" i="23" s="1"/>
  <c r="AZ27" i="23"/>
  <c r="BN27" i="23" s="1"/>
  <c r="BZ29" i="23" a="1"/>
  <c r="BZ29" i="23" s="1"/>
  <c r="CD37" i="23" a="1"/>
  <c r="CD37" i="23" s="1"/>
  <c r="AX39" i="23"/>
  <c r="BL39" i="23" s="1"/>
  <c r="BC45" i="23"/>
  <c r="BQ45" i="23" s="1"/>
  <c r="BB44" i="23"/>
  <c r="BP44" i="23" s="1"/>
  <c r="CA44" i="23" a="1"/>
  <c r="CA44" i="23" s="1"/>
  <c r="BY45" i="23" a="1"/>
  <c r="BY45" i="23" s="1"/>
  <c r="CK26" i="23" a="1"/>
  <c r="CK26" i="23" s="1"/>
  <c r="B14" i="23" s="1"/>
  <c r="M14" i="23" s="1"/>
  <c r="BX37" i="23" a="1"/>
  <c r="BX37" i="23" s="1"/>
  <c r="CA32" i="23" a="1"/>
  <c r="CA32" i="23" s="1"/>
  <c r="CB31" i="23" a="1"/>
  <c r="CB31" i="23" s="1"/>
  <c r="L11" i="23"/>
  <c r="BY31" i="23" a="1"/>
  <c r="BY31" i="23" s="1"/>
  <c r="BB35" i="23"/>
  <c r="BP35" i="23" s="1"/>
  <c r="AU38" i="23"/>
  <c r="BI38" i="23" s="1"/>
  <c r="CC28" i="23" a="1"/>
  <c r="CC28" i="23" s="1"/>
  <c r="I8" i="23"/>
  <c r="B8" i="23"/>
  <c r="H8" i="23" s="1"/>
  <c r="AV26" i="23"/>
  <c r="BJ26" i="23" s="1"/>
  <c r="C12" i="23" s="1"/>
  <c r="AW35" i="23"/>
  <c r="BK35" i="23" s="1"/>
  <c r="BA38" i="23"/>
  <c r="BO38" i="23" s="1"/>
  <c r="AY31" i="23"/>
  <c r="BM31" i="23" s="1"/>
  <c r="BY40" i="23" a="1"/>
  <c r="BY40" i="23" s="1"/>
  <c r="CA38" i="23" a="1"/>
  <c r="CA38" i="23" s="1"/>
  <c r="BA27" i="23"/>
  <c r="BO27" i="23" s="1"/>
  <c r="CD28" i="23" a="1"/>
  <c r="CD28" i="23" s="1"/>
  <c r="CA34" i="23" a="1"/>
  <c r="CA34" i="23" s="1"/>
  <c r="BX45" i="23" a="1"/>
  <c r="BX45" i="23" s="1"/>
  <c r="AX26" i="23"/>
  <c r="BL26" i="23" s="1"/>
  <c r="I12" i="23" s="1"/>
  <c r="AZ37" i="23"/>
  <c r="BN37" i="23" s="1"/>
  <c r="CE36" i="23" a="1"/>
  <c r="CE36" i="23" s="1"/>
  <c r="CA33" i="23" a="1"/>
  <c r="CA33" i="23" s="1"/>
  <c r="BW26" i="23" a="1"/>
  <c r="BW26" i="23" s="1"/>
  <c r="B10" i="23" s="1"/>
  <c r="H10" i="23" s="1"/>
  <c r="BC34" i="23"/>
  <c r="BQ34" i="23" s="1"/>
  <c r="CE32" i="23" a="1"/>
  <c r="CE32" i="23" s="1"/>
  <c r="EC80" i="33"/>
  <c r="GX80" i="33" s="1"/>
  <c r="DX85" i="33"/>
  <c r="GS85" i="33" s="1"/>
  <c r="DW74" i="33"/>
  <c r="GR74" i="33" s="1"/>
  <c r="CE35" i="23" a="1"/>
  <c r="CE35" i="23" s="1"/>
  <c r="CE40" i="23" a="1"/>
  <c r="CE40" i="23" s="1"/>
  <c r="CB26" i="23" a="1"/>
  <c r="CB26" i="23" s="1"/>
  <c r="E10" i="23" s="1"/>
  <c r="AZ26" i="23"/>
  <c r="BN26" i="23" s="1"/>
  <c r="E8" i="23"/>
  <c r="AW43" i="23"/>
  <c r="BK43" i="23" s="1"/>
  <c r="BY43" i="23" a="1"/>
  <c r="BY43" i="23" s="1"/>
  <c r="ED79" i="33"/>
  <c r="GY79" i="33" s="1"/>
  <c r="ED72" i="33"/>
  <c r="HM72" i="33" s="1"/>
  <c r="BZ30" i="23" a="1"/>
  <c r="BZ30" i="23" s="1"/>
  <c r="AX30" i="23"/>
  <c r="BL30" i="23" s="1"/>
  <c r="AZ29" i="23"/>
  <c r="BN29" i="23" s="1"/>
  <c r="DV83" i="33"/>
  <c r="GQ83" i="33" s="1"/>
  <c r="DV79" i="33"/>
  <c r="HE79" i="33" s="1"/>
  <c r="I16" i="23"/>
  <c r="AY40" i="23"/>
  <c r="BM40" i="23" s="1"/>
  <c r="EB74" i="33"/>
  <c r="HK74" i="33" s="1"/>
  <c r="DZ84" i="33"/>
  <c r="FU84" i="33" s="1"/>
  <c r="DX84" i="33"/>
  <c r="HG84" i="33" s="1"/>
  <c r="AX35" i="23"/>
  <c r="BL35" i="23" s="1"/>
  <c r="CA45" i="23" a="1"/>
  <c r="CA45" i="23" s="1"/>
  <c r="DX80" i="33"/>
  <c r="GS80" i="33" s="1"/>
  <c r="CB28" i="23" a="1"/>
  <c r="CB28" i="23" s="1"/>
  <c r="AY26" i="23"/>
  <c r="BM26" i="23" s="1"/>
  <c r="G12" i="23" s="1"/>
  <c r="AU29" i="23"/>
  <c r="BI29" i="23" s="1"/>
  <c r="BW29" i="23" a="1"/>
  <c r="BW29" i="23" s="1"/>
  <c r="CB40" i="23" a="1"/>
  <c r="CB40" i="23" s="1"/>
  <c r="BY26" i="23" a="1"/>
  <c r="BY26" i="23" s="1"/>
  <c r="D10" i="23" s="1"/>
  <c r="BB41" i="23"/>
  <c r="BP41" i="23" s="1"/>
  <c r="CD41" i="23" a="1"/>
  <c r="CD41" i="23" s="1"/>
  <c r="CD33" i="23" a="1"/>
  <c r="CD33" i="23" s="1"/>
  <c r="CD32" i="23" a="1"/>
  <c r="CD32" i="23" s="1"/>
  <c r="AV31" i="23"/>
  <c r="BJ31" i="23" s="1"/>
  <c r="BX31" i="23" a="1"/>
  <c r="BX31" i="23" s="1"/>
  <c r="AZ39" i="23"/>
  <c r="BN39" i="23" s="1"/>
  <c r="ED78" i="33"/>
  <c r="HM78" i="33" s="1"/>
  <c r="D11" i="23"/>
  <c r="D16" i="23"/>
  <c r="AV41" i="23"/>
  <c r="BJ41" i="23" s="1"/>
  <c r="BX41" i="23" a="1"/>
  <c r="BX41" i="23" s="1"/>
  <c r="BC43" i="23"/>
  <c r="BQ43" i="23" s="1"/>
  <c r="CE43" i="23" a="1"/>
  <c r="CE43" i="23" s="1"/>
  <c r="CE38" i="23" a="1"/>
  <c r="CE38" i="23" s="1"/>
  <c r="BC38" i="23"/>
  <c r="BQ38" i="23" s="1"/>
  <c r="BZ43" i="23" a="1"/>
  <c r="BZ43" i="23" s="1"/>
  <c r="N8" i="23"/>
  <c r="CE26" i="23" a="1"/>
  <c r="CE26" i="23" s="1"/>
  <c r="N10" i="23" s="1"/>
  <c r="BZ45" i="23" a="1"/>
  <c r="BZ45" i="23" s="1"/>
  <c r="AX45" i="23"/>
  <c r="BL45" i="23" s="1"/>
  <c r="BC30" i="23"/>
  <c r="BQ30" i="23" s="1"/>
  <c r="CE30" i="23" a="1"/>
  <c r="CE30" i="23" s="1"/>
  <c r="CB34" i="23" a="1"/>
  <c r="CB34" i="23" s="1"/>
  <c r="AX42" i="23"/>
  <c r="BL42" i="23" s="1"/>
  <c r="BZ42" i="23" a="1"/>
  <c r="BZ42" i="23" s="1"/>
  <c r="BA42" i="23"/>
  <c r="BO42" i="23" s="1"/>
  <c r="CC42" i="23" a="1"/>
  <c r="CC42" i="23" s="1"/>
  <c r="AY69" i="33"/>
  <c r="AY41" i="23"/>
  <c r="BM41" i="23" s="1"/>
  <c r="CA41" i="23" a="1"/>
  <c r="CA41" i="23" s="1"/>
  <c r="CD40" i="23" a="1"/>
  <c r="CD40" i="23" s="1"/>
  <c r="BB40" i="23"/>
  <c r="BP40" i="23" s="1"/>
  <c r="BX40" i="23" a="1"/>
  <c r="BX40" i="23" s="1"/>
  <c r="AV40" i="23"/>
  <c r="BJ40" i="23" s="1"/>
  <c r="DZ78" i="33"/>
  <c r="HI78" i="33" s="1"/>
  <c r="BA40" i="23"/>
  <c r="BO40" i="23" s="1"/>
  <c r="BZ36" i="23" a="1"/>
  <c r="BZ36" i="23" s="1"/>
  <c r="CD27" i="23" a="1"/>
  <c r="CD27" i="23" s="1"/>
  <c r="BY32" i="23" a="1"/>
  <c r="BY32" i="23" s="1"/>
  <c r="CD38" i="23" a="1"/>
  <c r="CD38" i="23" s="1"/>
  <c r="BZ27" i="23" a="1"/>
  <c r="BZ27" i="23" s="1"/>
  <c r="AX27" i="23"/>
  <c r="BL27" i="23" s="1"/>
  <c r="BC28" i="23"/>
  <c r="BQ28" i="23" s="1"/>
  <c r="BB43" i="23"/>
  <c r="BP43" i="23" s="1"/>
  <c r="CC43" i="23" a="1"/>
  <c r="CC43" i="23" s="1"/>
  <c r="EC83" i="33"/>
  <c r="HL83" i="33" s="1"/>
  <c r="AX69" i="33"/>
  <c r="AU36" i="23"/>
  <c r="BI36" i="23" s="1"/>
  <c r="BA33" i="23"/>
  <c r="BO33" i="23" s="1"/>
  <c r="AZ44" i="23"/>
  <c r="BN44" i="23" s="1"/>
  <c r="CP44" i="23" s="1" a="1"/>
  <c r="CP44" i="23" s="1"/>
  <c r="AV32" i="23"/>
  <c r="BJ32" i="23" s="1"/>
  <c r="BX32" i="23" a="1"/>
  <c r="BX32" i="23" s="1"/>
  <c r="AX32" i="23"/>
  <c r="BL32" i="23" s="1"/>
  <c r="BZ32" i="23" a="1"/>
  <c r="BZ32" i="23" s="1"/>
  <c r="BY34" i="23" a="1"/>
  <c r="BY34" i="23" s="1"/>
  <c r="BA44" i="23"/>
  <c r="BO44" i="23" s="1"/>
  <c r="BW27" i="23" a="1"/>
  <c r="BW27" i="23" s="1"/>
  <c r="AY28" i="23"/>
  <c r="BM28" i="23" s="1"/>
  <c r="AW41" i="23"/>
  <c r="BK41" i="23" s="1"/>
  <c r="CB35" i="23" a="1"/>
  <c r="CB35" i="23" s="1"/>
  <c r="AZ35" i="23"/>
  <c r="BN35" i="23" s="1"/>
  <c r="CC31" i="23" a="1"/>
  <c r="CC31" i="23" s="1"/>
  <c r="CC41" i="23" a="1"/>
  <c r="CC41" i="23" s="1"/>
  <c r="BA41" i="23"/>
  <c r="BO41" i="23" s="1"/>
  <c r="BZ41" i="23" a="1"/>
  <c r="BZ41" i="23" s="1"/>
  <c r="AX41" i="23"/>
  <c r="BL41" i="23" s="1"/>
  <c r="CA30" i="23" a="1"/>
  <c r="CA30" i="23" s="1"/>
  <c r="AY30" i="23"/>
  <c r="BM30" i="23" s="1"/>
  <c r="C11" i="23"/>
  <c r="C16" i="23"/>
  <c r="CE33" i="23" a="1"/>
  <c r="CE33" i="23" s="1"/>
  <c r="BC33" i="23"/>
  <c r="BQ33" i="23" s="1"/>
  <c r="AW68" i="33"/>
  <c r="E18" i="33"/>
  <c r="G18" i="33"/>
  <c r="F18" i="33"/>
  <c r="AX68" i="33"/>
  <c r="AZ68" i="33"/>
  <c r="EC68" i="33"/>
  <c r="C47" i="33"/>
  <c r="B47" i="33" s="1"/>
  <c r="ED68" i="33"/>
  <c r="AV68" i="33"/>
  <c r="DA40" i="23" a="1"/>
  <c r="ES70" i="33" a="1"/>
  <c r="EU70" i="33" a="1"/>
  <c r="DC33" i="23" a="1"/>
  <c r="ER74" i="33" a="1"/>
  <c r="EL84" i="33" a="1"/>
  <c r="ER84" i="33" a="1"/>
  <c r="EU73" i="33" a="1"/>
  <c r="ER81" i="33" a="1"/>
  <c r="EK86" i="33" a="1"/>
  <c r="EN86" i="33" a="1"/>
  <c r="EO86" i="33" a="1"/>
  <c r="EP78" i="33" a="1"/>
  <c r="EM78" i="33" a="1"/>
  <c r="EL78" i="33" a="1"/>
  <c r="EK80" i="33" a="1"/>
  <c r="EL80" i="33" a="1"/>
  <c r="EN77" i="33" a="1"/>
  <c r="EQ77" i="33" a="1"/>
  <c r="DB44" i="23" a="1"/>
  <c r="DC43" i="23" a="1"/>
  <c r="EK79" i="33" a="1"/>
  <c r="EM79" i="33" a="1"/>
  <c r="EN79" i="33" a="1"/>
  <c r="ET82" i="33" a="1"/>
  <c r="EU87" i="33" a="1"/>
  <c r="EU76" i="33" a="1"/>
  <c r="EO76" i="33" a="1"/>
  <c r="EP85" i="33" a="1"/>
  <c r="EU71" i="33" a="1"/>
  <c r="DA28" i="23" a="1"/>
  <c r="EL74" i="33" a="1"/>
  <c r="CZ37" i="23" a="1"/>
  <c r="EM84" i="33" a="1"/>
  <c r="EO84" i="33" a="1"/>
  <c r="DG32" i="23" a="1"/>
  <c r="DE28" i="23" a="1"/>
  <c r="EK73" i="33" a="1"/>
  <c r="EK68" i="33" a="1"/>
  <c r="EL68" i="33" a="1"/>
  <c r="ES81" i="33" a="1"/>
  <c r="EM81" i="33" a="1"/>
  <c r="EP83" i="33" a="1"/>
  <c r="EN83" i="33" a="1"/>
  <c r="DD28" i="23" a="1"/>
  <c r="EV72" i="33" a="1"/>
  <c r="ES72" i="33" a="1"/>
  <c r="EU86" i="33" a="1"/>
  <c r="ER86" i="33" a="1"/>
  <c r="EQ78" i="33" a="1"/>
  <c r="ER78" i="33" a="1"/>
  <c r="EU80" i="33" a="1"/>
  <c r="EO77" i="33" a="1"/>
  <c r="EL77" i="33" a="1"/>
  <c r="EU77" i="33" a="1"/>
  <c r="DB36" i="23" a="1"/>
  <c r="EK69" i="33" a="1"/>
  <c r="ES69" i="33" a="1"/>
  <c r="EQ69" i="33" a="1"/>
  <c r="EO82" i="33" a="1"/>
  <c r="EN82" i="33" a="1"/>
  <c r="EL87" i="33" a="1"/>
  <c r="EL75" i="33" a="1"/>
  <c r="EK75" i="33" a="1"/>
  <c r="EP76" i="33" a="1"/>
  <c r="CZ39" i="23" a="1"/>
  <c r="EK85" i="33" a="1"/>
  <c r="ES85" i="33" a="1"/>
  <c r="EL71" i="33" a="1"/>
  <c r="EK71" i="33" a="1"/>
  <c r="DA33" i="23" a="1"/>
  <c r="ET70" i="33" a="1"/>
  <c r="EQ70" i="33" a="1"/>
  <c r="EQ74" i="33" a="1"/>
  <c r="DG36" i="23" a="1"/>
  <c r="ET73" i="33" a="1"/>
  <c r="EP73" i="33" a="1"/>
  <c r="EV73" i="33" a="1"/>
  <c r="EV68" i="33" a="1"/>
  <c r="EO68" i="33" a="1"/>
  <c r="EM68" i="33" a="1"/>
  <c r="EO81" i="33" a="1"/>
  <c r="ER83" i="33" a="1"/>
  <c r="EQ83" i="33" a="1"/>
  <c r="EL72" i="33" a="1"/>
  <c r="ER72" i="33" a="1"/>
  <c r="EP72" i="33" a="1"/>
  <c r="EL86" i="33" a="1"/>
  <c r="ET80" i="33" a="1"/>
  <c r="EO80" i="33" a="1"/>
  <c r="DD31" i="23" a="1"/>
  <c r="ES77" i="33" a="1"/>
  <c r="DC44" i="23" a="1"/>
  <c r="DA31" i="23" a="1"/>
  <c r="EP69" i="33" a="1"/>
  <c r="EU79" i="33" a="1"/>
  <c r="ES82" i="33" a="1"/>
  <c r="EU82" i="33" a="1"/>
  <c r="ER76" i="33" a="1"/>
  <c r="ES76" i="33" a="1"/>
  <c r="EO85" i="33" a="1"/>
  <c r="ET85" i="33" a="1"/>
  <c r="EN71" i="33" a="1"/>
  <c r="DE30" i="23" a="1"/>
  <c r="DA34" i="23" a="1"/>
  <c r="DF45" i="23" a="1"/>
  <c r="DD34" i="23" a="1"/>
  <c r="DD40" i="23" a="1"/>
  <c r="DB45" i="23" a="1"/>
  <c r="DA39" i="23" a="1"/>
  <c r="DG41" i="23" a="1"/>
  <c r="DD45" i="23" a="1"/>
  <c r="EM85" i="33" a="1"/>
  <c r="EP71" i="33" a="1"/>
  <c r="EL70" i="33" a="1"/>
  <c r="EM70" i="33" a="1"/>
  <c r="EU74" i="33" a="1"/>
  <c r="ET74" i="33" a="1"/>
  <c r="DE29" i="23" a="1"/>
  <c r="EP84" i="33" a="1"/>
  <c r="EN84" i="33" a="1"/>
  <c r="EO73" i="33" a="1"/>
  <c r="EQ68" i="33" a="1"/>
  <c r="EN81" i="33" a="1"/>
  <c r="ET83" i="33" a="1"/>
  <c r="EK83" i="33" a="1"/>
  <c r="EM72" i="33" a="1"/>
  <c r="ET86" i="33" a="1"/>
  <c r="EP86" i="33" a="1"/>
  <c r="ES78" i="33" a="1"/>
  <c r="EM80" i="33" a="1"/>
  <c r="EK77" i="33" a="1"/>
  <c r="ER77" i="33" a="1"/>
  <c r="ET69" i="33" a="1"/>
  <c r="EP79" i="33" a="1"/>
  <c r="DE26" i="23" a="1"/>
  <c r="DB29" i="23" a="1"/>
  <c r="ER82" i="33" a="1"/>
  <c r="EP87" i="33" a="1"/>
  <c r="ET87" i="33" a="1"/>
  <c r="EU75" i="33" a="1"/>
  <c r="EN75" i="33" a="1"/>
  <c r="EV76" i="33" a="1"/>
  <c r="EV70" i="33" a="1"/>
  <c r="EP70" i="33" a="1"/>
  <c r="EK70" i="33" a="1"/>
  <c r="CY30" i="23" a="1"/>
  <c r="EP74" i="33" a="1"/>
  <c r="ES74" i="33" a="1"/>
  <c r="EK74" i="33" a="1"/>
  <c r="DF28" i="23" a="1"/>
  <c r="ET84" i="33" a="1"/>
  <c r="EQ73" i="33" a="1"/>
  <c r="EN73" i="33" a="1"/>
  <c r="ES68" i="33" a="1"/>
  <c r="DE39" i="23" a="1"/>
  <c r="EU83" i="33" a="1"/>
  <c r="DG27" i="23" a="1"/>
  <c r="ET72" i="33" a="1"/>
  <c r="EQ72" i="33" a="1"/>
  <c r="DG37" i="23" a="1"/>
  <c r="EQ86" i="33" a="1"/>
  <c r="ET78" i="33" a="1"/>
  <c r="EO78" i="33" a="1"/>
  <c r="EQ80" i="33" a="1"/>
  <c r="EM77" i="33" a="1"/>
  <c r="ET77" i="33" a="1"/>
  <c r="DE45" i="23" a="1"/>
  <c r="EO70" i="33" a="1"/>
  <c r="DC45" i="23" a="1"/>
  <c r="EQ84" i="33" a="1"/>
  <c r="EM73" i="33" a="1"/>
  <c r="ER73" i="33" a="1"/>
  <c r="EL73" i="33" a="1"/>
  <c r="ER68" i="33" a="1"/>
  <c r="EU81" i="33" a="1"/>
  <c r="ET81" i="33" a="1"/>
  <c r="EP81" i="33" a="1"/>
  <c r="EM83" i="33" a="1"/>
  <c r="EU72" i="33" a="1"/>
  <c r="EO72" i="33" a="1"/>
  <c r="DC38" i="23" a="1"/>
  <c r="EU78" i="33" a="1"/>
  <c r="DF27" i="23" a="1"/>
  <c r="EU69" i="33" a="1"/>
  <c r="EM69" i="33" a="1"/>
  <c r="ET79" i="33" a="1"/>
  <c r="EQ79" i="33" a="1"/>
  <c r="EL82" i="33" a="1"/>
  <c r="EP82" i="33" a="1"/>
  <c r="EM87" i="33" a="1"/>
  <c r="EO87" i="33" a="1"/>
  <c r="EO75" i="33" a="1"/>
  <c r="ET75" i="33" a="1"/>
  <c r="EM76" i="33" a="1"/>
  <c r="EN85" i="33" a="1"/>
  <c r="ET71" i="33" a="1"/>
  <c r="EM74" i="33" a="1"/>
  <c r="EN74" i="33" a="1"/>
  <c r="CY26" i="23" a="1"/>
  <c r="DB40" i="23" a="1"/>
  <c r="EU84" i="33" a="1"/>
  <c r="ES73" i="33" a="1"/>
  <c r="EU68" i="33" a="1"/>
  <c r="ET68" i="33" a="1"/>
  <c r="EK81" i="33" a="1"/>
  <c r="EO83" i="33" a="1"/>
  <c r="EK72" i="33" a="1"/>
  <c r="DF37" i="23" a="1"/>
  <c r="CZ43" i="23" a="1"/>
  <c r="EK78" i="33" a="1"/>
  <c r="ES80" i="33" a="1"/>
  <c r="EN80" i="33" a="1"/>
  <c r="ER80" i="33" a="1"/>
  <c r="CY42" i="23" a="1"/>
  <c r="EN69" i="33" a="1"/>
  <c r="ER69" i="33" a="1"/>
  <c r="EL69" i="33" a="1"/>
  <c r="ER79" i="33" a="1"/>
  <c r="DD41" i="23" a="1"/>
  <c r="EK87" i="33" a="1"/>
  <c r="EQ75" i="33" a="1"/>
  <c r="EM75" i="33" a="1"/>
  <c r="EV75" i="33" a="1"/>
  <c r="EL76" i="33" a="1"/>
  <c r="EQ76" i="33" a="1"/>
  <c r="ER85" i="33" a="1"/>
  <c r="EO71" i="33" a="1"/>
  <c r="DF42" i="23" a="1"/>
  <c r="CY41" i="23" a="1"/>
  <c r="DC35" i="23" a="1"/>
  <c r="ER70" i="33" a="1"/>
  <c r="EN70" i="33" a="1"/>
  <c r="EO74" i="33" a="1"/>
  <c r="DE37" i="23" a="1"/>
  <c r="EK84" i="33" a="1"/>
  <c r="ES84" i="33" a="1"/>
  <c r="DC32" i="23" a="1"/>
  <c r="EP68" i="33" a="1"/>
  <c r="EN68" i="33" a="1"/>
  <c r="EQ81" i="33" a="1"/>
  <c r="EL81" i="33" a="1"/>
  <c r="EL83" i="33" a="1"/>
  <c r="ES83" i="33" a="1"/>
  <c r="CZ45" i="23" a="1"/>
  <c r="EN72" i="33" a="1"/>
  <c r="EM86" i="33" a="1"/>
  <c r="ES86" i="33" a="1"/>
  <c r="EN78" i="33" a="1"/>
  <c r="EP80" i="33" a="1"/>
  <c r="EP77" i="33" a="1"/>
  <c r="DA30" i="23" a="1"/>
  <c r="EV69" i="33" a="1"/>
  <c r="EO69" i="33" a="1"/>
  <c r="EL79" i="33" a="1"/>
  <c r="EO79" i="33" a="1"/>
  <c r="EM82" i="33" a="1"/>
  <c r="ER87" i="33" a="1"/>
  <c r="EN87" i="33" a="1"/>
  <c r="DA45" i="23" a="1"/>
  <c r="EP75" i="33" a="1"/>
  <c r="EK76" i="33" a="1"/>
  <c r="ET76" i="33" a="1"/>
  <c r="EQ85" i="33" a="1"/>
  <c r="EM71" i="33" a="1"/>
  <c r="ER71" i="33" a="1"/>
  <c r="DC34" i="23" a="1"/>
  <c r="DD37" i="23" a="1"/>
  <c r="DE31" i="23" a="1"/>
  <c r="DC40" i="23" a="1"/>
  <c r="DC41" i="23" a="1"/>
  <c r="DA43" i="23" a="1"/>
  <c r="DE33" i="23" a="1"/>
  <c r="DF39" i="23" a="1"/>
  <c r="CZ40" i="23" a="1"/>
  <c r="DB30" i="23" a="1"/>
  <c r="DG45" i="23" a="1"/>
  <c r="DE41" i="23" a="1"/>
  <c r="DG28" i="23" a="1"/>
  <c r="DF38" i="23" a="1"/>
  <c r="DF40" i="23" a="1"/>
  <c r="CY36" i="23" a="1"/>
  <c r="DF44" i="23" a="1"/>
  <c r="DC30" i="23" a="1"/>
  <c r="DF32" i="23" a="1"/>
  <c r="DG38" i="23" a="1"/>
  <c r="DB38" i="23" a="1"/>
  <c r="DB41" i="23" a="1"/>
  <c r="CY29" i="23" a="1"/>
  <c r="DB37" i="23" a="1"/>
  <c r="DC42" i="23" a="1"/>
  <c r="CZ32" i="23" a="1"/>
  <c r="DD26" i="23" a="1"/>
  <c r="DB27" i="23" a="1"/>
  <c r="DF33" i="23" a="1"/>
  <c r="DD35" i="23" a="1"/>
  <c r="DC26" i="23" a="1"/>
  <c r="DF35" i="23" a="1"/>
  <c r="DG30" i="23" a="1"/>
  <c r="DE44" i="23" a="1"/>
  <c r="DD44" i="23" a="1"/>
  <c r="DF31" i="23" a="1"/>
  <c r="DA32" i="23" a="1"/>
  <c r="CY38" i="23" a="1"/>
  <c r="DE27" i="23" a="1"/>
  <c r="EK82" i="33" a="1"/>
  <c r="EQ82" i="33" a="1"/>
  <c r="EQ87" i="33" a="1"/>
  <c r="ES75" i="33" a="1"/>
  <c r="EL85" i="33" a="1"/>
  <c r="DA37" i="23" a="1"/>
  <c r="DB39" i="23" a="1"/>
  <c r="DG35" i="23" a="1"/>
  <c r="DA35" i="23" a="1"/>
  <c r="DD27" i="23" a="1"/>
  <c r="CZ31" i="23" a="1"/>
  <c r="DD39" i="23" a="1"/>
  <c r="DC39" i="23" a="1"/>
  <c r="DG43" i="23" a="1"/>
  <c r="DE38" i="23" a="1"/>
  <c r="DB32" i="23" a="1"/>
  <c r="DB42" i="23" a="1"/>
  <c r="DF41" i="23" a="1"/>
  <c r="DC28" i="23" a="1"/>
  <c r="DG33" i="23" a="1"/>
  <c r="DG26" i="23" a="1"/>
  <c r="DE40" i="23" a="1"/>
  <c r="CY27" i="23" a="1"/>
  <c r="DD43" i="23" a="1"/>
  <c r="DB43" i="23" a="1"/>
  <c r="DC31" i="23" a="1"/>
  <c r="DE43" i="23" a="1"/>
  <c r="DF43" i="23" a="1"/>
  <c r="DB26" i="23" a="1"/>
  <c r="DG40" i="23" a="1"/>
  <c r="CY28" i="23" a="1"/>
  <c r="ES79" i="33" a="1"/>
  <c r="ES87" i="33" a="1"/>
  <c r="ER75" i="33" a="1"/>
  <c r="EN76" i="33" a="1"/>
  <c r="EU85" i="33" a="1"/>
  <c r="EV71" i="33" a="1"/>
  <c r="ES71" i="33" a="1"/>
  <c r="EQ71" i="33" a="1"/>
  <c r="DE42" i="23" a="1"/>
  <c r="DB35" i="23" a="1"/>
  <c r="DC29" i="23" a="1"/>
  <c r="DA41" i="23" a="1"/>
  <c r="DG34" i="23" a="1"/>
  <c r="DD29" i="23" a="1"/>
  <c r="CZ41" i="23" a="1"/>
  <c r="CZ26" i="23" a="1"/>
  <c r="M8" i="23" l="1"/>
  <c r="GS84" i="33"/>
  <c r="BY33" i="23" a="1"/>
  <c r="BY33" i="23" s="1"/>
  <c r="BC42" i="23"/>
  <c r="BQ42" i="23" s="1"/>
  <c r="BZ38" i="23" a="1"/>
  <c r="BZ38" i="23" s="1"/>
  <c r="CA39" i="23" a="1"/>
  <c r="CA39" i="23" s="1"/>
  <c r="CE41" i="23" a="1"/>
  <c r="CE41" i="23" s="1"/>
  <c r="CA29" i="23" a="1"/>
  <c r="CA29" i="23" s="1"/>
  <c r="AW29" i="23"/>
  <c r="BK29" i="23" s="1"/>
  <c r="AY27" i="23"/>
  <c r="BM27" i="23" s="1"/>
  <c r="AW26" i="23"/>
  <c r="BK26" i="23" s="1"/>
  <c r="AV28" i="23"/>
  <c r="BJ28" i="23" s="1"/>
  <c r="BC29" i="23"/>
  <c r="BQ29" i="23" s="1"/>
  <c r="E11" i="23"/>
  <c r="CB41" i="23" a="1"/>
  <c r="CB41" i="23" s="1"/>
  <c r="BW30" i="23" a="1"/>
  <c r="BW30" i="23" s="1"/>
  <c r="BY28" i="23" a="1"/>
  <c r="BY28" i="23" s="1"/>
  <c r="BB29" i="23"/>
  <c r="BP29" i="23" s="1"/>
  <c r="CB43" i="23" a="1"/>
  <c r="CB43" i="23" s="1"/>
  <c r="CB45" i="23" a="1"/>
  <c r="CB45" i="23" s="1"/>
  <c r="BZ40" i="23" a="1"/>
  <c r="BZ40" i="23" s="1"/>
  <c r="AU37" i="23"/>
  <c r="BI37" i="23" s="1"/>
  <c r="F9" i="33"/>
  <c r="D18" i="33"/>
  <c r="CD45" i="23" a="1"/>
  <c r="CD45" i="23" s="1"/>
  <c r="BZ44" i="23" a="1"/>
  <c r="BZ44" i="23" s="1"/>
  <c r="BW28" i="23" a="1"/>
  <c r="BW28" i="23" s="1"/>
  <c r="CC37" i="23" a="1"/>
  <c r="CC37" i="23" s="1"/>
  <c r="AW38" i="23"/>
  <c r="BK38" i="23" s="1"/>
  <c r="CC39" i="23" a="1"/>
  <c r="CC39" i="23" s="1"/>
  <c r="CC26" i="23" a="1"/>
  <c r="CC26" i="23" s="1"/>
  <c r="K10" i="23" s="1"/>
  <c r="H18" i="33"/>
  <c r="BZ37" i="23" a="1"/>
  <c r="BZ37" i="23" s="1"/>
  <c r="AZ36" i="23"/>
  <c r="BN36" i="23" s="1"/>
  <c r="CE37" i="23" a="1"/>
  <c r="CE37" i="23" s="1"/>
  <c r="CC45" i="23" a="1"/>
  <c r="CC45" i="23" s="1"/>
  <c r="BY39" i="23" a="1"/>
  <c r="BY39" i="23" s="1"/>
  <c r="CD31" i="23" a="1"/>
  <c r="CD31" i="23" s="1"/>
  <c r="CD39" i="23" a="1"/>
  <c r="CD39" i="23" s="1"/>
  <c r="CE27" i="23" a="1"/>
  <c r="CE27" i="23" s="1"/>
  <c r="BY30" i="23" a="1"/>
  <c r="BY30" i="23" s="1"/>
  <c r="AW44" i="23"/>
  <c r="BK44" i="23" s="1"/>
  <c r="AZ42" i="23"/>
  <c r="BN42" i="23" s="1"/>
  <c r="B18" i="33"/>
  <c r="AX33" i="23"/>
  <c r="BL33" i="23" s="1"/>
  <c r="CC30" i="23" a="1"/>
  <c r="CC30" i="23" s="1"/>
  <c r="AU44" i="23"/>
  <c r="BI44" i="23" s="1"/>
  <c r="CA43" i="23" a="1"/>
  <c r="CA43" i="23" s="1"/>
  <c r="CC29" i="23" a="1"/>
  <c r="CC29" i="23" s="1"/>
  <c r="B9" i="33"/>
  <c r="M10" i="23"/>
  <c r="CA42" i="23" a="1"/>
  <c r="CA42" i="23" s="1"/>
  <c r="CA35" i="23" a="1"/>
  <c r="CA35" i="23" s="1"/>
  <c r="BX43" i="23" a="1"/>
  <c r="BX43" i="23" s="1"/>
  <c r="CD42" i="23" a="1"/>
  <c r="CD42" i="23" s="1"/>
  <c r="K11" i="23"/>
  <c r="BA34" i="23"/>
  <c r="BO34" i="23" s="1"/>
  <c r="AU32" i="23"/>
  <c r="BI32" i="23" s="1"/>
  <c r="CK32" i="23" s="1" a="1"/>
  <c r="CK32" i="23" s="1"/>
  <c r="BW42" i="23" a="1"/>
  <c r="BW42" i="23" s="1"/>
  <c r="BX26" i="23" a="1"/>
  <c r="BX26" i="23" s="1"/>
  <c r="C10" i="23" s="1"/>
  <c r="BW41" i="23" a="1"/>
  <c r="BW41" i="23" s="1"/>
  <c r="H14" i="23"/>
  <c r="AU33" i="23"/>
  <c r="BI33" i="23" s="1"/>
  <c r="CK33" i="23" s="1" a="1"/>
  <c r="CK33" i="23" s="1"/>
  <c r="EQ71" i="33"/>
  <c r="DZ71" i="33" s="1"/>
  <c r="HI71" i="33" s="1"/>
  <c r="ES71" i="33"/>
  <c r="EB71" i="33" s="1"/>
  <c r="GW71" i="33" s="1"/>
  <c r="EV71" i="33"/>
  <c r="EE71" i="33" s="1"/>
  <c r="GZ71" i="33" s="1"/>
  <c r="EU85" i="33"/>
  <c r="EN76" i="33"/>
  <c r="ER75" i="33"/>
  <c r="EA75" i="33" s="1"/>
  <c r="HJ75" i="33" s="1"/>
  <c r="ES87" i="33"/>
  <c r="ES79" i="33"/>
  <c r="DA37" i="23"/>
  <c r="EL85" i="33"/>
  <c r="ES75" i="33"/>
  <c r="EB75" i="33" s="1"/>
  <c r="GW75" i="33" s="1"/>
  <c r="EQ87" i="33"/>
  <c r="EQ82" i="33"/>
  <c r="EK82" i="33"/>
  <c r="DC34" i="23"/>
  <c r="ER71" i="33"/>
  <c r="EA71" i="33" s="1"/>
  <c r="GV71" i="33" s="1"/>
  <c r="EM71" i="33"/>
  <c r="DV71" i="33" s="1"/>
  <c r="HE71" i="33" s="1"/>
  <c r="EQ85" i="33"/>
  <c r="ET76" i="33"/>
  <c r="EK76" i="33"/>
  <c r="DT76" i="33" s="1"/>
  <c r="EP75" i="33"/>
  <c r="DY75" i="33" s="1"/>
  <c r="GT75" i="33" s="1"/>
  <c r="DA45" i="23"/>
  <c r="EN87" i="33"/>
  <c r="ER87" i="33"/>
  <c r="EM82" i="33"/>
  <c r="EO79" i="33"/>
  <c r="EL79" i="33"/>
  <c r="EO69" i="33"/>
  <c r="DX69" i="33" s="1"/>
  <c r="HG69" i="33" s="1"/>
  <c r="EV69" i="33"/>
  <c r="EE69" i="33" s="1"/>
  <c r="HN69" i="33" s="1"/>
  <c r="DA30" i="23"/>
  <c r="EP77" i="33"/>
  <c r="EP80" i="33"/>
  <c r="EN78" i="33"/>
  <c r="ES86" i="33"/>
  <c r="EM86" i="33"/>
  <c r="EN72" i="33"/>
  <c r="CZ45" i="23"/>
  <c r="ES83" i="33"/>
  <c r="EL83" i="33"/>
  <c r="DU83" i="33" s="1"/>
  <c r="GP83" i="33" s="1"/>
  <c r="EL81" i="33"/>
  <c r="DU81" i="33" s="1"/>
  <c r="HD81" i="33" s="1"/>
  <c r="EQ81" i="33"/>
  <c r="EN68" i="33"/>
  <c r="DW68" i="33" s="1"/>
  <c r="EP68" i="33"/>
  <c r="DY68" i="33" s="1"/>
  <c r="DC32" i="23"/>
  <c r="ES84" i="33"/>
  <c r="EK84" i="33"/>
  <c r="DE37" i="23"/>
  <c r="EO74" i="33"/>
  <c r="EN70" i="33"/>
  <c r="DW70" i="33" s="1"/>
  <c r="HF70" i="33" s="1"/>
  <c r="ER70" i="33"/>
  <c r="EA70" i="33" s="1"/>
  <c r="GV70" i="33" s="1"/>
  <c r="DC35" i="23"/>
  <c r="CY41" i="23"/>
  <c r="DF42" i="23"/>
  <c r="EO71" i="33"/>
  <c r="DX71" i="33" s="1"/>
  <c r="GS71" i="33" s="1"/>
  <c r="ER85" i="33"/>
  <c r="EA85" i="33" s="1"/>
  <c r="HJ85" i="33" s="1"/>
  <c r="EQ76" i="33"/>
  <c r="DZ76" i="33" s="1"/>
  <c r="FU76" i="33" s="1"/>
  <c r="EL76" i="33"/>
  <c r="DU76" i="33" s="1"/>
  <c r="HD76" i="33" s="1"/>
  <c r="EV75" i="33"/>
  <c r="EE75" i="33" s="1"/>
  <c r="HN75" i="33" s="1"/>
  <c r="EM75" i="33"/>
  <c r="DV75" i="33" s="1"/>
  <c r="HE75" i="33" s="1"/>
  <c r="EQ75" i="33"/>
  <c r="DZ75" i="33" s="1"/>
  <c r="EK87" i="33"/>
  <c r="DD41" i="23"/>
  <c r="ER79" i="33"/>
  <c r="EL69" i="33"/>
  <c r="DU69" i="33" s="1"/>
  <c r="GP69" i="33" s="1"/>
  <c r="ER69" i="33"/>
  <c r="EA69" i="33" s="1"/>
  <c r="HJ69" i="33" s="1"/>
  <c r="EN69" i="33"/>
  <c r="DW69" i="33" s="1"/>
  <c r="CY42" i="23"/>
  <c r="ER80" i="33"/>
  <c r="EA80" i="33" s="1"/>
  <c r="GV80" i="33" s="1"/>
  <c r="EN80" i="33"/>
  <c r="ES80" i="33"/>
  <c r="EK78" i="33"/>
  <c r="CZ43" i="23"/>
  <c r="DF37" i="23"/>
  <c r="EK72" i="33"/>
  <c r="DT72" i="33" s="1"/>
  <c r="HC72" i="33" s="1"/>
  <c r="EO83" i="33"/>
  <c r="EK81" i="33"/>
  <c r="ET68" i="33"/>
  <c r="EU68" i="33"/>
  <c r="ES73" i="33"/>
  <c r="EB73" i="33" s="1"/>
  <c r="GW73" i="33" s="1"/>
  <c r="EU84" i="33"/>
  <c r="DB40" i="23"/>
  <c r="CY26" i="23"/>
  <c r="B13" i="23" s="1"/>
  <c r="B15" i="23" s="1"/>
  <c r="EN74" i="33"/>
  <c r="EM74" i="33"/>
  <c r="ET71" i="33"/>
  <c r="EN85" i="33"/>
  <c r="EM76" i="33"/>
  <c r="ET75" i="33"/>
  <c r="EO75" i="33"/>
  <c r="DX75" i="33" s="1"/>
  <c r="HG75" i="33" s="1"/>
  <c r="EO87" i="33"/>
  <c r="DX87" i="33" s="1"/>
  <c r="HG87" i="33" s="1"/>
  <c r="EM87" i="33"/>
  <c r="EP82" i="33"/>
  <c r="EL82" i="33"/>
  <c r="EQ79" i="33"/>
  <c r="ET79" i="33"/>
  <c r="EM69" i="33"/>
  <c r="DV69" i="33" s="1"/>
  <c r="GQ69" i="33" s="1"/>
  <c r="EU69" i="33"/>
  <c r="DF27" i="23"/>
  <c r="EU78" i="33"/>
  <c r="DC38" i="23"/>
  <c r="EO72" i="33"/>
  <c r="DX72" i="33" s="1"/>
  <c r="GS72" i="33" s="1"/>
  <c r="EU72" i="33"/>
  <c r="EM83" i="33"/>
  <c r="EP81" i="33"/>
  <c r="ET81" i="33"/>
  <c r="EU81" i="33"/>
  <c r="ER68" i="33"/>
  <c r="EA68" i="33" s="1"/>
  <c r="GV68" i="33" s="1"/>
  <c r="EL73" i="33"/>
  <c r="DU73" i="33" s="1"/>
  <c r="GP73" i="33" s="1"/>
  <c r="ER73" i="33"/>
  <c r="EA73" i="33" s="1"/>
  <c r="GV73" i="33" s="1"/>
  <c r="EM73" i="33"/>
  <c r="EQ84" i="33"/>
  <c r="DC45" i="23"/>
  <c r="EO70" i="33"/>
  <c r="DX70" i="33" s="1"/>
  <c r="HG70" i="33" s="1"/>
  <c r="DE45" i="23"/>
  <c r="ET77" i="33"/>
  <c r="EM77" i="33"/>
  <c r="EQ80" i="33"/>
  <c r="EO78" i="33"/>
  <c r="ET78" i="33"/>
  <c r="EQ86" i="33"/>
  <c r="DG37" i="23"/>
  <c r="EQ72" i="33"/>
  <c r="DZ72" i="33" s="1"/>
  <c r="HI72" i="33" s="1"/>
  <c r="ET72" i="33"/>
  <c r="DG27" i="23"/>
  <c r="EU83" i="33"/>
  <c r="DE39" i="23"/>
  <c r="ES68" i="33"/>
  <c r="EB68" i="33" s="1"/>
  <c r="HK68" i="33" s="1"/>
  <c r="EN73" i="33"/>
  <c r="EQ73" i="33"/>
  <c r="DZ73" i="33" s="1"/>
  <c r="ET84" i="33"/>
  <c r="DF28" i="23"/>
  <c r="EK74" i="33"/>
  <c r="DT74" i="33" s="1"/>
  <c r="GO74" i="33" s="1"/>
  <c r="ES74" i="33"/>
  <c r="EP74" i="33"/>
  <c r="CY30" i="23"/>
  <c r="EK70" i="33"/>
  <c r="DT70" i="33" s="1"/>
  <c r="HC70" i="33" s="1"/>
  <c r="EP70" i="33"/>
  <c r="DY70" i="33" s="1"/>
  <c r="GT70" i="33" s="1"/>
  <c r="EV70" i="33"/>
  <c r="EE70" i="33" s="1"/>
  <c r="EV76" i="33"/>
  <c r="EN75" i="33"/>
  <c r="DW75" i="33" s="1"/>
  <c r="GR75" i="33" s="1"/>
  <c r="EU75" i="33"/>
  <c r="ET87" i="33"/>
  <c r="EP87" i="33"/>
  <c r="ER82" i="33"/>
  <c r="DB29" i="23"/>
  <c r="DE26" i="23"/>
  <c r="K13" i="23" s="1"/>
  <c r="K15" i="23" s="1"/>
  <c r="EP79" i="33"/>
  <c r="ET69" i="33"/>
  <c r="ER77" i="33"/>
  <c r="EA77" i="33" s="1"/>
  <c r="GV77" i="33" s="1"/>
  <c r="EK77" i="33"/>
  <c r="EM80" i="33"/>
  <c r="ES78" i="33"/>
  <c r="EP86" i="33"/>
  <c r="ET86" i="33"/>
  <c r="EM72" i="33"/>
  <c r="DV72" i="33" s="1"/>
  <c r="EK83" i="33"/>
  <c r="ET83" i="33"/>
  <c r="EN81" i="33"/>
  <c r="EQ68" i="33"/>
  <c r="DZ68" i="33" s="1"/>
  <c r="GU68" i="33" s="1"/>
  <c r="EO73" i="33"/>
  <c r="DX73" i="33" s="1"/>
  <c r="EN84" i="33"/>
  <c r="EP84" i="33"/>
  <c r="DE29" i="23"/>
  <c r="ET74" i="33"/>
  <c r="EU74" i="33"/>
  <c r="EM70" i="33"/>
  <c r="DV70" i="33" s="1"/>
  <c r="GQ70" i="33" s="1"/>
  <c r="EL70" i="33"/>
  <c r="DU70" i="33" s="1"/>
  <c r="HD70" i="33" s="1"/>
  <c r="EP71" i="33"/>
  <c r="DY71" i="33" s="1"/>
  <c r="HH71" i="33" s="1"/>
  <c r="EM85" i="33"/>
  <c r="DE30" i="23"/>
  <c r="EN71" i="33"/>
  <c r="DW71" i="33" s="1"/>
  <c r="HF71" i="33" s="1"/>
  <c r="ET85" i="33"/>
  <c r="EO85" i="33"/>
  <c r="ES76" i="33"/>
  <c r="EB76" i="33" s="1"/>
  <c r="ER76" i="33"/>
  <c r="EA76" i="33" s="1"/>
  <c r="GV76" i="33" s="1"/>
  <c r="EU82" i="33"/>
  <c r="ES82" i="33"/>
  <c r="EU79" i="33"/>
  <c r="EP69" i="33"/>
  <c r="DY69" i="33" s="1"/>
  <c r="HH69" i="33" s="1"/>
  <c r="DA31" i="23"/>
  <c r="DC44" i="23"/>
  <c r="ES77" i="33"/>
  <c r="DD31" i="23"/>
  <c r="EO80" i="33"/>
  <c r="ET80" i="33"/>
  <c r="EL86" i="33"/>
  <c r="EP72" i="33"/>
  <c r="DY72" i="33" s="1"/>
  <c r="HH72" i="33" s="1"/>
  <c r="ER72" i="33"/>
  <c r="EA72" i="33" s="1"/>
  <c r="HJ72" i="33" s="1"/>
  <c r="EL72" i="33"/>
  <c r="DU72" i="33" s="1"/>
  <c r="HD72" i="33" s="1"/>
  <c r="EQ83" i="33"/>
  <c r="ER83" i="33"/>
  <c r="EA83" i="33" s="1"/>
  <c r="GV83" i="33" s="1"/>
  <c r="EO81" i="33"/>
  <c r="EM68" i="33"/>
  <c r="DV68" i="33" s="1"/>
  <c r="GQ68" i="33" s="1"/>
  <c r="EO68" i="33"/>
  <c r="DX68" i="33" s="1"/>
  <c r="EV68" i="33"/>
  <c r="EE68" i="33" s="1"/>
  <c r="EV73" i="33"/>
  <c r="EE73" i="33" s="1"/>
  <c r="GZ73" i="33" s="1"/>
  <c r="EP73" i="33"/>
  <c r="DY73" i="33" s="1"/>
  <c r="GT73" i="33" s="1"/>
  <c r="ET73" i="33"/>
  <c r="DG36" i="23"/>
  <c r="EQ74" i="33"/>
  <c r="EQ70" i="33"/>
  <c r="DZ70" i="33" s="1"/>
  <c r="HI70" i="33" s="1"/>
  <c r="ET70" i="33"/>
  <c r="DA33" i="23"/>
  <c r="EK71" i="33"/>
  <c r="DT71" i="33" s="1"/>
  <c r="HC71" i="33" s="1"/>
  <c r="EL71" i="33"/>
  <c r="DU71" i="33" s="1"/>
  <c r="HD71" i="33" s="1"/>
  <c r="ES85" i="33"/>
  <c r="EK85" i="33"/>
  <c r="CZ39" i="23"/>
  <c r="EP76" i="33"/>
  <c r="DY76" i="33" s="1"/>
  <c r="HH76" i="33" s="1"/>
  <c r="EK75" i="33"/>
  <c r="DT75" i="33" s="1"/>
  <c r="HC75" i="33" s="1"/>
  <c r="EL75" i="33"/>
  <c r="DU75" i="33" s="1"/>
  <c r="HD75" i="33" s="1"/>
  <c r="EL87" i="33"/>
  <c r="EN82" i="33"/>
  <c r="EO82" i="33"/>
  <c r="EQ69" i="33"/>
  <c r="DZ69" i="33" s="1"/>
  <c r="HI69" i="33" s="1"/>
  <c r="ES69" i="33"/>
  <c r="EB69" i="33" s="1"/>
  <c r="HK69" i="33" s="1"/>
  <c r="EK69" i="33"/>
  <c r="DT69" i="33" s="1"/>
  <c r="HC69" i="33" s="1"/>
  <c r="DB36" i="23"/>
  <c r="EU77" i="33"/>
  <c r="EL77" i="33"/>
  <c r="EO77" i="33"/>
  <c r="EU80" i="33"/>
  <c r="ER78" i="33"/>
  <c r="EA78" i="33" s="1"/>
  <c r="GV78" i="33" s="1"/>
  <c r="EQ78" i="33"/>
  <c r="ER86" i="33"/>
  <c r="EA86" i="33" s="1"/>
  <c r="GV86" i="33" s="1"/>
  <c r="EU86" i="33"/>
  <c r="ES72" i="33"/>
  <c r="EB72" i="33" s="1"/>
  <c r="HK72" i="33" s="1"/>
  <c r="EV72" i="33"/>
  <c r="EE72" i="33" s="1"/>
  <c r="DD28" i="23"/>
  <c r="EN83" i="33"/>
  <c r="EP83" i="33"/>
  <c r="EM81" i="33"/>
  <c r="ES81" i="33"/>
  <c r="EL68" i="33"/>
  <c r="DU68" i="33" s="1"/>
  <c r="EK68" i="33"/>
  <c r="DT68" i="33" s="1"/>
  <c r="EK73" i="33"/>
  <c r="DT73" i="33" s="1"/>
  <c r="GO73" i="33" s="1"/>
  <c r="DE28" i="23"/>
  <c r="DG32" i="23"/>
  <c r="EO84" i="33"/>
  <c r="EM84" i="33"/>
  <c r="CZ37" i="23"/>
  <c r="EL74" i="33"/>
  <c r="DA28" i="23"/>
  <c r="EU71" i="33"/>
  <c r="EP85" i="33"/>
  <c r="EO76" i="33"/>
  <c r="DX76" i="33" s="1"/>
  <c r="HG76" i="33" s="1"/>
  <c r="EU76" i="33"/>
  <c r="EU87" i="33"/>
  <c r="ET82" i="33"/>
  <c r="EN79" i="33"/>
  <c r="EM79" i="33"/>
  <c r="EK79" i="33"/>
  <c r="DC43" i="23"/>
  <c r="DB44" i="23"/>
  <c r="EQ77" i="33"/>
  <c r="EN77" i="33"/>
  <c r="EL80" i="33"/>
  <c r="DU80" i="33" s="1"/>
  <c r="GP80" i="33" s="1"/>
  <c r="EK80" i="33"/>
  <c r="EL78" i="33"/>
  <c r="DU78" i="33" s="1"/>
  <c r="EM78" i="33"/>
  <c r="EP78" i="33"/>
  <c r="EO86" i="33"/>
  <c r="EN86" i="33"/>
  <c r="EK86" i="33"/>
  <c r="ER81" i="33"/>
  <c r="EA81" i="33" s="1"/>
  <c r="EU73" i="33"/>
  <c r="ER84" i="33"/>
  <c r="EA84" i="33" s="1"/>
  <c r="GV84" i="33" s="1"/>
  <c r="EL84" i="33"/>
  <c r="ER74" i="33"/>
  <c r="EA74" i="33" s="1"/>
  <c r="HJ74" i="33" s="1"/>
  <c r="DC33" i="23"/>
  <c r="EU70" i="33"/>
  <c r="ES70" i="33"/>
  <c r="EB70" i="33" s="1"/>
  <c r="GW70" i="33" s="1"/>
  <c r="DA40" i="23"/>
  <c r="BX34" i="23" a="1"/>
  <c r="BX34" i="23" s="1"/>
  <c r="AV34" i="23"/>
  <c r="BJ34" i="23" s="1"/>
  <c r="E9" i="33"/>
  <c r="H9" i="33"/>
  <c r="H48" i="33" s="1"/>
  <c r="G48" i="33" s="1"/>
  <c r="F48" i="33" s="1"/>
  <c r="E48" i="33" s="1"/>
  <c r="D48" i="33" s="1"/>
  <c r="C48" i="33" s="1"/>
  <c r="B48" i="33" s="1"/>
  <c r="ED85" i="33"/>
  <c r="BZ34" i="23" a="1"/>
  <c r="BZ34" i="23" s="1"/>
  <c r="AX34" i="23"/>
  <c r="BL34" i="23" s="1"/>
  <c r="CN34" i="23" s="1" a="1"/>
  <c r="CN34" i="23" s="1"/>
  <c r="DW76" i="33"/>
  <c r="EB87" i="33"/>
  <c r="EB79" i="33"/>
  <c r="BW39" i="23" a="1"/>
  <c r="BW39" i="23" s="1"/>
  <c r="AU39" i="23"/>
  <c r="BI39" i="23" s="1"/>
  <c r="C9" i="33"/>
  <c r="BY37" i="23" a="1"/>
  <c r="BY37" i="23" s="1"/>
  <c r="CM37" i="23" a="1"/>
  <c r="CM37" i="23" s="1"/>
  <c r="CE39" i="23" a="1"/>
  <c r="CE39" i="23" s="1"/>
  <c r="BC39" i="23"/>
  <c r="BQ39" i="23" s="1"/>
  <c r="CS39" i="23" s="1" a="1"/>
  <c r="CS39" i="23" s="1"/>
  <c r="DU85" i="33"/>
  <c r="CA37" i="23" a="1"/>
  <c r="CA37" i="23" s="1"/>
  <c r="AY37" i="23"/>
  <c r="BM37" i="23" s="1"/>
  <c r="DZ87" i="33"/>
  <c r="DZ82" i="33"/>
  <c r="GU82" i="33" s="1"/>
  <c r="DT82" i="33"/>
  <c r="AY36" i="23"/>
  <c r="BM36" i="23" s="1"/>
  <c r="CA36" i="23" a="1"/>
  <c r="CA36" i="23" s="1"/>
  <c r="AV30" i="23"/>
  <c r="BJ30" i="23" s="1"/>
  <c r="CL30" i="23" s="1" a="1"/>
  <c r="CL30" i="23" s="1"/>
  <c r="D9" i="33"/>
  <c r="D10" i="33" s="1"/>
  <c r="AV38" i="23"/>
  <c r="BJ38" i="23" s="1"/>
  <c r="CL38" i="23" s="1" a="1"/>
  <c r="CL38" i="23" s="1"/>
  <c r="BC31" i="23"/>
  <c r="BQ31" i="23" s="1"/>
  <c r="CS31" i="23" s="1" a="1"/>
  <c r="CS31" i="23" s="1"/>
  <c r="D12" i="33"/>
  <c r="D15" i="33" s="1"/>
  <c r="D54" i="33" s="1"/>
  <c r="C54" i="33" s="1"/>
  <c r="B54" i="33" s="1"/>
  <c r="G9" i="33"/>
  <c r="CA26" i="23" a="1"/>
  <c r="CA26" i="23" s="1"/>
  <c r="G10" i="23" s="1"/>
  <c r="G11" i="23" s="1"/>
  <c r="AV27" i="23"/>
  <c r="BJ27" i="23" s="1"/>
  <c r="CO34" i="23" a="1"/>
  <c r="CO34" i="23" s="1"/>
  <c r="AX71" i="33"/>
  <c r="DZ85" i="33"/>
  <c r="EC76" i="33"/>
  <c r="CM45" i="23" a="1"/>
  <c r="CM45" i="23" s="1"/>
  <c r="DW87" i="33"/>
  <c r="EA87" i="33"/>
  <c r="DV82" i="33"/>
  <c r="DX79" i="33"/>
  <c r="DU79" i="33"/>
  <c r="CM30" i="23" a="1"/>
  <c r="CM30" i="23" s="1"/>
  <c r="DY77" i="33"/>
  <c r="DY80" i="33"/>
  <c r="DW78" i="33"/>
  <c r="EB86" i="33"/>
  <c r="DV86" i="33"/>
  <c r="DW72" i="33"/>
  <c r="CL45" i="23" a="1"/>
  <c r="CL45" i="23" s="1"/>
  <c r="EB83" i="33"/>
  <c r="DZ81" i="33"/>
  <c r="CO32" i="23" a="1"/>
  <c r="CO32" i="23" s="1"/>
  <c r="EB84" i="33"/>
  <c r="DT84" i="33"/>
  <c r="CB30" i="23" a="1"/>
  <c r="CB30" i="23" s="1"/>
  <c r="AZ30" i="23"/>
  <c r="BN30" i="23" s="1"/>
  <c r="CQ37" i="23" a="1"/>
  <c r="CQ37" i="23" s="1"/>
  <c r="DX74" i="33"/>
  <c r="AY70" i="33"/>
  <c r="L8" i="23"/>
  <c r="BB26" i="23"/>
  <c r="BP26" i="23" s="1"/>
  <c r="K8" i="23"/>
  <c r="AZ38" i="23"/>
  <c r="BN38" i="23" s="1"/>
  <c r="CO35" i="23" a="1"/>
  <c r="CO35" i="23" s="1"/>
  <c r="CK41" i="23" a="1"/>
  <c r="CK41" i="23" s="1"/>
  <c r="CR42" i="23" a="1"/>
  <c r="CR42" i="23" s="1"/>
  <c r="BW31" i="23" a="1"/>
  <c r="BW31" i="23" s="1"/>
  <c r="AU31" i="23"/>
  <c r="BI31" i="23" s="1"/>
  <c r="DT87" i="33"/>
  <c r="CP41" i="23" a="1"/>
  <c r="CP41" i="23" s="1"/>
  <c r="EA79" i="33"/>
  <c r="AW69" i="33"/>
  <c r="CK42" i="23" a="1"/>
  <c r="CK42" i="23" s="1"/>
  <c r="DW80" i="33"/>
  <c r="EB80" i="33"/>
  <c r="DT78" i="33"/>
  <c r="BA36" i="23"/>
  <c r="BO36" i="23" s="1"/>
  <c r="CC36" i="23" a="1"/>
  <c r="CC36" i="23" s="1"/>
  <c r="CL43" i="23" a="1"/>
  <c r="CL43" i="23" s="1"/>
  <c r="CR37" i="23" a="1"/>
  <c r="CR37" i="23" s="1"/>
  <c r="DX83" i="33"/>
  <c r="DT81" i="33"/>
  <c r="BW40" i="23" a="1"/>
  <c r="BW40" i="23" s="1"/>
  <c r="AU40" i="23"/>
  <c r="BI40" i="23" s="1"/>
  <c r="ED84" i="33"/>
  <c r="CN40" i="23" a="1"/>
  <c r="CN40" i="23" s="1"/>
  <c r="B12" i="23"/>
  <c r="DV74" i="33"/>
  <c r="BX39" i="23" a="1"/>
  <c r="BX39" i="23" s="1"/>
  <c r="AZ33" i="23"/>
  <c r="BN33" i="23" s="1"/>
  <c r="CP33" i="23" s="1" a="1"/>
  <c r="CP33" i="23" s="1"/>
  <c r="AV29" i="23"/>
  <c r="BJ29" i="23" s="1"/>
  <c r="CL29" i="23" s="1" a="1"/>
  <c r="CL29" i="23" s="1"/>
  <c r="EC71" i="33"/>
  <c r="BX33" i="23" a="1"/>
  <c r="BX33" i="23" s="1"/>
  <c r="AV33" i="23"/>
  <c r="BJ33" i="23" s="1"/>
  <c r="DV76" i="33"/>
  <c r="AV35" i="23"/>
  <c r="BJ35" i="23" s="1"/>
  <c r="BX35" i="23" a="1"/>
  <c r="BX35" i="23" s="1"/>
  <c r="EC75" i="33"/>
  <c r="DV87" i="33"/>
  <c r="DY82" i="33"/>
  <c r="DU82" i="33"/>
  <c r="AW27" i="23"/>
  <c r="BK27" i="23" s="1"/>
  <c r="BY27" i="23" a="1"/>
  <c r="BY27" i="23" s="1"/>
  <c r="DZ79" i="33"/>
  <c r="EC79" i="33"/>
  <c r="ED69" i="33"/>
  <c r="AZ32" i="23"/>
  <c r="BN32" i="23" s="1"/>
  <c r="CB32" i="23" a="1"/>
  <c r="CB32" i="23" s="1"/>
  <c r="CR27" i="23" a="1"/>
  <c r="CR27" i="23" s="1"/>
  <c r="CO38" i="23" a="1"/>
  <c r="CO38" i="23" s="1"/>
  <c r="DY81" i="33"/>
  <c r="EC81" i="33"/>
  <c r="ED81" i="33"/>
  <c r="DV73" i="33"/>
  <c r="CO45" i="23" a="1"/>
  <c r="CO45" i="23" s="1"/>
  <c r="CQ45" i="23" a="1"/>
  <c r="CQ45" i="23" s="1"/>
  <c r="BY42" i="23" a="1"/>
  <c r="BY42" i="23" s="1"/>
  <c r="AW42" i="23"/>
  <c r="BK42" i="23" s="1"/>
  <c r="EC77" i="33"/>
  <c r="DV77" i="33"/>
  <c r="DZ80" i="33"/>
  <c r="DX78" i="33"/>
  <c r="EC78" i="33"/>
  <c r="DZ86" i="33"/>
  <c r="CS37" i="23" a="1"/>
  <c r="CS37" i="23" s="1"/>
  <c r="EC72" i="33"/>
  <c r="CS27" i="23" a="1"/>
  <c r="CS27" i="23" s="1"/>
  <c r="ED83" i="33"/>
  <c r="CQ39" i="23" a="1"/>
  <c r="CQ39" i="23" s="1"/>
  <c r="DW73" i="33"/>
  <c r="EC84" i="33"/>
  <c r="BZ28" i="23" a="1"/>
  <c r="BZ28" i="23" s="1"/>
  <c r="AX28" i="23"/>
  <c r="BL28" i="23" s="1"/>
  <c r="CD36" i="23" a="1"/>
  <c r="CD36" i="23" s="1"/>
  <c r="BB36" i="23"/>
  <c r="BP36" i="23" s="1"/>
  <c r="CR28" i="23" a="1"/>
  <c r="CR28" i="23" s="1"/>
  <c r="DY74" i="33"/>
  <c r="CK30" i="23" a="1"/>
  <c r="CK30" i="23" s="1"/>
  <c r="AV70" i="33"/>
  <c r="EE76" i="33"/>
  <c r="AY75" i="33"/>
  <c r="ED75" i="33"/>
  <c r="EC87" i="33"/>
  <c r="DY87" i="33"/>
  <c r="CN29" i="23" a="1"/>
  <c r="CN29" i="23" s="1"/>
  <c r="CQ26" i="23" a="1"/>
  <c r="CQ26" i="23" s="1"/>
  <c r="K14" i="23" s="1"/>
  <c r="DY79" i="33"/>
  <c r="BY36" i="23" a="1"/>
  <c r="BY36" i="23" s="1"/>
  <c r="AW36" i="23"/>
  <c r="BK36" i="23" s="1"/>
  <c r="BW45" i="23" a="1"/>
  <c r="BW45" i="23" s="1"/>
  <c r="AU45" i="23"/>
  <c r="BI45" i="23" s="1"/>
  <c r="DT77" i="33"/>
  <c r="DV80" i="33"/>
  <c r="EB78" i="33"/>
  <c r="DY86" i="33"/>
  <c r="EC86" i="33"/>
  <c r="DT83" i="33"/>
  <c r="CC32" i="23" a="1"/>
  <c r="CC32" i="23" s="1"/>
  <c r="BA32" i="23"/>
  <c r="BO32" i="23" s="1"/>
  <c r="DW81" i="33"/>
  <c r="DW84" i="33"/>
  <c r="DY84" i="33"/>
  <c r="CQ29" i="23" a="1"/>
  <c r="CQ29" i="23" s="1"/>
  <c r="ED74" i="33"/>
  <c r="AW70" i="33"/>
  <c r="DV85" i="33"/>
  <c r="EA82" i="33"/>
  <c r="GV82" i="33" s="1"/>
  <c r="N11" i="23"/>
  <c r="BA35" i="23"/>
  <c r="BO35" i="23" s="1"/>
  <c r="BB30" i="23"/>
  <c r="BP30" i="23" s="1"/>
  <c r="AX31" i="23"/>
  <c r="BL31" i="23" s="1"/>
  <c r="CQ30" i="23" a="1"/>
  <c r="CQ30" i="23" s="1"/>
  <c r="AY71" i="33"/>
  <c r="EC85" i="33"/>
  <c r="BC44" i="23"/>
  <c r="BQ44" i="23" s="1"/>
  <c r="CE44" i="23" a="1"/>
  <c r="CE44" i="23" s="1"/>
  <c r="ED82" i="33"/>
  <c r="EB82" i="33"/>
  <c r="CM31" i="23" a="1"/>
  <c r="CM31" i="23" s="1"/>
  <c r="CO44" i="23" a="1"/>
  <c r="CO44" i="23" s="1"/>
  <c r="EB77" i="33"/>
  <c r="CP31" i="23" a="1"/>
  <c r="CP31" i="23" s="1"/>
  <c r="DU86" i="33"/>
  <c r="DZ83" i="33"/>
  <c r="DX81" i="33"/>
  <c r="EC73" i="33"/>
  <c r="CS36" i="23" a="1"/>
  <c r="CS36" i="23" s="1"/>
  <c r="AV36" i="23"/>
  <c r="BJ36" i="23" s="1"/>
  <c r="BX36" i="23" a="1"/>
  <c r="BX36" i="23" s="1"/>
  <c r="DZ74" i="33"/>
  <c r="EC70" i="33"/>
  <c r="BB34" i="23"/>
  <c r="BP34" i="23" s="1"/>
  <c r="CR34" i="23" s="1" a="1"/>
  <c r="CR34" i="23" s="1"/>
  <c r="CM33" i="23" a="1"/>
  <c r="CM33" i="23" s="1"/>
  <c r="AV71" i="33"/>
  <c r="DT85" i="33"/>
  <c r="CL39" i="23" a="1"/>
  <c r="CL39" i="23" s="1"/>
  <c r="AW75" i="33"/>
  <c r="BX42" i="23" a="1"/>
  <c r="BX42" i="23" s="1"/>
  <c r="AV42" i="23"/>
  <c r="BJ42" i="23" s="1"/>
  <c r="DU87" i="33"/>
  <c r="DW82" i="33"/>
  <c r="DX82" i="33"/>
  <c r="B11" i="23"/>
  <c r="B16" i="23"/>
  <c r="H9" i="23"/>
  <c r="M9" i="23"/>
  <c r="AV69" i="33"/>
  <c r="CN36" i="23" a="1"/>
  <c r="CN36" i="23" s="1"/>
  <c r="ED77" i="33"/>
  <c r="DU77" i="33"/>
  <c r="DX77" i="33"/>
  <c r="ED86" i="33"/>
  <c r="AV44" i="23"/>
  <c r="BJ44" i="23" s="1"/>
  <c r="BX44" i="23" a="1"/>
  <c r="BX44" i="23" s="1"/>
  <c r="CP28" i="23" a="1"/>
  <c r="CP28" i="23" s="1"/>
  <c r="DW83" i="33"/>
  <c r="DV81" i="33"/>
  <c r="EB81" i="33"/>
  <c r="CQ28" i="23" a="1"/>
  <c r="CQ28" i="23" s="1"/>
  <c r="CS32" i="23" a="1"/>
  <c r="CS32" i="23" s="1"/>
  <c r="DV84" i="33"/>
  <c r="AU34" i="23"/>
  <c r="BI34" i="23" s="1"/>
  <c r="BW34" i="23" a="1"/>
  <c r="BW34" i="23" s="1"/>
  <c r="CL37" i="23" a="1"/>
  <c r="CL37" i="23" s="1"/>
  <c r="DU74" i="33"/>
  <c r="AU35" i="23"/>
  <c r="BI35" i="23" s="1"/>
  <c r="CK35" i="23" s="1" a="1"/>
  <c r="CK35" i="23" s="1"/>
  <c r="EB85" i="33"/>
  <c r="GW85" i="33" s="1"/>
  <c r="AU43" i="23"/>
  <c r="BI43" i="23" s="1"/>
  <c r="CM28" i="23" a="1"/>
  <c r="CM28" i="23" s="1"/>
  <c r="ED71" i="33"/>
  <c r="DY85" i="33"/>
  <c r="ED76" i="33"/>
  <c r="ED87" i="33"/>
  <c r="EC82" i="33"/>
  <c r="DT79" i="33"/>
  <c r="CN44" i="23" a="1"/>
  <c r="CN44" i="23" s="1"/>
  <c r="DZ77" i="33"/>
  <c r="DT80" i="33"/>
  <c r="DV78" i="33"/>
  <c r="DY78" i="33"/>
  <c r="DX86" i="33"/>
  <c r="DW86" i="33"/>
  <c r="DT86" i="33"/>
  <c r="ED73" i="33"/>
  <c r="DU84" i="33"/>
  <c r="CO33" i="23" a="1"/>
  <c r="CO33" i="23" s="1"/>
  <c r="ED70" i="33"/>
  <c r="CM40" i="23" a="1"/>
  <c r="CM40" i="23" s="1"/>
  <c r="HD83" i="33"/>
  <c r="GV85" i="33"/>
  <c r="HG71" i="33"/>
  <c r="GS69" i="33"/>
  <c r="GV74" i="33"/>
  <c r="GQ71" i="33"/>
  <c r="HJ70" i="33"/>
  <c r="GP71" i="33"/>
  <c r="DD27" i="23"/>
  <c r="GY80" i="33"/>
  <c r="GV72" i="33"/>
  <c r="HG85" i="33"/>
  <c r="HJ86" i="33"/>
  <c r="HF74" i="33"/>
  <c r="HK71" i="33"/>
  <c r="CP27" i="23" a="1"/>
  <c r="CP27" i="23" s="1"/>
  <c r="DG45" i="23"/>
  <c r="DB39" i="23"/>
  <c r="DF44" i="23"/>
  <c r="CS45" i="23" a="1"/>
  <c r="CS45" i="23" s="1"/>
  <c r="CN39" i="23" a="1"/>
  <c r="CN39" i="23" s="1"/>
  <c r="HJ71" i="33"/>
  <c r="GU73" i="33"/>
  <c r="CK39" i="23" a="1"/>
  <c r="CK39" i="23" s="1"/>
  <c r="CP38" i="23" a="1"/>
  <c r="CP38" i="23" s="1"/>
  <c r="GT69" i="33"/>
  <c r="GR70" i="33"/>
  <c r="CR44" i="23" a="1"/>
  <c r="CR44" i="23" s="1"/>
  <c r="GZ69" i="33"/>
  <c r="HL74" i="33"/>
  <c r="HJ83" i="33"/>
  <c r="CR29" i="23" a="1"/>
  <c r="CR29" i="23" s="1"/>
  <c r="GV69" i="33"/>
  <c r="HI84" i="33"/>
  <c r="GO72" i="33"/>
  <c r="CY38" i="23"/>
  <c r="DF35" i="23"/>
  <c r="HE83" i="33"/>
  <c r="GW74" i="33"/>
  <c r="FU72" i="33"/>
  <c r="FX72" i="33" s="1"/>
  <c r="HD69" i="33"/>
  <c r="CR30" i="23" a="1"/>
  <c r="CR30" i="23" s="1"/>
  <c r="GY72" i="33"/>
  <c r="HM79" i="33"/>
  <c r="GY78" i="33"/>
  <c r="GU72" i="33"/>
  <c r="HG80" i="33"/>
  <c r="HI76" i="33"/>
  <c r="CK38" i="23" a="1"/>
  <c r="CK38" i="23" s="1"/>
  <c r="CR35" i="23" a="1"/>
  <c r="CR35" i="23" s="1"/>
  <c r="CL27" i="23" a="1"/>
  <c r="CL27" i="23" s="1"/>
  <c r="GQ79" i="33"/>
  <c r="HF79" i="33"/>
  <c r="HH75" i="33"/>
  <c r="FU75" i="33"/>
  <c r="FX75" i="33" s="1"/>
  <c r="L12" i="23"/>
  <c r="GR85" i="33"/>
  <c r="DA35" i="23"/>
  <c r="CZ26" i="23"/>
  <c r="C13" i="23" s="1"/>
  <c r="C15" i="23" s="1"/>
  <c r="CM35" i="23" a="1"/>
  <c r="CM35" i="23" s="1"/>
  <c r="HJ80" i="33"/>
  <c r="CL26" i="23" a="1"/>
  <c r="CL26" i="23" s="1"/>
  <c r="C14" i="23" s="1"/>
  <c r="HL80" i="33"/>
  <c r="DC31" i="23"/>
  <c r="DB26" i="23"/>
  <c r="I13" i="23" s="1"/>
  <c r="I15" i="23" s="1"/>
  <c r="DE27" i="23"/>
  <c r="DE38" i="23"/>
  <c r="GS70" i="33"/>
  <c r="CO31" i="23" a="1"/>
  <c r="CO31" i="23" s="1"/>
  <c r="CN26" i="23" a="1"/>
  <c r="CN26" i="23" s="1"/>
  <c r="I14" i="23" s="1"/>
  <c r="CK44" i="23" a="1"/>
  <c r="CK44" i="23" s="1"/>
  <c r="HL69" i="33"/>
  <c r="GT72" i="33"/>
  <c r="HH73" i="33"/>
  <c r="CQ27" i="23" a="1"/>
  <c r="CQ27" i="23" s="1"/>
  <c r="CK37" i="23" a="1"/>
  <c r="CK37" i="23" s="1"/>
  <c r="CM38" i="23" a="1"/>
  <c r="CM38" i="23" s="1"/>
  <c r="CQ38" i="23" a="1"/>
  <c r="CQ38" i="23" s="1"/>
  <c r="DD37" i="23"/>
  <c r="DG34" i="23"/>
  <c r="FU78" i="33"/>
  <c r="FX78" i="33" s="1"/>
  <c r="GU78" i="33"/>
  <c r="GX83" i="33"/>
  <c r="HJ77" i="33"/>
  <c r="CL34" i="23" a="1"/>
  <c r="CL34" i="23" s="1"/>
  <c r="GU84" i="33"/>
  <c r="GP81" i="33"/>
  <c r="CP37" i="23" a="1"/>
  <c r="CP37" i="23" s="1"/>
  <c r="CS34" i="23" a="1"/>
  <c r="CS34" i="23" s="1"/>
  <c r="DC40" i="23"/>
  <c r="DB27" i="23"/>
  <c r="DG41" i="23"/>
  <c r="DG26" i="23"/>
  <c r="N13" i="23" s="1"/>
  <c r="N15" i="23" s="1"/>
  <c r="DG38" i="23"/>
  <c r="DD39" i="23"/>
  <c r="DB38" i="23"/>
  <c r="DB30" i="23"/>
  <c r="DF31" i="23"/>
  <c r="CZ40" i="23"/>
  <c r="DG35" i="23"/>
  <c r="DC28" i="23"/>
  <c r="DE33" i="23"/>
  <c r="DG28" i="23"/>
  <c r="DF38" i="23"/>
  <c r="DB42" i="23"/>
  <c r="DG30" i="23"/>
  <c r="DF32" i="23"/>
  <c r="CY36" i="23"/>
  <c r="DC41" i="23"/>
  <c r="DB45" i="23"/>
  <c r="CZ41" i="23"/>
  <c r="DD40" i="23"/>
  <c r="CY28" i="23"/>
  <c r="DG40" i="23"/>
  <c r="DD35" i="23"/>
  <c r="DA43" i="23"/>
  <c r="CY27" i="23"/>
  <c r="DF33" i="23"/>
  <c r="DB35" i="23"/>
  <c r="DF45" i="23"/>
  <c r="DB41" i="23"/>
  <c r="DA41" i="23"/>
  <c r="DE44" i="23"/>
  <c r="DE43" i="23"/>
  <c r="DD43" i="23"/>
  <c r="CZ31" i="23"/>
  <c r="CZ32" i="23"/>
  <c r="DE40" i="23"/>
  <c r="DF40" i="23"/>
  <c r="DE42" i="23"/>
  <c r="DD45" i="23"/>
  <c r="DG43" i="23"/>
  <c r="DC26" i="23"/>
  <c r="G13" i="23" s="1"/>
  <c r="G15" i="23" s="1"/>
  <c r="DC42" i="23"/>
  <c r="DD26" i="23"/>
  <c r="E13" i="23" s="1"/>
  <c r="E15" i="23" s="1"/>
  <c r="DA39" i="23"/>
  <c r="DE31" i="23"/>
  <c r="DB32" i="23"/>
  <c r="DA32" i="23"/>
  <c r="DD34" i="23"/>
  <c r="DD29" i="23"/>
  <c r="DC30" i="23"/>
  <c r="DC29" i="23"/>
  <c r="CY29" i="23"/>
  <c r="DC39" i="23"/>
  <c r="DB37" i="23"/>
  <c r="DG33" i="23"/>
  <c r="DE41" i="23"/>
  <c r="DA34" i="23"/>
  <c r="DD44" i="23"/>
  <c r="DF43" i="23"/>
  <c r="DB43" i="23"/>
  <c r="DF39" i="23"/>
  <c r="DF41" i="23"/>
  <c r="CO40" i="23" a="1"/>
  <c r="CO40" i="23" s="1"/>
  <c r="CN27" i="23" a="1"/>
  <c r="CN27" i="23" s="1"/>
  <c r="CS41" i="23" a="1"/>
  <c r="CS41" i="23" s="1"/>
  <c r="N12" i="23"/>
  <c r="CS26" i="23" a="1"/>
  <c r="CS26" i="23" s="1"/>
  <c r="N14" i="23" s="1"/>
  <c r="CS38" i="23" a="1"/>
  <c r="CS38" i="23" s="1"/>
  <c r="CP39" i="23" a="1"/>
  <c r="CP39" i="23" s="1"/>
  <c r="CN38" i="23" a="1"/>
  <c r="CN38" i="23" s="1"/>
  <c r="CN30" i="23" a="1"/>
  <c r="CN30" i="23" s="1"/>
  <c r="CR31" i="23" a="1"/>
  <c r="CR31" i="23" s="1"/>
  <c r="CP36" i="23" a="1"/>
  <c r="CP36" i="23" s="1"/>
  <c r="CL40" i="23" a="1"/>
  <c r="CL40" i="23" s="1"/>
  <c r="CS35" i="23" a="1"/>
  <c r="CS35" i="23" s="1"/>
  <c r="H13" i="23"/>
  <c r="FU69" i="33"/>
  <c r="FW69" i="33" s="1"/>
  <c r="M13" i="23"/>
  <c r="HJ73" i="33"/>
  <c r="HK70" i="33"/>
  <c r="GP72" i="33"/>
  <c r="HF77" i="33"/>
  <c r="GZ75" i="33"/>
  <c r="CO28" i="23" a="1"/>
  <c r="CO28" i="23" s="1"/>
  <c r="CQ33" i="23" a="1"/>
  <c r="CQ33" i="23" s="1"/>
  <c r="CS28" i="23" a="1"/>
  <c r="CS28" i="23" s="1"/>
  <c r="CR38" i="23" a="1"/>
  <c r="CR38" i="23" s="1"/>
  <c r="CN42" i="23" a="1"/>
  <c r="CN42" i="23" s="1"/>
  <c r="CS30" i="23" a="1"/>
  <c r="CS30" i="23" s="1"/>
  <c r="CR32" i="23" a="1"/>
  <c r="CR32" i="23" s="1"/>
  <c r="HH70" i="33"/>
  <c r="GS75" i="33"/>
  <c r="CK36" i="23" a="1"/>
  <c r="CK36" i="23" s="1"/>
  <c r="CO41" i="23" a="1"/>
  <c r="CO41" i="23" s="1"/>
  <c r="CN45" i="23" a="1"/>
  <c r="CN45" i="23" s="1"/>
  <c r="CL41" i="23" a="1"/>
  <c r="CL41" i="23" s="1"/>
  <c r="CS42" i="23" a="1"/>
  <c r="CS42" i="23" s="1"/>
  <c r="CP40" i="23" a="1"/>
  <c r="CP40" i="23" s="1"/>
  <c r="CL28" i="23" a="1"/>
  <c r="CL28" i="23" s="1"/>
  <c r="CM44" i="23" a="1"/>
  <c r="CM44" i="23" s="1"/>
  <c r="CK28" i="23" a="1"/>
  <c r="CK28" i="23" s="1"/>
  <c r="CO27" i="23" a="1"/>
  <c r="CO27" i="23" s="1"/>
  <c r="CS40" i="23" a="1"/>
  <c r="CS40" i="23" s="1"/>
  <c r="CP35" i="23" a="1"/>
  <c r="CP35" i="23" s="1"/>
  <c r="CM43" i="23" a="1"/>
  <c r="CM43" i="23" s="1"/>
  <c r="CK27" i="23" a="1"/>
  <c r="CK27" i="23" s="1"/>
  <c r="CQ34" i="23" a="1"/>
  <c r="CQ34" i="23" s="1"/>
  <c r="CM29" i="23" a="1"/>
  <c r="CM29" i="23" s="1"/>
  <c r="CR33" i="23" a="1"/>
  <c r="CR33" i="23" s="1"/>
  <c r="CN35" i="23" a="1"/>
  <c r="CN35" i="23" s="1"/>
  <c r="HH83" i="33"/>
  <c r="GO70" i="33"/>
  <c r="GP76" i="33"/>
  <c r="HJ78" i="33"/>
  <c r="CR45" i="23" a="1"/>
  <c r="CR45" i="23" s="1"/>
  <c r="CN41" i="23" a="1"/>
  <c r="CN41" i="23" s="1"/>
  <c r="CM41" i="23" a="1"/>
  <c r="CM41" i="23" s="1"/>
  <c r="CQ44" i="23" a="1"/>
  <c r="CQ44" i="23" s="1"/>
  <c r="CQ43" i="23" a="1"/>
  <c r="CQ43" i="23" s="1"/>
  <c r="CP43" i="23" a="1"/>
  <c r="CP43" i="23" s="1"/>
  <c r="CL31" i="23" a="1"/>
  <c r="CL31" i="23" s="1"/>
  <c r="D12" i="23"/>
  <c r="CM26" i="23" a="1"/>
  <c r="CM26" i="23" s="1"/>
  <c r="D14" i="23" s="1"/>
  <c r="CS29" i="23" a="1"/>
  <c r="CS29" i="23" s="1"/>
  <c r="GS87" i="33"/>
  <c r="GP75" i="33"/>
  <c r="CL32" i="23" a="1"/>
  <c r="CL32" i="23" s="1"/>
  <c r="CQ40" i="23" a="1"/>
  <c r="CQ40" i="23" s="1"/>
  <c r="CR40" i="23" a="1"/>
  <c r="CR40" i="23" s="1"/>
  <c r="CQ42" i="23" a="1"/>
  <c r="CQ42" i="23" s="1"/>
  <c r="CP45" i="23" a="1"/>
  <c r="CP45" i="23" s="1"/>
  <c r="CS43" i="23" a="1"/>
  <c r="CS43" i="23" s="1"/>
  <c r="CO26" i="23" a="1"/>
  <c r="CO26" i="23" s="1"/>
  <c r="G14" i="23" s="1"/>
  <c r="CO42" i="23" a="1"/>
  <c r="CO42" i="23" s="1"/>
  <c r="CP42" i="23" a="1"/>
  <c r="CP42" i="23" s="1"/>
  <c r="CP26" i="23" a="1"/>
  <c r="CP26" i="23" s="1"/>
  <c r="E14" i="23" s="1"/>
  <c r="E12" i="23"/>
  <c r="CM39" i="23" a="1"/>
  <c r="CM39" i="23" s="1"/>
  <c r="CQ31" i="23" a="1"/>
  <c r="CQ31" i="23" s="1"/>
  <c r="CN32" i="23" a="1"/>
  <c r="CN32" i="23" s="1"/>
  <c r="CM32" i="23" a="1"/>
  <c r="CM32" i="23" s="1"/>
  <c r="CP34" i="23" a="1"/>
  <c r="CP34" i="23" s="1"/>
  <c r="CN33" i="23" a="1"/>
  <c r="CN33" i="23" s="1"/>
  <c r="CP29" i="23" a="1"/>
  <c r="CP29" i="23" s="1"/>
  <c r="CO30" i="23" a="1"/>
  <c r="CO30" i="23" s="1"/>
  <c r="CO29" i="23" a="1"/>
  <c r="CO29" i="23" s="1"/>
  <c r="CK29" i="23" a="1"/>
  <c r="CK29" i="23" s="1"/>
  <c r="CO39" i="23" a="1"/>
  <c r="CO39" i="23" s="1"/>
  <c r="CN37" i="23" a="1"/>
  <c r="CN37" i="23" s="1"/>
  <c r="CS33" i="23" a="1"/>
  <c r="CS33" i="23" s="1"/>
  <c r="CQ41" i="23" a="1"/>
  <c r="CQ41" i="23" s="1"/>
  <c r="CM34" i="23" a="1"/>
  <c r="CM34" i="23" s="1"/>
  <c r="CR43" i="23" a="1"/>
  <c r="CR43" i="23" s="1"/>
  <c r="CN43" i="23" a="1"/>
  <c r="CN43" i="23" s="1"/>
  <c r="CR39" i="23" a="1"/>
  <c r="CR39" i="23" s="1"/>
  <c r="CR41" i="23" a="1"/>
  <c r="CR41" i="23" s="1"/>
  <c r="GW68" i="33"/>
  <c r="GY68" i="33"/>
  <c r="HM68" i="33"/>
  <c r="C10" i="33"/>
  <c r="HD68" i="33"/>
  <c r="GP68" i="33"/>
  <c r="HC68" i="33"/>
  <c r="GO68" i="33"/>
  <c r="HG68" i="33"/>
  <c r="GS68" i="33"/>
  <c r="HJ68" i="33"/>
  <c r="F10" i="33"/>
  <c r="E10" i="33"/>
  <c r="B10" i="33"/>
  <c r="GX68" i="33"/>
  <c r="HL68" i="33"/>
  <c r="FX84" i="33"/>
  <c r="FW84" i="33"/>
  <c r="HE68" i="33"/>
  <c r="GT68" i="33"/>
  <c r="HH68" i="33"/>
  <c r="HF68" i="33"/>
  <c r="GR68" i="33"/>
  <c r="FU68" i="33"/>
  <c r="HI68" i="33"/>
  <c r="H10" i="33"/>
  <c r="H49" i="33" s="1"/>
  <c r="GZ68" i="33"/>
  <c r="HN68" i="33"/>
  <c r="G10" i="33"/>
  <c r="FX76" i="33"/>
  <c r="FW76" i="33"/>
  <c r="H15" i="23"/>
  <c r="M15" i="23"/>
  <c r="DA29" i="23" a="1"/>
  <c r="DC27" i="23" a="1"/>
  <c r="DF29" i="23" a="1"/>
  <c r="DA26" i="23" a="1"/>
  <c r="DG42" i="23" a="1"/>
  <c r="CZ28" i="23" a="1"/>
  <c r="DG29" i="23" a="1"/>
  <c r="CY37" i="23" a="1"/>
  <c r="CY44" i="23" a="1"/>
  <c r="DD36" i="23" a="1"/>
  <c r="DA44" i="23" a="1"/>
  <c r="DD42" i="23" a="1"/>
  <c r="DA38" i="23" a="1"/>
  <c r="DB33" i="23" a="1"/>
  <c r="CY33" i="23" a="1"/>
  <c r="DE34" i="23" a="1"/>
  <c r="CY32" i="23" a="1"/>
  <c r="DC36" i="23" a="1"/>
  <c r="CZ33" i="23" a="1"/>
  <c r="DA27" i="23" a="1"/>
  <c r="DA42" i="23" a="1"/>
  <c r="CY34" i="23" a="1"/>
  <c r="DG39" i="23" a="1"/>
  <c r="CZ27" i="23" a="1"/>
  <c r="DD38" i="23" a="1"/>
  <c r="DF36" i="23" a="1"/>
  <c r="CY45" i="23" a="1"/>
  <c r="DE32" i="23" a="1"/>
  <c r="DG44" i="23" a="1"/>
  <c r="CZ42" i="23" a="1"/>
  <c r="DF34" i="23" a="1"/>
  <c r="CZ34" i="23" a="1"/>
  <c r="CZ30" i="23" a="1"/>
  <c r="DD30" i="23" a="1"/>
  <c r="CZ35" i="23" a="1"/>
  <c r="CY39" i="23" a="1"/>
  <c r="DC37" i="23" a="1"/>
  <c r="CZ38" i="23" a="1"/>
  <c r="DD33" i="23" a="1"/>
  <c r="DF30" i="23" a="1"/>
  <c r="CY35" i="23" a="1"/>
  <c r="DE35" i="23" a="1"/>
  <c r="DG31" i="23" a="1"/>
  <c r="CZ29" i="23" a="1"/>
  <c r="DD32" i="23" a="1"/>
  <c r="DB31" i="23" a="1"/>
  <c r="CY31" i="23" a="1"/>
  <c r="CY40" i="23" a="1"/>
  <c r="CZ36" i="23" a="1"/>
  <c r="CY43" i="23" a="1"/>
  <c r="DB34" i="23" a="1"/>
  <c r="DF26" i="23" a="1"/>
  <c r="DE36" i="23" a="1"/>
  <c r="DB28" i="23" a="1"/>
  <c r="DA36" i="23" a="1"/>
  <c r="CZ44" i="23" a="1"/>
  <c r="CY37" i="23" l="1"/>
  <c r="DG29" i="23"/>
  <c r="CZ28" i="23"/>
  <c r="DG42" i="23"/>
  <c r="DA26" i="23"/>
  <c r="D13" i="23" s="1"/>
  <c r="D15" i="23" s="1"/>
  <c r="DF29" i="23"/>
  <c r="DC27" i="23"/>
  <c r="DA29" i="23"/>
  <c r="GU76" i="33"/>
  <c r="HE70" i="33"/>
  <c r="GS76" i="33"/>
  <c r="GV75" i="33"/>
  <c r="HE69" i="33"/>
  <c r="DB33" i="23"/>
  <c r="DA38" i="23"/>
  <c r="DD42" i="23"/>
  <c r="DA44" i="23"/>
  <c r="DD36" i="23"/>
  <c r="CY44" i="23"/>
  <c r="GW72" i="33"/>
  <c r="HK75" i="33"/>
  <c r="H13" i="33"/>
  <c r="GR71" i="33"/>
  <c r="HN71" i="33"/>
  <c r="GU69" i="33"/>
  <c r="HJ84" i="33"/>
  <c r="GP70" i="33"/>
  <c r="HJ76" i="33"/>
  <c r="GO75" i="33"/>
  <c r="GQ75" i="33"/>
  <c r="HK85" i="33"/>
  <c r="HG72" i="33"/>
  <c r="G13" i="33"/>
  <c r="E13" i="33"/>
  <c r="HJ82" i="33"/>
  <c r="CY32" i="23"/>
  <c r="DE34" i="23"/>
  <c r="CY33" i="23"/>
  <c r="D51" i="33"/>
  <c r="C51" i="33" s="1"/>
  <c r="B51" i="33" s="1"/>
  <c r="GT76" i="33"/>
  <c r="HD80" i="33"/>
  <c r="GW69" i="33"/>
  <c r="GT71" i="33"/>
  <c r="FU82" i="33"/>
  <c r="FW82" i="33" s="1"/>
  <c r="HI82" i="33"/>
  <c r="HK73" i="33"/>
  <c r="CZ44" i="23"/>
  <c r="DA36" i="23"/>
  <c r="DB28" i="23"/>
  <c r="DE36" i="23"/>
  <c r="DF26" i="23"/>
  <c r="L13" i="23" s="1"/>
  <c r="L15" i="23" s="1"/>
  <c r="DB34" i="23"/>
  <c r="CY43" i="23"/>
  <c r="CZ36" i="23"/>
  <c r="CY40" i="23"/>
  <c r="CY31" i="23"/>
  <c r="DB31" i="23"/>
  <c r="DD32" i="23"/>
  <c r="CZ29" i="23"/>
  <c r="DG31" i="23"/>
  <c r="DE35" i="23"/>
  <c r="CY35" i="23"/>
  <c r="DF30" i="23"/>
  <c r="DD33" i="23"/>
  <c r="CZ38" i="23"/>
  <c r="DC37" i="23"/>
  <c r="CY39" i="23"/>
  <c r="CZ35" i="23"/>
  <c r="DD30" i="23"/>
  <c r="CZ30" i="23"/>
  <c r="CZ34" i="23"/>
  <c r="DF34" i="23"/>
  <c r="CZ42" i="23"/>
  <c r="DG44" i="23"/>
  <c r="DE32" i="23"/>
  <c r="CY45" i="23"/>
  <c r="DF36" i="23"/>
  <c r="DD38" i="23"/>
  <c r="CZ27" i="23"/>
  <c r="DG39" i="23"/>
  <c r="CY34" i="23"/>
  <c r="DA42" i="23"/>
  <c r="DA27" i="23"/>
  <c r="CZ33" i="23"/>
  <c r="DC36" i="23"/>
  <c r="HD74" i="33"/>
  <c r="GP74" i="33"/>
  <c r="HC74" i="33"/>
  <c r="HD73" i="33"/>
  <c r="HD84" i="33"/>
  <c r="GP84" i="33"/>
  <c r="GU77" i="33"/>
  <c r="FU77" i="33"/>
  <c r="HI77" i="33"/>
  <c r="GQ84" i="33"/>
  <c r="HE84" i="33"/>
  <c r="CL44" i="23" a="1"/>
  <c r="CL44" i="23" s="1"/>
  <c r="GW77" i="33"/>
  <c r="HK77" i="33"/>
  <c r="HC83" i="33"/>
  <c r="GO83" i="33"/>
  <c r="CM36" i="23" a="1"/>
  <c r="CM36" i="23" s="1"/>
  <c r="CN28" i="23" a="1"/>
  <c r="CN28" i="23" s="1"/>
  <c r="GP82" i="33"/>
  <c r="HD82" i="33"/>
  <c r="GY84" i="33"/>
  <c r="HM84" i="33"/>
  <c r="CQ36" i="23" a="1"/>
  <c r="CQ36" i="23" s="1"/>
  <c r="HC87" i="33"/>
  <c r="GO87" i="33"/>
  <c r="CR26" i="23" a="1"/>
  <c r="CR26" i="23" s="1"/>
  <c r="L14" i="23" s="1"/>
  <c r="HK84" i="33"/>
  <c r="GW84" i="33"/>
  <c r="HF78" i="33"/>
  <c r="GR78" i="33"/>
  <c r="GR87" i="33"/>
  <c r="HF87" i="33"/>
  <c r="GO82" i="33"/>
  <c r="HC82" i="33"/>
  <c r="HG73" i="33"/>
  <c r="GS73" i="33"/>
  <c r="HG86" i="33"/>
  <c r="GS86" i="33"/>
  <c r="HM77" i="33"/>
  <c r="GY77" i="33"/>
  <c r="GS81" i="33"/>
  <c r="HG81" i="33"/>
  <c r="GY82" i="33"/>
  <c r="HM82" i="33"/>
  <c r="HE80" i="33"/>
  <c r="GQ80" i="33"/>
  <c r="GU80" i="33"/>
  <c r="HI80" i="33"/>
  <c r="FU80" i="33"/>
  <c r="HM81" i="33"/>
  <c r="GY81" i="33"/>
  <c r="GX79" i="33"/>
  <c r="HL79" i="33"/>
  <c r="GT78" i="33"/>
  <c r="HH78" i="33"/>
  <c r="HF75" i="33"/>
  <c r="GY73" i="33"/>
  <c r="HM73" i="33"/>
  <c r="GY86" i="33"/>
  <c r="HM86" i="33"/>
  <c r="H16" i="23"/>
  <c r="M16" i="23"/>
  <c r="CL36" i="23" a="1"/>
  <c r="CL36" i="23" s="1"/>
  <c r="GY74" i="33"/>
  <c r="HM74" i="33"/>
  <c r="GX86" i="33"/>
  <c r="HL86" i="33"/>
  <c r="HN76" i="33"/>
  <c r="GZ76" i="33"/>
  <c r="FU86" i="33"/>
  <c r="HI86" i="33"/>
  <c r="GU86" i="33"/>
  <c r="HH82" i="33"/>
  <c r="GT82" i="33"/>
  <c r="GX71" i="33"/>
  <c r="HL71" i="33"/>
  <c r="CK40" i="23" a="1"/>
  <c r="CK40" i="23" s="1"/>
  <c r="GO78" i="33"/>
  <c r="HC78" i="33"/>
  <c r="CK31" i="23" a="1"/>
  <c r="CK31" i="23" s="1"/>
  <c r="HH80" i="33"/>
  <c r="GT80" i="33"/>
  <c r="HC73" i="33"/>
  <c r="HN73" i="33"/>
  <c r="HC86" i="33"/>
  <c r="GO86" i="33"/>
  <c r="HC79" i="33"/>
  <c r="GO79" i="33"/>
  <c r="GS77" i="33"/>
  <c r="HG77" i="33"/>
  <c r="M11" i="23"/>
  <c r="H11" i="23"/>
  <c r="HC85" i="33"/>
  <c r="GO85" i="33"/>
  <c r="GT86" i="33"/>
  <c r="HH86" i="33"/>
  <c r="GT79" i="33"/>
  <c r="HH79" i="33"/>
  <c r="HL84" i="33"/>
  <c r="GX84" i="33"/>
  <c r="HL78" i="33"/>
  <c r="GX78" i="33"/>
  <c r="CP32" i="23" a="1"/>
  <c r="CP32" i="23" s="1"/>
  <c r="HE87" i="33"/>
  <c r="GQ87" i="33"/>
  <c r="GW80" i="33"/>
  <c r="HK80" i="33"/>
  <c r="GU81" i="33"/>
  <c r="FU81" i="33"/>
  <c r="HI81" i="33"/>
  <c r="HH77" i="33"/>
  <c r="GT77" i="33"/>
  <c r="HL76" i="33"/>
  <c r="GX76" i="33"/>
  <c r="FU87" i="33"/>
  <c r="GU87" i="33"/>
  <c r="HI87" i="33"/>
  <c r="HM85" i="33"/>
  <c r="GY85" i="33"/>
  <c r="HK76" i="33"/>
  <c r="GW76" i="33"/>
  <c r="GY87" i="33"/>
  <c r="HM87" i="33"/>
  <c r="HE81" i="33"/>
  <c r="GQ81" i="33"/>
  <c r="GR82" i="33"/>
  <c r="HF82" i="33"/>
  <c r="HF84" i="33"/>
  <c r="GR84" i="33"/>
  <c r="GT74" i="33"/>
  <c r="HH74" i="33"/>
  <c r="F13" i="33"/>
  <c r="F14" i="33" s="1"/>
  <c r="CQ35" i="23" a="1"/>
  <c r="CQ35" i="23" s="1"/>
  <c r="D13" i="33"/>
  <c r="D14" i="33" s="1"/>
  <c r="C13" i="33"/>
  <c r="C14" i="33" s="1"/>
  <c r="CK43" i="23" a="1"/>
  <c r="CK43" i="23" s="1"/>
  <c r="HF86" i="33"/>
  <c r="GR86" i="33"/>
  <c r="HL82" i="33"/>
  <c r="GX82" i="33"/>
  <c r="GW81" i="33"/>
  <c r="HK81" i="33"/>
  <c r="HD77" i="33"/>
  <c r="GP77" i="33"/>
  <c r="GS82" i="33"/>
  <c r="HG82" i="33"/>
  <c r="GX73" i="33"/>
  <c r="HL73" i="33"/>
  <c r="GW82" i="33"/>
  <c r="HK82" i="33"/>
  <c r="HH84" i="33"/>
  <c r="GT84" i="33"/>
  <c r="GW78" i="33"/>
  <c r="HK78" i="33"/>
  <c r="HF73" i="33"/>
  <c r="GR73" i="33"/>
  <c r="GS78" i="33"/>
  <c r="HG78" i="33"/>
  <c r="GQ73" i="33"/>
  <c r="HE73" i="33"/>
  <c r="GY69" i="33"/>
  <c r="HM69" i="33"/>
  <c r="HL75" i="33"/>
  <c r="GX75" i="33"/>
  <c r="HC81" i="33"/>
  <c r="GO81" i="33"/>
  <c r="HF80" i="33"/>
  <c r="GR80" i="33"/>
  <c r="HG74" i="33"/>
  <c r="GS74" i="33"/>
  <c r="GW83" i="33"/>
  <c r="HK83" i="33"/>
  <c r="GU85" i="33"/>
  <c r="HI85" i="33"/>
  <c r="FU85" i="33"/>
  <c r="CO37" i="23" a="1"/>
  <c r="CO37" i="23" s="1"/>
  <c r="GS83" i="33"/>
  <c r="HG83" i="33"/>
  <c r="GP79" i="33"/>
  <c r="HD79" i="33"/>
  <c r="GZ72" i="33"/>
  <c r="HN72" i="33"/>
  <c r="GU75" i="33"/>
  <c r="HI75" i="33"/>
  <c r="HC76" i="33"/>
  <c r="GO76" i="33"/>
  <c r="HF81" i="33"/>
  <c r="GR81" i="33"/>
  <c r="GO77" i="33"/>
  <c r="HC77" i="33"/>
  <c r="GT87" i="33"/>
  <c r="HH87" i="33"/>
  <c r="GU79" i="33"/>
  <c r="FU79" i="33"/>
  <c r="HI79" i="33"/>
  <c r="CL35" i="23" a="1"/>
  <c r="CL35" i="23" s="1"/>
  <c r="HE74" i="33"/>
  <c r="GQ74" i="33"/>
  <c r="CP30" i="23" a="1"/>
  <c r="CP30" i="23" s="1"/>
  <c r="GR72" i="33"/>
  <c r="HF72" i="33"/>
  <c r="GS79" i="33"/>
  <c r="HG79" i="33"/>
  <c r="GP85" i="33"/>
  <c r="HD85" i="33"/>
  <c r="GW79" i="33"/>
  <c r="HK79" i="33"/>
  <c r="GP78" i="33"/>
  <c r="HD78" i="33"/>
  <c r="GQ72" i="33"/>
  <c r="HE72" i="33"/>
  <c r="HF83" i="33"/>
  <c r="GR83" i="33"/>
  <c r="GP87" i="33"/>
  <c r="HD87" i="33"/>
  <c r="GU83" i="33"/>
  <c r="HI83" i="33"/>
  <c r="FU83" i="33"/>
  <c r="GY83" i="33"/>
  <c r="HM83" i="33"/>
  <c r="GQ77" i="33"/>
  <c r="HE77" i="33"/>
  <c r="GX81" i="33"/>
  <c r="HL81" i="33"/>
  <c r="CN31" i="23" a="1"/>
  <c r="CN31" i="23" s="1"/>
  <c r="GO69" i="33"/>
  <c r="GY70" i="33"/>
  <c r="HM70" i="33"/>
  <c r="GQ78" i="33"/>
  <c r="HE78" i="33"/>
  <c r="HH85" i="33"/>
  <c r="GT85" i="33"/>
  <c r="CL42" i="23" a="1"/>
  <c r="CL42" i="23" s="1"/>
  <c r="GX70" i="33"/>
  <c r="HL70" i="33"/>
  <c r="GP86" i="33"/>
  <c r="HD86" i="33"/>
  <c r="CS44" i="23" a="1"/>
  <c r="CS44" i="23" s="1"/>
  <c r="CQ32" i="23" a="1"/>
  <c r="CQ32" i="23" s="1"/>
  <c r="CK45" i="23" a="1"/>
  <c r="CK45" i="23" s="1"/>
  <c r="HL87" i="33"/>
  <c r="GX87" i="33"/>
  <c r="CR36" i="23" a="1"/>
  <c r="CR36" i="23" s="1"/>
  <c r="HL77" i="33"/>
  <c r="GX77" i="33"/>
  <c r="GT81" i="33"/>
  <c r="HH81" i="33"/>
  <c r="HE76" i="33"/>
  <c r="GQ76" i="33"/>
  <c r="H12" i="23"/>
  <c r="M12" i="23"/>
  <c r="GV79" i="33"/>
  <c r="HJ79" i="33"/>
  <c r="GQ86" i="33"/>
  <c r="HE86" i="33"/>
  <c r="HE82" i="33"/>
  <c r="GQ82" i="33"/>
  <c r="GW87" i="33"/>
  <c r="HK87" i="33"/>
  <c r="GZ70" i="33"/>
  <c r="HN70" i="33"/>
  <c r="HF69" i="33"/>
  <c r="GR69" i="33"/>
  <c r="HM76" i="33"/>
  <c r="GY76" i="33"/>
  <c r="GO71" i="33"/>
  <c r="HC80" i="33"/>
  <c r="GO80" i="33"/>
  <c r="GY71" i="33"/>
  <c r="HM71" i="33"/>
  <c r="CK34" i="23" a="1"/>
  <c r="CK34" i="23" s="1"/>
  <c r="GU74" i="33"/>
  <c r="FU74" i="33"/>
  <c r="HI74" i="33"/>
  <c r="GX85" i="33"/>
  <c r="HL85" i="33"/>
  <c r="HE85" i="33"/>
  <c r="GQ85" i="33"/>
  <c r="HM75" i="33"/>
  <c r="GY75" i="33"/>
  <c r="GX72" i="33"/>
  <c r="HL72" i="33"/>
  <c r="CM42" i="23" a="1"/>
  <c r="CM42" i="23" s="1"/>
  <c r="CM27" i="23" a="1"/>
  <c r="CM27" i="23" s="1"/>
  <c r="CL33" i="23" a="1"/>
  <c r="CL33" i="23" s="1"/>
  <c r="GO84" i="33"/>
  <c r="HC84" i="33"/>
  <c r="GW86" i="33"/>
  <c r="HK86" i="33"/>
  <c r="HJ87" i="33"/>
  <c r="GV87" i="33"/>
  <c r="CO36" i="23" a="1"/>
  <c r="CO36" i="23" s="1"/>
  <c r="GR76" i="33"/>
  <c r="HF76" i="33"/>
  <c r="GV81" i="33"/>
  <c r="HJ81" i="33"/>
  <c r="GU70" i="33"/>
  <c r="FU70" i="33"/>
  <c r="HI73" i="33"/>
  <c r="FU73" i="33"/>
  <c r="FU71" i="33"/>
  <c r="GU71" i="33"/>
  <c r="FW75" i="33"/>
  <c r="FX82" i="33"/>
  <c r="FW72" i="33"/>
  <c r="FX69" i="33"/>
  <c r="FW78" i="33"/>
  <c r="H14" i="33"/>
  <c r="H53" i="33" s="1"/>
  <c r="H16" i="33"/>
  <c r="H55" i="33" s="1"/>
  <c r="H52" i="33"/>
  <c r="G52" i="33" s="1"/>
  <c r="F52" i="33" s="1"/>
  <c r="E52" i="33" s="1"/>
  <c r="D52" i="33" s="1"/>
  <c r="C52" i="33" s="1"/>
  <c r="B52" i="33" s="1"/>
  <c r="FX68" i="33"/>
  <c r="FW68" i="33"/>
  <c r="F16" i="33"/>
  <c r="G49" i="33"/>
  <c r="F49" i="33" s="1"/>
  <c r="E49" i="33" s="1"/>
  <c r="D49" i="33" s="1"/>
  <c r="C49" i="33" s="1"/>
  <c r="B49" i="33" s="1"/>
  <c r="G16" i="33"/>
  <c r="G14" i="33"/>
  <c r="E16" i="33"/>
  <c r="E14" i="33"/>
  <c r="FW80" i="33" l="1"/>
  <c r="FX80" i="33"/>
  <c r="FX77" i="33"/>
  <c r="FW77" i="33"/>
  <c r="FX74" i="33"/>
  <c r="FW74" i="33"/>
  <c r="FW81" i="33"/>
  <c r="FX81" i="33"/>
  <c r="FX85" i="33"/>
  <c r="FW85" i="33"/>
  <c r="C16" i="33"/>
  <c r="FX71" i="33"/>
  <c r="FW71" i="33"/>
  <c r="FW73" i="33"/>
  <c r="FX73" i="33"/>
  <c r="FX86" i="33"/>
  <c r="FW86" i="33"/>
  <c r="FX87" i="33"/>
  <c r="FW87" i="33"/>
  <c r="D16" i="33"/>
  <c r="FW70" i="33"/>
  <c r="FX70" i="33"/>
  <c r="FW83" i="33"/>
  <c r="FX83" i="33"/>
  <c r="FX79" i="33"/>
  <c r="FW79" i="33"/>
  <c r="G55" i="33"/>
  <c r="F55" i="33" s="1"/>
  <c r="E55" i="33" s="1"/>
  <c r="D55" i="33" s="1"/>
  <c r="C55" i="33" s="1"/>
  <c r="B55" i="33" s="1"/>
  <c r="G53" i="33"/>
  <c r="F53" i="33" s="1"/>
  <c r="E53" i="33" s="1"/>
  <c r="D53" i="33" s="1"/>
  <c r="C53" i="33" s="1"/>
  <c r="B53" i="33" s="1"/>
  <c r="Q13" i="33" l="1"/>
  <c r="O13" i="33"/>
  <c r="N13" i="33"/>
  <c r="P13" i="33"/>
  <c r="Q8" i="33"/>
  <c r="O8" i="33"/>
  <c r="R13" i="33"/>
  <c r="R11" i="33"/>
  <c r="P11" i="33"/>
  <c r="P7" i="33"/>
  <c r="O7" i="33"/>
  <c r="Q11" i="33"/>
  <c r="R8" i="33"/>
  <c r="R47" i="33" s="1"/>
  <c r="N8" i="33"/>
  <c r="N7" i="33"/>
  <c r="N11" i="33"/>
  <c r="R7" i="33"/>
  <c r="O11" i="33"/>
  <c r="Q7" i="33"/>
  <c r="P8" i="33"/>
  <c r="N15" i="33" l="1"/>
  <c r="N12" i="33"/>
  <c r="R50" i="33"/>
  <c r="Q50" i="33" s="1"/>
  <c r="P50" i="33" s="1"/>
  <c r="O50" i="33" s="1"/>
  <c r="N50" i="33" s="1"/>
  <c r="R12" i="33"/>
  <c r="R51" i="33" s="1"/>
  <c r="R15" i="33"/>
  <c r="R54" i="33" s="1"/>
  <c r="N9" i="33"/>
  <c r="N10" i="33"/>
  <c r="R52" i="33"/>
  <c r="Q52" i="33" s="1"/>
  <c r="P52" i="33" s="1"/>
  <c r="O52" i="33" s="1"/>
  <c r="N52" i="33" s="1"/>
  <c r="R14" i="33"/>
  <c r="R53" i="33" s="1"/>
  <c r="Q47" i="33"/>
  <c r="P47" i="33" s="1"/>
  <c r="O47" i="33" s="1"/>
  <c r="N47" i="33" s="1"/>
  <c r="P14" i="33"/>
  <c r="Q15" i="33"/>
  <c r="Q12" i="33"/>
  <c r="Q9" i="33"/>
  <c r="Q10" i="33"/>
  <c r="O9" i="33"/>
  <c r="O10" i="33"/>
  <c r="N14" i="33"/>
  <c r="O12" i="33"/>
  <c r="O15" i="33"/>
  <c r="P9" i="33"/>
  <c r="P10" i="33"/>
  <c r="O14" i="33"/>
  <c r="R9" i="33"/>
  <c r="R48" i="33" s="1"/>
  <c r="R46" i="33"/>
  <c r="Q46" i="33" s="1"/>
  <c r="P46" i="33" s="1"/>
  <c r="O46" i="33" s="1"/>
  <c r="N46" i="33" s="1"/>
  <c r="R10" i="33"/>
  <c r="R49" i="33" s="1"/>
  <c r="P15" i="33"/>
  <c r="P12" i="33"/>
  <c r="Q14" i="33"/>
  <c r="Q49" i="33" l="1"/>
  <c r="P49" i="33" s="1"/>
  <c r="O49" i="33" s="1"/>
  <c r="N49" i="33" s="1"/>
  <c r="Q51" i="33"/>
  <c r="P51" i="33" s="1"/>
  <c r="O51" i="33" s="1"/>
  <c r="N51" i="33" s="1"/>
  <c r="Q48" i="33"/>
  <c r="P48" i="33" s="1"/>
  <c r="O48" i="33" s="1"/>
  <c r="N48" i="33" s="1"/>
  <c r="Q53" i="33"/>
  <c r="P53" i="33" s="1"/>
  <c r="O53" i="33" s="1"/>
  <c r="N53" i="33" s="1"/>
  <c r="Q54" i="33"/>
  <c r="P54" i="33" s="1"/>
  <c r="O54" i="33" s="1"/>
  <c r="N54"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<sst xmlns="http://schemas.openxmlformats.org/spreadsheetml/2006/main" count="2149" uniqueCount="688">
  <si>
    <t>Family Size</t>
  </si>
  <si>
    <t>nMax</t>
  </si>
  <si>
    <t>nMin</t>
  </si>
  <si>
    <t>MaxTime</t>
  </si>
  <si>
    <t>Exact nMax</t>
  </si>
  <si>
    <t>Exact Family</t>
  </si>
  <si>
    <t>Heuristic Methods</t>
  </si>
  <si>
    <t>Exact Methods</t>
  </si>
  <si>
    <t>m4riRW</t>
  </si>
  <si>
    <t>QDistRndMW</t>
  </si>
  <si>
    <t>QDistEvol</t>
  </si>
  <si>
    <t>BP-OSD</t>
  </si>
  <si>
    <t>GEStim</t>
  </si>
  <si>
    <t>CCStim</t>
  </si>
  <si>
    <t>UEStim</t>
  </si>
  <si>
    <t>Gurobi</t>
  </si>
  <si>
    <t>MIP-SCIP</t>
  </si>
  <si>
    <t>CLISAT</t>
  </si>
  <si>
    <t>m4riCC</t>
  </si>
  <si>
    <t>Magma</t>
  </si>
  <si>
    <t>Result Returned</t>
  </si>
  <si>
    <t>#,##0</t>
  </si>
  <si>
    <t>No Result</t>
  </si>
  <si>
    <t>Completed &lt; MaxTime</t>
  </si>
  <si>
    <t>At lowest distance</t>
  </si>
  <si>
    <t>#,##0;;</t>
  </si>
  <si>
    <t>Completed &gt; MaxTime</t>
  </si>
  <si>
    <t>Overall Success Rate</t>
  </si>
  <si>
    <t>0.0%;;</t>
  </si>
  <si>
    <t>Total Time (s)</t>
  </si>
  <si>
    <t>0.0E+00;;</t>
  </si>
  <si>
    <t>Trials</t>
  </si>
  <si>
    <t>Overall success rate</t>
  </si>
  <si>
    <t>Trials at lowest distance</t>
  </si>
  <si>
    <t>Total Time</t>
  </si>
  <si>
    <t>Trial Success Rate</t>
  </si>
  <si>
    <t>Time/Trial</t>
  </si>
  <si>
    <t>Time/Successful Trial</t>
  </si>
  <si>
    <t>not completed</t>
  </si>
  <si>
    <t>Chart Dataset:</t>
  </si>
  <si>
    <t>Total Processing Time</t>
  </si>
  <si>
    <t>\begin{center}</t>
  </si>
  <si>
    <t>\begin{tabular}{ |l|</t>
  </si>
  <si>
    <t>r|</t>
  </si>
  <si>
    <t>}</t>
  </si>
  <si>
    <t>\hline</t>
  </si>
  <si>
    <t>\\</t>
  </si>
  <si>
    <t>\end{tabular}</t>
  </si>
  <si>
    <t>\end{center}</t>
  </si>
  <si>
    <t>Offset</t>
  </si>
  <si>
    <t>Chart Data</t>
  </si>
  <si>
    <t>Match</t>
  </si>
  <si>
    <t>dCalc</t>
  </si>
  <si>
    <t>Algorithm Completed within maxTime</t>
  </si>
  <si>
    <t>d Estimated Successfully</t>
  </si>
  <si>
    <t>dEst</t>
  </si>
  <si>
    <t>d correct</t>
  </si>
  <si>
    <t>Number of Trials at lowest distance</t>
  </si>
  <si>
    <t>R</t>
  </si>
  <si>
    <t>T</t>
  </si>
  <si>
    <t>best</t>
  </si>
  <si>
    <t>n</t>
  </si>
  <si>
    <t>dMin</t>
  </si>
  <si>
    <t>m4ri_CC</t>
  </si>
  <si>
    <t>magma</t>
  </si>
  <si>
    <t>m4ri_RW</t>
  </si>
  <si>
    <t>bposd</t>
  </si>
  <si>
    <t>t</t>
  </si>
  <si>
    <t>success rate</t>
  </si>
  <si>
    <t>t/R</t>
  </si>
  <si>
    <t>runMode: serial</t>
  </si>
  <si>
    <t>maxCount: 10000</t>
  </si>
  <si>
    <t>dataset: bivariate_bicycle</t>
  </si>
  <si>
    <t xml:space="preserve">datafile: </t>
  </si>
  <si>
    <t>method: QDistEvol</t>
  </si>
  <si>
    <t>ignoreTrivialCodes: 1</t>
  </si>
  <si>
    <t>resume: 0</t>
  </si>
  <si>
    <t>iterCount: 50000</t>
  </si>
  <si>
    <t>maxTime: 28800</t>
  </si>
  <si>
    <t>nThreads: 1</t>
  </si>
  <si>
    <t>verbose: False</t>
  </si>
  <si>
    <t>maxErr: -1</t>
  </si>
  <si>
    <t>filterCircuit: 1</t>
  </si>
  <si>
    <t>PauliProductType: X</t>
  </si>
  <si>
    <t>SingleQubitPauliErrors: 1</t>
  </si>
  <si>
    <t>fourBlock: 1</t>
  </si>
  <si>
    <t>HL: 0</t>
  </si>
  <si>
    <t>popSize: 100</t>
  </si>
  <si>
    <t>offspring: 10</t>
  </si>
  <si>
    <t>CCstart: 1</t>
  </si>
  <si>
    <t>addStabs: 0</t>
  </si>
  <si>
    <t>outfile: /Users/markwebster/Dropbox/QuantumComputing/dev/codeDistance/results/bivariate_bicycle-QDistEvol-20251224_110001.806327_85062422.txt</t>
  </si>
  <si>
    <t>#########################################</t>
  </si>
  <si>
    <t>name</t>
  </si>
  <si>
    <t>k</t>
  </si>
  <si>
    <t>d</t>
  </si>
  <si>
    <t>[[72,12,6]]</t>
  </si>
  <si>
    <t>[[90,8,10]]</t>
  </si>
  <si>
    <t>[[108,8,10]]</t>
  </si>
  <si>
    <t>[[144,12,12]]</t>
  </si>
  <si>
    <t>[[288,12,18]]</t>
  </si>
  <si>
    <t>[[360,12,24]]</t>
  </si>
  <si>
    <t>[[756,16,34]]</t>
  </si>
  <si>
    <t>[[216,8,10]]</t>
  </si>
  <si>
    <t>[[576,8,24]]</t>
  </si>
  <si>
    <t>[[864,4,40]]</t>
  </si>
  <si>
    <t>[[648,4,32]]</t>
  </si>
  <si>
    <t>[[1080,4,56]]</t>
  </si>
  <si>
    <t>[[1296,4,50]]</t>
  </si>
  <si>
    <t>[[1152,4,42]]</t>
  </si>
  <si>
    <t>[[1728,4,64]]</t>
  </si>
  <si>
    <t>[[2016,8,54]]</t>
  </si>
  <si>
    <t>[[2160,8,64]]</t>
  </si>
  <si>
    <t>[[2520,8,54]]</t>
  </si>
  <si>
    <t>[[2592,8,36]]</t>
  </si>
  <si>
    <t>[[3024,4,84]]</t>
  </si>
  <si>
    <t>repeat: 1</t>
  </si>
  <si>
    <t>method: magmaMinWeight</t>
  </si>
  <si>
    <t>resume: 1</t>
  </si>
  <si>
    <t>iterCount: 10000</t>
  </si>
  <si>
    <t>genCount: 100</t>
  </si>
  <si>
    <t>pMut: 2.0</t>
  </si>
  <si>
    <t>sMut: 1.0</t>
  </si>
  <si>
    <t>outfile: /Users/markwebster/Dropbox/QuantumComputing/dev/codeDistance/results/bivariate_bicycle-magmaMinWeight-20260106_161305.512213_85062422.txt</t>
  </si>
  <si>
    <t>delta d</t>
  </si>
  <si>
    <t>Time</t>
  </si>
  <si>
    <t>Progress</t>
  </si>
  <si>
    <t>1.690168207976967</t>
  </si>
  <si>
    <t>Magma V2.28-26    Tue Jan  6 2026 16:13:07 on Marks-MacBook-Air-2 [Seed = \n221859981]\nType ? for help.  Type &lt;Ctrl&gt;-D to quit.\n[0 1 1 0 0 0 0 0 0 0 0 0 0 0 0 0 0 0 1 0 0 0 0 0 0 0 0 0 0 0 0 0 0 0 0 0 0 0 0 1\n    0 0 1 0 0 0 0 0 1 0 0 0 0 0 0 0 0 0 0 0 0 0 0 0 0 0 0 0 0 0 0 0 0 0 0 0 0 0 \n    0 0 0 0 0 0 0 0 0 0 0 0 0 0 0 0 0 0 0 0 0 0 0 0 0 0 0 0 0 0 0 0 0 0 0 0 0 0 \n    0 0 0 0 0 0 0 0 0 0 0 0 0 0 0 0 0 0 0 0 0 0 0 0 0 0 0 0]\n[0 0 1 1 0 0 0 0 0 0 0 0 0 0 0 0 0 0 0 1 0 0 0 0 0 0 0 0 0 0 0 0 0 0 0 0 0 0 0 0\n    1 0 0 1 0 0 0 0 0 1 0 0 0 0 0 0 0 0 0 0 0 0 0 0 0 0 0 0 0 0 0 0 0 0 0 0 0 0 \n    0 0 0 0 0 0 0 0 0 0 0 0 0 0 0 0 0 0 0 0 0 0 0 0 0 0 0 0 0 0 0 0 0 0 0 0 0 0 \n    0 0 0 0 0 0 0 0 0 0 0 0 0 0 0 0 0 0 0 0 0 0 0 0 0 0 0 0]\n[0 0 0 1 1 0 0 0 0 0 0 0 0 0 0 0 0 0 0 0 1 0 0 0 0 0 0 0 0 0 0 0 0 0 0 0 0 0 0 0\n    0 1 0 0 1 0 0 0 0 0 1 0 0 0 0 0 0 0 0 0 0 0 0 0 0 0 0 0 0 0 0 0 0 0 0 0 0 0 \n    0 0 0 0 0 0 0 0 0 0 0 0 0 0 0 0 0 0 0 0 0 0 0 0 0 0 0 0 0 0 0 0 0 0 0 0 0 0 \n    0 0 0 0 0 0 0 0 0 0 0 0 0 0 0 0 0 0 0 0 0 0 0 0 0 0 0 0]\n[0 0 0 0 1 1 0 0 0 0 0 0 0 0 0 0 0 0 0 0 0 1 0 0 0 0 0 0 0 0 0 0 0 0 0 0 1 0 0 0\n    0 0 0 0 0 1 0 0 0 0 0 1 0 0 0 0 0 0 0 0 0 0 0 0 0 0 0 0 0 0 0 0 0 0 0 0 0 0 \n    0 0 0 0 0 0 0 0 0 0 0 0 0 0 0 0 0 0 0 0 0 0 0 0 0 0 0 0 0 0 0 0 0 0 0 0 0 0 \n    0 0 0 0 0 0 0 0 0 0 0 0 0 0 0 0 0 0 0 0 0 0 0 0 0 0 0 0]\n[1 0 0 0 0 1 0 0 0 0 0 0 0 0 0 0 0 0 0 0 0 0 1 0 0 0 0 0 0 0 0 0 0 0 0 0 0 1 0 0\n    0 0 0 0 0 0 1 0 0 0 0 0 1 0 0 0 0 0 0 0 0 0 0 0 0 0 0 0 0 0 0 0 0 0 0 0 0 0 \n    0 0 0 0 0 0 0 0 0 0 0 0 0 0 0 0 0 0 0 0 0 0 0 0 0 0 0 0 0 0 0 0 0 0 0 0 0 0 \n    0 0 0 0 0 0 0 0 0 0 0 0 0 0 0 0 0 0 0 0 0 0 0 0 0 0 0 0]\n[1 1 0 0 0 0 0 0 0 0 0 0 0 0 0 0 0 0 0 0 0 0 0 1 0 0 0 0 0 0 0 0 0 0 0 0 0 0 1 0\n    0 0 0 0 0 0 0 1 0 0 0 0 0 1 0 0 0 0 0 0 0 0 0 0 0 0 0 0 0 0 0 0 0 0 0 0 0 0 \n    0 0 0 0 0 0 0 0 0 0 0 0 0 0 0 0 0 0 0 0 0 0 0 0 0 0 0 0 0 0 0 0 0 0 0 0 0 0 \n    0 0 0 0 0 0 0 0 0 0 0 0 0 0 0 0 0 0 0 0 0 0 0 0 0 0 0 0]\n[0 0 0 0 0 0 0 1 1 0 0 0 0 0 0 0 0 0 0 0 0 0 0 0 1 0 0 0 0 0 0 0 0 0 0 0 0 0 0 0\n    0 0 0 0 0 1 0 0 1 0 0 0 0 0 1 0 0 0 0 0 0 0 0 0 0 0 0 0 0 0 0 0 0 0 0 0 0 0 \n    0 0 0 0 0 0 0 0 0 0 0 0 0 0 0 0 0 0 0 0 0 0 0 0 0 0 0 0 0 0 0 0 0 0 0 0 0 0 \n    0 0 0 0 0 0 0 0 0 0 0 0 0 0 0 0 0 0 0 0 0 0 0 0 0 0 0 0]\n[0 0 0 0 0 0 0 0 1 1 0 0 0 0 0 0 0 0 0 0 0 0 0 0 0 1 0 0 0 0 0 0 0 0 0 0 0 0 0 0\n    0 0 0 0 0 0 1 0 0 1 0 0 0 0 0 1 0 0 0 0 0 0 0 0 0 0 0 0 0 0 0 0 0 0 0 0 0 0 \n    0 0 0 0 0 0 0 0 0 0 0 0 0 0 0 0 0 0 0 0 0 0 0 0 0 0 0 0 0 0 0 0 0 0 0 0 0 0 \n    0 0 0 0 0 0 0 0 0 0 0 0 0 0 0 0 0 0 0 0 0 0 0 0 0 0 0 0]\n[0 0 0 0 0 0 0 0 0 1 1 0 0 0 0 0 0 0 0 0 0 0 0 0 0 0 1 0 0 0 0 0 0 0 0 0 0 0 0 0\n    0 0 0 0 0 0 0 1 0 0 1 0 0 0 0 0 1 0 0 0 0 0 0 0 0 0 0 0 0 0 0 0 0 0 0 0 0 0 \n    0 0 0 0 0 0 0 0 0 0 0 0 0 0 0 0 0 0 0 0 0 0 0 0 0 0 0 0 0 0 0 0 0 0 0 0 0 0 \n    0 0 0 0 0 0 0 0 0 0 0 0 0 0 0 0 0 0 0 0 0 0 0 0 0 0 0 0]\n[0 0 0 0 0 0 0 0 0 0 1 1 0 0 0 0 0 0 0 0 0 0 0 0 0 0 0 1 0 0 0 0 0 0 0 0 0 0 0 0\n    0 0 1 0 0 0 0 0 0 0 0 1 0 0 0 0 0 1 0 0 0 0 0 0 0 0 0 0 0 0 0 0 0 0 0 0 0 0 \n    0 0 0 0 0 0 0 0 0 0 0 0 0 0 0 0 0 0 0 0 0 0 0 0 0 0 0 0 0 0 0 0 0 0 0 0 0 0 \n    0 0 0 0 0 0 0 0 0 0 0 0 0 0 0 0 0 0 0 0 0 0 0 0 0 0 0 0]\n[0 0 0 0 0 0 1 0 0 0 0 1 0 0 0 0 0 0 0 0 0 0 0 0 0 0 0 0 1 0 0 0 0 0 0 0 0 0 0 0\n    0 0 0 1 0 0 0 0 0 0 0 0 1 0 0 0 0 0 1 0 0 0 0 0 0 0 0 0 0 0 0 0 0 0 0 0 0 0 \n    0 0 0 0 0 0 0 0 0 0 0 0 0 0 0 0 0 0 0 0 0 0 0 0 0 0 0 0 0 0 0 0 0 0 0 0 0 0 \n    0 0 0 0 0 0 0 0 0 0 0 0 0 0 0 0 0 0 0 0 0 0 0 0 0 0 0 0]\n[0 0 0 0 0 0 1 1 0 0 0 0 0 0 0 0 0 0 0 0 0 0 0 0 0 0 0 0 0 1 0 0 0 0 0 0 0 0 0 0\n    0 0 0 0 1 0 0 0 0 0 0 0 0 1 0 0 0 0 0 1 0 0 0 0 0 0 0 0 0 0 0 0 0 0 0 0 0 0 \n    0 0 0 0 0 0 0 0 0 0 0 0 0 0 0 0 0 0 0 0 0 0 0 0 0 0 0 0 0 0 0 0 0 0 0 0 0 0 \n    0 0 0 0 0 0 0 0 0 0 0 0 0 0 0 0 0 0 0 0 0 0 0 0 0 0 0 0]\n[0 0 0 0 0 0 0 0 0 0 0 0 0 1 1 0 0 0 0 0 0 0 0 0 0 0 0 0 0 0 1 0 0 0 0 0 0 0 0 0\n    0 0 0 0 0 0 0 0 0 0 0 1 0 0 1 0 0 0 0 0 1 0 0 0 0 0 0 0 0 0 0 0 0 0 0 0 0 0 \n    0 0 0 0 0 0 0 0 0 0 0 0 0 0 0 0 0 0 0 0 0 0 0 0 0 0 0 0 0 0 0 0 0 0 0 0 0 0 \n    0 0 0 0 0 0 0 0 0 0 0 0 0 0 0 0 0 0 0 0 0 0 0 0 0 0 0 0]\n[0 0 0 0 0 0 0 0 0 0 0 0 0 0 1 1 0 0 0 0 0 0 0 0 0 0 0 0 0 0 0 1 0 0 0 0 0 0 0 0\n    0 0 0 0 0 0 0 0 0 0 0 0 1 0 0 1 0 0 0 0 0 1 0 0 0 0 0 0 0 0 0 0 0 0 0 0 0 0 \n    0 0 0 0 0 0 0 0 0 0 0 0 0 0 0 0 0 0 0 0 0 0 0 0 0 0 0 0 0 0 0 0 0 0 0 0 0 0 \n    0 0 0 0 0 0 0 0 0 0 0 0 0 0 0 0 0 0 0 0 0 0 0 0 0 0 0 0]\n[0 0 0 0 0 0 0 0 0 0 0 0 0 0 0 1 1 0 0 0 0 0 0 0 0 0 0 0 0 0 0 0 1 0 0 0 0 0 0 0\n    0 0 0 0 0 0 0 0 0 0 0 0 0 1 0 0 1 0 0 0 0 0 1 0 0 0 0 0 0 0 0 0 0 0 0 0 0 0 \n    0 0 0 0 0 0 0 0 0 0 0 0 0 0 0 0 0 0 0 0 0 0 0 0 0 0 0 0 0 0 0 0 0 0 0 0 0 0 \n    0 0 0 0 0 0 0 0 0 0 0 0 0 0 0 0 0 0 0 0 0 0 0 0 0 0 0 0]\n[0 0 0 0 0 0 0 0 0 0 0 0 0 0 0 0 1 1 0 0 0 0 0 0 0 0 0 0 0 0 0 0 0 1 0 0 0 0 0 0\n    0 0 0 0 0 0 0 0 1 0 0 0 0 0 0 0 0 1 0 0 0 0 0 1 0 0 0 0 0 0 0 0 0 0 0 0 0 0 \n    0 0 0 0 0 0 0 0 0 0 0 0 0 0 0 0 0 0 0 0 0 0 0 0 0 0 0 0 0 0 0 0 0 0 0 0 0 0 \n    0 0 0 0 0 0 0 0 0 0 0 0 0 0 0 0 0 0 0 0 0 0 0 0 0 0 0 0]\n[0 0 0 0 0 0 0 0 0 0 0 0 1 0 0 0 0 1 0 0 0 0 0 0 0 0 0 0 0 0 0 0 0 0 1 0 0 0 0 0\n    0 0 0 0 0 0 0 0 0 1 0 0 0 0 0 0 0 0 1 0 0 0 0 0 1 0 0 0 0 0 0 0 0 0 0 0 0 0 \n    0 0 0 0 0 0 0 0 0 0 0 0 0 0 0 0 0 0 0 0 0 0 0 0 0 0 0 0 0 0 0 0 0 0 0 0 0 0 \n    0 0 0 0 0 0 0 0 0 0 0 0 0 0 0 0 0 0 0 0 0 0 0 0 0 0 0 0]\n[0 0 0 0 0 0 0 0 0 0 0 0 1 1 0 0 0 0 0 0 0 0 0 0 0 0 0 0 0 0 0 0 0 0 0 1 0 0 0 0\n    0 0 0 0 0 0 0 0 0 0 1 0 0 0 0 0 0 0 0 1 0 0 0 0 0 1 0 0 0 0 0 0 0 0 0 0 0 0 \n    0 0 0 0 0 0 0 0 0 0 0 0 0 0 0 0 0 0 0 0 0 0 0 0 0 0 0 0 0 0 0 0 0 0 0 0 0 0 \n    0 0 0 0 0 0 0 0 0 0 0 0 0 0 0 0 0 0 0 0 0 0 0 0 0 0 0 0]\n[1 0 0 0 0 0 0 0 0 0 0 0 0 0 0 0 0 0 0 1 1 0 0 0 0 0 0 0 0 0 0 0 0 0 0 0 0 0 0 0\n    0 0 0 0 0 0 0 0 0 0 0 0 0 0 0 0 0 1 0 0 1 0 0 0 0 0 1 0 0 0 0 0 0 0 0 0 0 0 \n    0 0 0 0 0 0 0 0 0 0 0 0 0 0 0 0 0 0 0 0 0 0 0 0 0 0 0 0 0 0 0 0 0 0 0 0 0 0 \n    0 0 0 0 0 0 0 0 0 0 0 0 0 0 0 0 0 0 0 0 0 0 0 0 0 0 0 0]\n[0 1 0 0 0 0 0 0 0 0 0 0 0 0 0 0 0 0 0 0 1 1 0 0 0 0 0 0 0 0 0 0 0 0 0 0 0 0 0 0\n    0 0 0 0 0 0 0 0 0 0 0 0 0 0 0 0 0 0 1 0 0 1 0 0 0 0 0 1 0 0 0 0 0 0 0 0 0 0 \n    0 0 0 0 0 0 0 0 0 0 0 0 0 0 0 0 0 0 0 0 0 0 0 0 0 0 0 0 0 0 0 0 0 0 0 0 0 0 \n    0 0 0 0 0 0 0 0 0 0 0 0 0 0 0 0 0 0 0 0 0 0 0 0 0 0 0 0]\n[0 0 1 0 0 0 0 0 0 0 0 0 0 0 0 0 0 0 0 0 0 1 1 0 0 0 0 0 0 0 0 0 0 0 0 0 0 0 0 0\n    0 0 0 0 0 0 0 0 0 0 0 0 0 0 0 0 0 0 0 1 0 0 1 0 0 0 0 0 1 0 0 0 0 0 0 0 0 0 \n    0 0 0 0 0 0 0 0 0 0 0 0 0 0 0 0 0 0 0 0 0 0 0 0 0 0 0 0 0 0 0 0 0 0 0 0 0 0 \n    0 0 0 0 0 0 0 0 0 0 0 0 0 0 0 0 0 0 0 0 0 0 0 0 0 0 0 0]\n[0 0 0 1 0 0 0 0 0 0 0 0 0 0 0 0 0 0 0 0 0 0 1 1 0 0 0 0 0 0 0 0 0 0 0 0 0 0 0 0\n    0 0 0 0 0 0 0 0 0 0 0 0 0 0 1 0 0 0 0 0 0 0 0 1 0 0 0 0 0 1 0 0 0 0 0 0 0 0 \n    0 0 0 0 0 0 0 0 0 0 0 0 0 0 0 0 0 0 0 0 0 0 0 0 0 0 0 0 0 0 0 0 0 0 0 0 0 0 \n    0 0 0 0 0 0 0 0 0 0 0 0 0 0 0 0 0 0 0 0 0 0 0 0 0 0 0 0]\n[0 0 0 0 1 0 0 0 0 0 0 0 0 0 0 0 0 0 1 0 0 0 0 1 0 0 0 0 0 0 0 0 0 0 0 0 0 0 0 0\n    0 0 0 0 0 0 0 0 0 0 0 0 0 0 0 1 0 0 0 0 0 0 0 0 1 0 0 0 0 0 1 0 0 0 0 0 0 0 \n    0 0 0 0 0 0 0 0 0 0 0 0 0 0 0 0 0 0 0 0 0 0 0 0 0 0 0 0 0 0 0 0 0 0 0 0 0 0 \n    0 0 0 0 0 0 0 0 0 0 0 0 0 0 0 0 0 0 0 0 0 0 0 0 0 0 0 0]\n[0 0 0 0 0 1 0 0 0 0 0 0 0 0 0 0 0 0 1 1 0 0 0 0 0 0 0 0 0 0 0 0 0 0 0 0 0 0 0 0\n    0 0 0 0 0 0 0 0 0 0 0 0 0 0 0 0 1 0 0 0 0 0 0 0 0 1 0 0 0 0 0 1 0 0 0 0 0 0 \n    0 0 0 0 0 0 0 0 0 0 0 0 0 0 0 0 0 0 0 0 0 0 0 0 0 0 0 0 0 0 0 0 0 0 0 0 0 0 \n    0 0 0 0 0 0 0 0 0 0 0 0 0 0 0 0 0 0 0 0 0 0 0 0 0 0 0 0]\n[0 0 0 0 0 0 1 0 0 0 0 0 0 0 0 0 0 0 0 0 0 0 0 0 0 1 1 0 0 0 0 0 0 0 0 0 1 0 0 0\n    0 0 0 0 0 0 0 0 0 0 0 0 0 0 0 0 0 0 0 0 0 0 0 1 0 0 1 0 0 0 0 0 0 0 0 0 0 0 \n    0 0 0 0 0 0 0 0 0 0 0 0 0 0 0 0 0 0 0 0 0 0 0 0 0 0 0 0 0 0 0 0 0 0 0 0 0 0 \n    0 0 0 0 0 0 0 0 0 0 0 0 0 0 0 0 0 0 0 0 0 0 0 0 0 0 0 0]\n[0 0 0 0 0 0 0 1 0 0 0 0 0 0 0 0 0 0 0 0 0 0 0 0 0 0 1 1 0 0 0 0 0 0 0 0 0 1 0 0\n    0 0 0 0 0 0 0 0 0 0 0 0 0 0 0 0 0 0 0 0 0 0 0 0 1 0 0 1 0 0 0 0 0 0 0 0 0 0 \n    0 0 0 0 0 0 0 0 0 0 0 0 0 0 0 0 0 0 0 0 0 0 0 0 0 0 0 0 0 0 0 0 0 0 0 0 0 0 \n    0 0 0 0 0 0 0 0 0 0 0 0 0 0 0 0 0 0 0 0 0 0 0 0 0 0 0 0]\n[0 0 0 0 0 0 0 0 1 0 0 0 0 0 0 0 0 0 0 0 0 0 0 0 0 0 0 1 1 0 0 0 0 0 0 0 0 0 1 0\n    0 0 0 0 0 0 0 0 0 0 0 0 0 0 0 0 0 0 0 0 0 0 0 0 0 1 0 0 1 0 0 0 0 0 0 0 0 0 \n    0 0 0 0 0 0 0 0 0 0 0 0 0 0 0 0 0 0 0 0 0 0 0 0 0 0 0 0 0 0 0 0 0 0 0 0 0 0 \n    0 0 0 0 0 0 0 0 0 0 0 0 0 0 0 0 0 0 0 0 0 0 0 0 0 0 0 0]\n[0 0 0 0 0 0 0 0 0 1 0 0 0 0 0 0 0 0 0 0 0 0 0 0 0 0 0 0 1 1 0 0 0 0 0 0 0 0 0 1\n    0 0 0 0 0 0 0 0 0 0 0 0 0 0 0 0 0 0 0 0 1 0 0 0 0 0 0 0 0 1 0 0 0 0 0 0 0 0 \n    0 0 0 0 0 0 0 0 0 0 0 0 0 0 0 0 0 0 0 0 0 0 0 0 0 0 0 0 0 0 0 0 0 0 0 0 0 0 \n    0 0 0 0 0 0 0 0 0 0 0 0 0 0 0 0 0 0 0 0 0 0 0 0 0 0 0 0]\n[0 0 0 0 0 0 0 0 0 0 1 0 0 0 0 0 0 0 0 0 0 0 0 0 1 0 0 0 0 1 0 0 0 0 0 0 0 0 0 0\n    1 0 0 0 0 0 0 0 0 0 0 0 0 0 0 0 0 0 0 0 0 1 0 0 0 0 0 0 0 0 1 0 0 0 0 0 0 0 \n    0 0 0 0 0 0 0 0 0 0 0 0 0 0 0 0 0 0 0 0 0 0 0 0 0 0 0 0 0 0 0 0 0 0 0 0 0 0 \n    0 0 0 0 0 0 0 0 0 0 0 0 0 0 0 0 0 0 0 0 0 0 0 0 0 0 0 0]\n[0 0 0 0 0 0 0 0 0 0 0 1 0 0 0 0 0 0 0 0 0 0 0 0 1 1 0 0 0 0 0 0 0 0 0 0 0 0 0 0\n    0 1 0 0 0 0 0 0 0 0 0 0 0 0 0 0 0 0 0 0 0 0 1 0 0 0 0 0 0 0 0 1 0 0 0 0 0 0 \n    0 0 0 0 0 0 0 0 0 0 0 0 0 0 0 0 0 0 0 0 0 0 0 0 0 0 0 0 0 0 0 0 0 0 0 0 0 0 \n    0 0 0 0 0 0 0 0 0 0 0 0 0 0 0 0 0 0 0 0 0 0 0 0 0 0 0 0]\n[0 0 0 0 0 0 0 0 0 0 0 0 1 0 0 0 0 0 0 0 0 0 0 0 0 0 0 0 0 0 0 1 1 0 0 0 1 0 0 0\n    0 0 1 0 0 0 0 0 0 0 0 0 0 0 0 0 0 0 0 0 0 0 0 0 0 0 0 0 0 1 0 0 0 0 0 0 0 0 \n    0 0 0 0 0 0 0 0 0 0 0 0 0 0 0 0 0 0 0 0 0 0 0 0 0 0 0 0 0 0 0 0 0 0 0 0 0 0 \n    0 0 0 0 0 0 0 0 0 0 0 0 0 0 0 0 0 0 0 0 0 0 0 0 0 0 0 0]\n[0 0 0 0 0 0 0 0 0 0 0 0 0 1 0 0 0 0 0 0 0 0 0 0 0 0 0 0 0 0 0 0 1 1 0 0 0 1 0 0\n    0 0 0 1 0 0 0 0 0 0 0 0 0 0 0 0 0 0 0 0 0 0 0 0 0 0 0 0 0 0 1 0 0 0 0 0 0 0 \n    0 0 0 0 0 0 0 0 0 0 0 0 0 0 0 0 0 0 0 0 0 0 0 0 0 0 0 0 0 0 0 0 0 0 0 0 0 0 \n    0 0 0 0 0 0 0 0 0 0 0 0 0 0 0 0 0 0 0 0 0 0 0 0 0 0 0 0]\n[0 0 0 0 0 0 0 0 0 0 0 0 0 0 1 0 0 0 0 0 0 0 0 0 0 0 0 0 0 0 0 0 0 1 1 0 0 0 1 0\n    0 0 0 0 1 0 0 0 0 0 0 0 0 0 0 0 0 0 0 0 0 0 0 0 0 0 0 0 0 0 0 1 0 0 0 0 0 0 \n    0 0 0 0 0 0 0 0 0 0 0 0 0 0 0 0 0 0 0 0 0 0 0 0 0 0 0 0 0 0 0 0 0 0 0 0 0 0 \n    0 0 0 0 0 0 0 0 0 0 0 0 0 0 0 0 0 0 0 0 0 0 0 0 0 0 0 0]\n[0 0 0 0 0 0 0 0 0 0 0 0 0 0 0 1 0 0 0 0 0 0 0 0 0 0 0 0 0 0 0 0 0 0 1 1 0 0 0 1\n    0 0 0 0 0 1 0 0 0 0 0 0 0 0 0 0 0 0 0 0 0 0 0 0 0 0 1 0 0 0 0 0 0 0 0 0 0 0 \n    0 0 0 0 0 0 0 0 0 0 0 0 0 0 0 0 0 0 0 0 0 0 0 0 0 0 0 0 0 0 0 0 0 0 0 0 0 0 \n    0 0 0 0 0 0 0 0 0 0 0 0 0 0 0 0 0 0 0 0 0 0 0 0 0 0 0 0]\n[0 0 0 0 0 0 0 0 0 0 0 0 0 0 0 0 1 0 0 0 0 0 0 0 0 0 0 0 0 0 1 0 0 0 0 1 0 0 0 0\n    1 0 0 0 0 0 1 0 0 0 0 0 0 0 0 0 0 0 0 0 0 0 0 0 0 0 0 1 0 0 0 0 0 0 0 0 0 0 \n    0 0 0 0 0 0 0 0 0 0 0 0 0 0 0 0 0 0 0 0 0 0 0 0 0 0 0 0 0 0 0 0 0 0 0 0 0 0 \n    0 0 0 0 0 0 0 0 0 0 0 0 0 0 0 0 0 0 0 0 0 0 0 0 0 0 0 0]\n[0 0 0 0 0 0 0 0 0 0 0 0 0 0 0 0 0 1 0 0 0 0 0 0 0 0 0 0 0 0 1 1 0 0 0 0 0 0 0 0\n    0 1 0 0 0 0 0 1 0 0 0 0 0 0 0 0 0 0 0 0 0 0 0 0 0 0 0 0 1 0 0 0 0 0 0 0 0 0 \n    0 0 0 0 0 0 0 0 0 0 0 0 0 0 0 0 0 0 0 0 0 0 0 0 0 0 0 0 0 0 0 0 0 0 0 0 0 0 \n    0 0 0 0 0 0 0 0 0 0 0 0 0 0 0 0 0 0 0 0 0 0 0 0 0 0 0 0]\n[0 0 0 0 0 0 0 0 0 0 0 0 0 0 0 0 0 0 0 0 0 0 0 0 0 0 0 0 0 0 0 0 0 0 0 0 0 0 0 0\n    0 0 0 0 0 0 0 0 0 0 0 0 0 0 0 0 0 0 0 0 0 0 0 0 0 0 0 0 0 0 0 0 1 0 1 1 0 1 \n    1 1 0 1 1 0 0 0 0 0 0 0 1 0 1 1 0 1 1 1 0 1 1 0 0 0 0 0 0 0 0 0 0 0 0 0 0 0 \n    0 0 0 0 0 0 0 0 0 0 0 0 0 0 0 0 0 0 0 0 0 0 0 0 0 0 0 0]\n[0 0 0 0 0 0 0 0 0 0 0 0 0 0 0 0 0 0 0 0 0 0 0 0 0 0 0 0 0 0 0 0 0 0 0 0 0 0 0 0\n    0 0 0 0 0 0 0 0 0 0 0 0 0 0 0 0 0 0 0 0 0 0 0 0 0 0 0 0 0 0 0 0 0 1 1 0 1 1 \n    1 0 1 1 0 1 0 0 0 0 0 0 0 1 1 0 1 1 1 0 1 1 0 1 0 0 0 0 0 0 0 0 0 0 0 0 0 0 \n    0 0 0 0 0 0 0 0 0 0 0 0 0 0 0 0 0 0 0 0 0 0 0 0 0 0 0 0]\n[0 0 0 0 0 0 0 0 0 0 0 0 0 0 0 0 0 0 0 0 0 0 0 0 0 0 0 0 0 0 0 0 0 0 0 0 0 0 0 0\n    0 0 0 0 0 0 0 0 0 0 0 0 0 0 0 0 0 0 0 0 0 0 0 0 0 0 0 0 0 0 0 0 0 0 0 1 0 1 \n    1 1 0 0 1 1 1 1 0 0 1 1 0 1 1 1 1 0 1 0 1 0 0 0 1 0 1 0 0 0 0 0 0 0 0 0 0 0 \n    0 0 0 0 0 0 0 0 0 0 0 0 0 0 0 0 0 0 0 0 0 0 0 0 0 0 0 0]\n[0 0 0 0 0 0 0 0 0 0 0 0 0 0 0 0 0 0 0 0 0 0 0 0 0 0 0 0 0 0 0 0 0 0 0 0 0 0 0 0\n    0 0 0 0 0 0 0 0 0 0 0 0 0 0 0 0 0 0 0 0 0 0 0 0 0 0 0 0 0 0 0 0 1 0 0 0 1 0 \n    1 1 1 0 0 1 1 1 1 0 0 1 0 0 1 1 1 1 0 1 0 1 0 0 0 1 0 1 0 0 0 0 0 0 0 0 0 0 \n    0 0 0 0 0 0 0 0 0 0 0 0 0 0 0 0 0 0 0 0 0 0 0 0 0 0 0 0]\n[0 0 0 0 0 0 0 0 0 0 0 0 0 0 0 0 0 0 0 0 0 0 0 0 0 0 0 0 0 0 0 0 0 0 0 0 0 0 0 0\n    0 0 0 0 0 0 0 0 0 0 0 0 0 0 0 0 0 0 0 0 0 0 0 0 0 0 0 0 0 0 0 0 1 1 1 0 0 1 \n    1 1 1 0 0 1 0 0 1 1 1 1 0 1 0 1 0 0 0 1 0 1 0 0 1 0 0 0 1 0 0 0 0 0 0 0 0 0 \n    0 0 0 0 0 0 0 0 0 0 0 0 0 0 0 0 0 0 0 0 0 0 0 0 0 0 0 0]\n[0 0 0 0 0 0 0 0 0 0 0 0 0 0 0 0 0 0 0 0 0 0 0 0 0 0 0 0 0 0 0 0 0 0 0 0 0 0 0 0\n    0 0 0 0 0 0 0 0 0 0 0 0 0 0 0 0 0 0 0 0 0 0 0 0 0 0 0 0 0 0 0 0 0 1 0 0 0 1 \n    0 0 1 0 1 0 1 0 0 1 1 1 1 0 0 1 1 1 1 1 1 1 0 0 0 1 0 0 0 1 0 0 0 0 0 0 0 0 \n    0 0 0 0 0 0 0 0 0 0 0 0 0 0 0 0 0 0 0 0 0 0 0 0 0 0 0 0]\n[0 0 0 0 0 0 0 0 0 0 0 0 0 0 0 0 0 0 0 0 0 0 0 0 0 0 0 0 0 0 0 0 0 0 0 0 0 0 0 0\n    0 0 0 0 0 0 0 0 0 0 0 0 0 0 0 0 0 0 0 0 0 0 0 0 0 0 0 0 0 0 0 0 0 0 0 1 1 0 \n    0 0 1 0 0 0 0 0 1 0 0 0 0 0 0 0 0 1 1 1 0 0 0 0 1 1 0 0 0 0 1 0 1 0 1 0 0 0 \n    0 0 0 0 0 0 0 0 0 0 0 0 0 0 0 0 0 0 0 0 0 0 0 0 0 0 0 0]\n[0 0 0 0 0 0 0 0 0 0 0 0 0 0 0 0 0 0 0 0 0 0 0 0 0 0 0 0 0 0 0 0 0 0 0 0 0 0 0 0\n    0 0 0 0 0 0 0 0 0 0 0 0 0 0 0 0 0 0 0 0 0 0 0 0 0 0 0 0 0 0 0 0 0 0 0 1 1 0 \n    1 1 0 1 1 1 1 1 0 1 1 1 1 1 1 1 1 0 1 1 0 0 0 0 1 1 0 0 0 0 0 1 0 1 0 1 0 0 \n    0 0 0 0 0 0 0 0 0 0 0 0 0 0 0 0 0 0 0 0 0 0 0 0 0 0 0 0]\n[0 0 0 0 0 0 0 0 0 0 0 0 0 0 0 0 0 0 0 0 0 0 0 0 0 0 0 0 0 0 0 0 0 0 0 0 0 0 0 0\n    0 0 0 0 0 0 0 0 0 0 0 0 0 0 0 0 0 0 0 0 0 0 0 0 0 0 0 0 0 0 0 0 1 0 1 0 1 1 \n    1 0 1 0 1 1 0 0 1 0 0 0 0 1 0 0 1 1 1 0 1 1 0 0 1 1 0 0 0 0 0 0 0 0 0 0 1 0 \n    1 0 1 0 0 0 0 0 0 0 0 0 0 0 0 0 0 0 0 0 0 0 0 0 0 0 0 0]\n[0 0 0 0 0 0 0 0 0 0 0 0 0 0 0 0 0 0 0 0 0 0 0 0 0 0 0 0 0 0 0 0 0 0 0 0 0 0 0 0\n    0 0 0 0 0 0 0 0 0 0 0 0 0 0 0 0 0 0 0 0 0 0 0 0 0 0 0 0 0 0 0 0 0 1 1 1 0 1 \n    1 1 0 0 0 0 1 1 0 1 1 1 0 1 1 0 1 0 0 0 1 0 0 0 1 1 0 0 0 0 0 0 0 0 0 0 0 1 \n    0 1 0 1 0 0 0 0 0 0 0 0 0 0 0 0 0 0 0 0 0 0 0 0 0 0 0 0]\n[0 0 0 0 0 0 0 0 0 0 0 0 0 0 0 0 0 0 0 0 0 0 0 0 0 0 0 0 0 0 0 0 0 0 0 0 0 0 0 0\n    0 0 0 0 0 0 0 0 0 0 0 0 0 0 0 0 0 0 0 0 0 0 0 0 0 0 0 0 0 0 0 0 1 0 0 0 0 1 \n    1 1 1 0 1 0 1 0 0 0 0 1 1 0 1 1 1 1 1 1 0 1 0 0 0 1 0 0 0 0 0 0 0 0 0 0 0 0 \n    0 0 0 0 1 0 1 0 1 0 0 0 0 0 0 0 0 0 0 0 0 0 0 0 0 0 0 0]\n[0 0 0 0 0 0 0 0 0 0 0 0 0 0 0 0 0 0 0 0 0 0 0 0 0 0 0 0 0 0 0 0 0 0 0 0 0 0 0 0\n    0 0 0 0 0 0 0 0 0 0 0 0 0 0 0 0 0 0 0 0 0 0 0 0 0 0 0 0 0 0 0 0 0 1 1 0 0 0 \n    0 1 1 0 0 0 0 0 0 0 1 1 0 0 0 1 0 0 0 0 0 1 0 0 1 0 0 0 0 0 0 0 0 0 0 0 0 0 \n    0 0 0 0 0 1 0 1 0 1 0 0 0 0 0 0 0 0 0 0 0 0 0 0 0 0 0 0]\n[0 0 0 0 0 0 0 0 0 0 0 0 0 0 0 0 0 0 0 0 0 0 0 0 0 0 0 0 0 0 0 0 0 0 0 0 0 0 0 0\n    0 0 0 0 0 0 0 0 0 0 0 0 0 0 0 0 0 0 0 0 0 0 0 0 0 0 0 0 0 0 0 0 0 0 0 1 0 0 \n    1 1 1 1 1 1 1 1 1 1 1 1 1 1 1 1 1 1 1 0 0 0 0 0 1 0 0 0 0 0 1 1 1 1 0 0 0 0 \n    0 0 0 0 0 0 0 0 0 0 1 0 0 0 0 0 0 0 0 0 0 0 0 0 0 0 0 0]\n[0 0 0 0 0 0 0 0 0 0 0 0 0 0 0 0 0 0 0 0 0 0 0 0 0 0 0 0 0 0 0 0 0 0 0 0 0 0 0 0\n    0 0 0 0 0 0 0 0 0 0 0 0 0 0 0 0 0 0 0 0 0 0 0 0 0 0 0 0 0 0 0 0 0 0 0 1 0 0 \n    1 1 0 1 1 1 1 1 0 1 1 1 1 1 1 1 1 0 1 0 0 0 0 0 1 0 0 0 0 0 1 1 0 1 0 0 0 0 \n    0 0 0 0 0 0 0 0 0 0 0 1 0 0 0 0 0 0 0 0 0 0 0 0 0 0 0 0]\n[0 0 0 0 0 0 0 0 0 0 0 0 0 0 0 0 0 0 0 0 0 0 0 0 0 0 0 0 0 0 0 0 0 0 0 0 0 0 0 0\n    0 0 0 0 0 0 0 0 0 0 0 0 0 0 0 0 0 0 0 0 0 0 0 0 0 0 0 0 0 0 0 0 0 0 0 1 0 0 \n    1 1 0 0 1 1 1 1 0 0 1 1 0 1 1 1 1 0 1 0 0 0 0 0 1 0 0 0 0 0 1 1 0 0 0 0 0 0 \n    0 0 0 0 0 0 0 0 0 0 0 0 1 0 0 0 0 0 0 0 0 0 0 0 0 0 0 0]\n[0 0 0 0 0 0 0 0 0 0 0 0 0 0 0 0 0 0 0 0 0 0 0 0 0 0 0 0 0 0 0 0 0 0 0 0 0 0 0 0\n    0 0 0 0 0 0 0 0 0 0 0 0 0 0 0 0 0 0 0 0 0 0 0 0 0 0 0 0 0 0 0 0 0 0 0 0 1 0 \n    1 1 1 0 0 1 1 1 1 0 0 1 0 0 1 1 1 1 0 1 0 0 0 0 0 1 0 0 0 0 0 1 1 0 0 0 0 0 \n    0 0 0 0 0 0 0 0 0 0 0 0 0 1 0 0 0 0 0 0 0 0 0 0 0 0 0 0]\n[0 0 0 0 0 0 0 0 0 0 0 0 0 0 0 0 0 0 0 0 0 0 0 0 0 0 0 0 0 0 0 0 0 0 0 0 0 0 0 0\n    0 0 0 0 0 0 0 0 0 0 0 0 0 0 0 0 0 0 0 0 0 0 0 0 0 0 0 0 0 0 0 0 0 0 0 1 0 0 \n    0 0 1 1 1 1 0 0 1 1 1 1 1 1 1 0 0 1 1 0 0 0 0 0 1 0 0 0 0 0 0 0 1 1 0 0 0 0 \n    0 0 0 0 0 0 0 0 0 0 0 0 0 0 1 0 0 0 0 0 0 0 0 0 0 0 0 0]\n[0 0 0 0 0 0 0 0 0 0 0 0 0 0 0 0 0 0 0 0 0 0 0 0 0 0 0 0 0 0 0 0 0 0 0 0 0 0 0 0\n    0 0 0 0 0 0 0 0 0 0 0 0 0 0 0 0 0 0 0 0 0 0 0 0 0 0 0 0 0 0 0 0 0 0 0 1 0 0 \n    1 0 1 1 1 1 1 0 1 1 1 1 1 1 1 1 0 1 1 0 0 0 0 0 1 0 0 0 0 0 1 0 1 1 0 0 0 0 \n    0 0 0 0 0 0 0 0 0 0 0 0 0 0 0 1 0 0 0 0 0 0 0 0 0 0 0 0]\n[0 0 0 0 0 0 0 0 0 0 0 0 0 0 0 0 0 0 0 0 0 0 0 0 0 0 0 0 0 0 0 0 0 0 0 0 0 0 0 0\n    0 0 0 0 0 0 0 0 0 0 0 0 0 0 0 0 0 0 0 0 0 0 0 0 0 0 0 0 0 0 0 0 0 1 0 1 1 0 \n    0 1 1 1 1 1 1 1 1 1 1 1 0 0 1 0 0 1 1 0 0 1 0 0 1 0 0 0 0 0 0 0 0 0 0 0 1 1 \n    1 1 0 0 0 0 0 0 0 0 0 0 0 0 0 0 1 0 0 0 0 0 0 0 0 0 0 0]\n[0 0 0 0 0 0 0 0 0 0 0 0 0 0 0 0 0 0 0 0 0 0 0 0 0 0 0 0 0 0 0 0 0 0 0 0 0 0 0 0\n    0 0 0 0 0 0 0 0 0 0 0 0 0 0 0 0 0 0 0 0 0 0 0 0 0 0 0 0 0 0 0 0 0 0 1 1 0 1 \n    1 1 0 0 1 0 1 1 0 1 1 1 0 1 1 0 1 0 0 0 1 0 0 0 1 0 0 0 0 0 0 0 0 0 0 0 1 1 \n    0 1 0 0 0 0 0 0 0 0 0 0 0 0 0 0 0 1 0 0 0 0 0 0 0 0 0 0]\n[0 0 0 0 0 0 0 0 0 0 0 0 0 0 0 0 0 0 0 0 0 0 0 0 0 0 0 0 0 0 0 0 0 0 0 0 0 0 0 0\n    0 0 0 0 0 0 0 0 0 0 0 0 0 0 0 0 0 0 0 0 0 0 0 0 0 0 0 0 0 0 0 0 0 0 1 1 0 1 \n    1 1 0 0 1 0 1 1 0 0 1 1 0 1 1 1 1 0 1 0 1 0 0 0 1 0 0 0 0 0 0 0 0 0 0 0 1 1 \n    0 0 0 0 0 0 0 0 0 0 0 0 0 0 0 0 0 0 1 0 0 0 0 0 0 0 0 0]\n[0 0 0 0 0 0 0 0 0 0 0 0 0 0 0 0 0 0 0 0 0 0 0 0 0 0 0 0 0 0 0 0 0 0 0 0 0 0 0 0\n    0 0 0 0 0 0 0 0 0 0 0 0 0 0 0 0 0 0 0 0 0 0 0 0 0 0 0 0 0 0 0 0 1 0 0 1 1 0 \n    0 1 1 0 0 1 1 1 1 0 0 1 0 0 1 1 1 1 0 1 0 1 0 0 0 1 0 0 0 0 0 0 0 0 0 0 0 1 \n    1 0 0 0 0 0 0 0 0 0 0 0 0 0 0 0 0 0 0 1 0 0 0 0 0 0 0 0]\n[0 0 0 0 0 0 0 0 0 0 0 0 0 0 0 0 0 0 0 0 0 0 0 0 0 0 0 0 0 0 0 0 0 0 0 0 0 0 0 0\n    0 0 0 0 0 0 0 0 0 0 0 0 0 0 0 0 0 0 0 0 0 0 0 0 0 0 0 0 0 0 0 0 1 1 1 0 1 1 \n    1 0 1 0 0 1 0 0 1 1 1 1 0 1 0 1 0 0 0 1 0 1 0 0 1 0 0 0 0 0 0 0 0 0 0 0 0 0 \n    1 1 0 0 0 0 0 0 0 0 0 0 0 0 0 0 0 0 0 0 1 0 0 0 0 0 0 0]\n[0 0 0 0 0 0 0 0 0 0 0 0 0 0 0 0 0 0 0 0 0 0 0 0 0 0 0 0 0 0 0 0 0 0 0 0 0 0 0 0\n    0 0 0 0 0 0 0 0 0 0 0 0 0 0 0 0 0 0 0 0 0 0 0 0 0 0 0 0 0 0 0 0 1 1 1 0 1 1 \n    1 0 1 0 0 1 1 0 1 1 1 1 1 1 0 1 0 0 0 1 0 0 0 0 1 0 0 0 0 0 0 0 0 0 0 0 1 0 \n    1 1 0 0 0 0 0 0 0 0 0 0 0 0 0 0 0 0 0 0 0 1 0 0 0 0 0 0]\n[0 0 0 0 0 0 0 0 0 0 0 0 0 0 0 0 0 0 0 0 0 0 0 0 0 0 0 0 0 0 0 0 0 0 0 0 0 0 0 0\n    0 0 0 0 0 0 0 0 0 0 0 0 0 0 0 0 0 0 0 0 0 0 0 0 0 0 0 0 0 0 0 0 0 1 1 0 0 1 \n    0 0 0 0 1 0 1 0 0 1 1 0 1 0 1 0 1 1 1 1 0 0 0 0 1 1 0 0 0 0 0 0 0 0 0 0 0 0 \n    0 0 0 0 1 1 1 1 0 0 0 0 0 0 0 0 0 0 0 0 0 0 1 0 0 0 0 0]\n[0 0 0 0 0 0 0 0 0 0 0 0 0 0 0 0 0 0 0 0 0 0 0 0 0 0 0 0 0 0 0 0 0 0 0 0 0 0 0 0\n    0 0 0 0 0 0 0 0 0 0 0 0 0 0 0 0 0 0 0 0 0 0 0 0 0 0 0 0 0 0 0 0 0 0 1 0 0 0 \n    0 0 1 0 0 0 0 0 0 0 0 1 0 0 0 1 0 0 0 0 0 1 0 0 1 0 0 0 0 0 0 0 0 0 0 0 0 0 \n    0 0 0 0 1 1 0 1 0 0 0 0 0 0 0 0 0 0 0 0 0 0 0 1 0 0 0 0]\n[0 0 0 0 0 0 0 0 0 0 0 0 0 0 0 0 0 0 0 0 0 0 0 0 0 0 0 0 0 0 0 0 0 0 0 0 0 0 0 0\n    0 0 0 0 0 0 0 0 0 0 0 0 0 0 0 0 0 0 0 0 0 0 0 0 0 0 0 0 0 0 0 0 0 0 1 0 0 0 \n    0 0 1 0 0 0 0 0 0 0 0 1 0 0 0 0 0 0 0 0 0 0 0 0 0 0 0 0 0 0 0 0 0 0 0 0 0 0 \n    0 0 0 0 1 1 0 0 0 0 0 0 0 0 0 0 0 0 0 0 0 0 0 0 1 0 0 0]\n[0 0 0 0 0 0 0 0 0 0 0 0 0 0 0 0 0 0 0 0 0 0 0 0 0 0 0 0 0 0 0 0 0 0 0 0 0 0 0 0\n    0 0 0 0 0 0 0 0 0 0 0 0 0 0 0 0 0 0 0 0 0 0 0 0 0 0 0 0 0 0 0 0 0 0 0 1 0 0 \n    0 0 0 1 0 0 1 0 0 0 0 0 0 0 0 0 0 0 0 0 0 0 0 0 0 0 0 0 0 0 0 0 0 0 0 0 0 0 \n    0 0 0 0 0 1 1 0 0 0 0 0 0 0 0 0 0 0 0 0 0 0 0 0 0 1 0 0]\n[0 0 0 0 0 0 0 0 0 0 0 0 0 0 0 0 0 0 0 0 0 0 0 0 0 0 0 0 0 0 0 0 0 0 0 0 0 0 0 0\n    0 0 0 0 0 0 0 0 0 0 0 0 0 0 0 0 0 0 0 0 0 0 0 0 0 0 0 0 0 0 0 0 0 0 0 0 1 0 \n    0 0 0 0 1 0 0 1 0 0 0 0 0 0 0 0 0 0 0 0 0 0 0 0 0 0 0 0 0 0 0 0 0 0 0 0 0 0 \n    0 0 0 0 0 0 1 1 0 0 0 0 0 0 0 0 0 0 0 0 0 0 0 0 0 0 1 0]\n[0 0 0 0 0 0 0 0 0 0 0 0 0 0 0 0 0 0 0 0 0 0 0 0 0 0 0 0 0 0 0 0 0 0 0 0 0 0 0 0\n    0 0 0 0 0 0 0 0 0 0 0 0 0 0 0 0 0 0 0 0 0 0 0 0 0 0 0 0 0 0 0 0 1 0 0 0 0 0 \n    1 1 1 0 1 1 1 0 1 0 0 1 1 0 1 1 1 1 1 1 0 1 0 0 0 1 0 0 0 0 0 0 0 0 0 0 0 0 \n    0 0 0 0 1 0 1 1 0 0 0 0 0 0 0 0 0 0 0 0 0 0 0 0 0 0 0 1]\n[[72, 12]] quantum code over GF(2^2), stabilised by:\n[1 0 0 0 0 0 0 0 0 0 0 0 0 0 0 0 0 0 0 0 1 1 0 1 0 0 0 0 0 0 0 0 0 0 0 0 0 0 0 0\n    1 0 0 0 1 0 1 1 1 1 1 1 0 1 1 0 0 1 0 1 1 1 0 1 1 1 0 0 0 0 0 1]\n[$.1 0 0 0 0 0 0 0 0 0 0 0 0 0 0 0 0 0 0 0 0 0 0 0 0 0 0 $.1 0 0 0 0 0 $.1 0 0 0\n    0 0 0 $.1 $.1 0 0 $.1 0 0 $.1 0 $.1 0 0 $.1 0 0 $.1 $.1 $.1 $.1 $.1 0 0 $.1 \n    0 0 $.1 0 $.1 0 0 $.1 0]\n[0 1 0 0 0 0 0 0 0 0 0 0 0 0 0 0 0 0 0 0 1 1 0 0 0 0 0 0 0 0 0 0 0 0 0 0 0 0 0 0\n    0 0 0 0 0 0 0 0 0 0 0 0 0 0 0 0 0 0 1 0 0 1 0 0 0 0 0 1 0 0 0 0]\n[0 $.1 0 0 0 0 0 0 0 0 0 0 0 0 0 0 0 0 0 0 0 0 0 0 0 0 0 0 $.1 0 0 0 0 0 $.1 0 0\n    0 0 0 $.1 0 0 0 $.1 0 0 $.1 $.1 $.1 $.1 0 0 0 $.1 $.1 0 0 $.1 $.1 $.1 $.1 0 \n    $.1 $.1 0 $.1 $.1 $.1 0 0 0]\n[0 0 1 0 0 0 0 0 0 0 0 0 0 0 0 0 0 0 0 0 0 1 1 0 0 0 0 0 0 0 0 0 0 0 0 0 0 0 0 0\n    0 0 0 0 0 0 0 0 0 0 0 0 0 0 0 0 0 0 0 1 0 0 1 0 0 0 0 0 1 0 0 0]\n[0 0 $.1 0 0 0 0 0 0 0 0 0 0 0 0 0 0 0 0 0 0 0 0 0 0 0 0 0 0 $.1 0 0 0 0 0 $.1 0\n    0 0 0 0 $.1 0 0 $.1 $.1 $.1 0 $.1 $.1 0 $.1 $.1 0 0 0 0 $.1 $.1 0 $.1 $.1 0 \n    0 0 $.1 0 0 $.1 0 0 $.1]\n[0 0 0 1 0 0 0 0 0 0 0 0 0 0 0 0 0 0 0 0 0 0 1 1 0 0 0 0 0 0 0 0 0 0 0 0 0 0 0 0\n    0 0 0 0 0 0 0 0 0 0 0 0 0 0 1 0 0 0 0 0 0 0 0 1 0 0 0 0 0 1 0 0]\n[0 0 0 $.1 0 0 0 0 0 0 0 0 0 0 0 0 0 0 0 0 0 0 0 0 $.1 0 0 0 0 0 $.1 0 0 0 0 0 0\n    0 0 0 $.1 $.1 0 0 0 0 0 0 0 0 0 0 0 0 $.1 0 0 0 0 0 0 0 0 0 0 0 0 0 0 0 0 0]\n[0 0 0 0 1 0 0 0 0 0 0 0 0 0 0 0 0 0 0 0 1 0 1 1 0 0 0 0 0 0 0 0 0 0 0 0 0 0 0 0\n    0 1 0 0 1 0 0 0 0 0 1 0 0 0 1 0 0 0 0 0 0 0 0 1 0 0 0 0 0 1 0 0]\n[0 0 0 0 $.1 0 0 0 0 0 0 0 0 0 0 0 0 0 0 0 0 0 0 0 0 $.1 0 0 0 0 0 $.1 0 0 0 0 0\n    0 0 0 $.1 0 0 0 0 $.1 $.1 $.1 0 $.1 $.1 0 $.1 $.1 $.1 $.1 0 0 $.1 $.1 $.1 \n    $.1 $.1 0 0 0 $.1 0 0 $.1 0 0]\n[0 0 0 0 0 1 0 0 0 0 0 0 0 0 0 0 0 0 0 0 1 1 1 1 0 0 0 0 0 0 0 0 0 0 0 0 0 0 0 0\n    1 1 0 0 0 0 1 1 1 1 0 1 0 1 0 1 1 0 0 1 0 1 0 0 0 0 1 0 0 1 1 0]\n[0 0 0 0 0 $.1 0 0 0 0 0 0 0 0 0 0 0 0 0 0 0 0 0 0 0 0 $.1 0 0 0 0 0 $.1 0 0 0 0\n    0 0 0 0 $.1 0 0 $.1 0 0 $.1 0 0 0 $.1 $.1 $.1 0 0 0 $.1 $.1 0 $.1 $.1 0 $.1 \n    $.1 0 0 0 0 $.1 $.1 $.1]\n[0 0 0 0 0 0 1 0 0 0 0 0 0 0 0 0 0 0 0 0 0 0 0 0 0 0 1 1 0 1 0 0 0 0 0 0 0 0 0 0\n    0 1 0 0 0 0 1 0 0 0 1 0 1 1 1 1 1 1 0 1 1 0 0 1 0 1 1 1 0 1 1 1]\n[0 0 0 0 0 0 $.1 0 0 0 0 0 0 0 0 0 0 0 0 0 0 0 0 0 $.1 0 0 0 0 0 $.1 0 0 $.1 0 0\n    0 0 0 0 $.1 $.1 0 0 $.1 $.1 0 $.1 0 $.1 0 $.1 0 $.1 0 $.1 $.1 $.1 $.1 $.1 0 \n    $.1 0 0 0 $.1 $.1 0 $.1 0 $.1 0]\n[0 0 0 0 0 0 0 1 0 0 0 0 0 0 0 0 0 0 0 0 0 0 0 0 0 0 1 1 0 0 0 0 0 0 0 0 0 0 0 0\n    0 1 0 0 1 0 1 0 0 0 1 0 1 0 1 1 1 1 0 0 1 0 0 1 0 1 1 1 0 1 1 1]\n[0 0 0 0 0 0 0 $.1 0 0 0 0 0 0 0 0 0 0 0 0 0 0 0 0 0 $.1 0 0 0 0 0 $.1 0 0 $.1 0\n    0 0 0 0 $.1 0 0 0 $.1 0 $.1 $.1 0 $.1 $.1 0 $.1 $.1 $.1 $.1 0 0 $.1 $.1 $.1 \n    $.1 $.1 0 $.1 0 $.1 0 0 $.1 0 0]\n[0 0 0 0 0 0 0 0 1 0 0 0 0 0 0 0 0 0 0 0 0 0 0 0 0 0 0 1 1 0 0 0 0 0 0 0 0 0 0 0\n    1 0 0 0 1 0 1 0 1 1 1 1 0 0 1 0 0 1 1 1 1 0 0 1 1 0 0 1 1 0 0 1]\n[0 0 0 0 0 0 0 0 $.1 0 0 0 0 0 0 0 0 0 0 0 0 0 0 0 0 0 $.1 0 0 0 0 0 $.1 0 0 $.1\n    0 0 0 0 0 $.1 0 0 $.1 $.1 $.1 $.1 0 0 0 $.1 $.1 $.1 0 0 0 $.1 $.1 0 $.1 $.1 \n    0 $.1 $.1 $.1 0 0 0 $.1 $.1 $.1]\n[0 0 0 0 0 0 0 0 0 1 0 0 0 0 0 0 0 0 0 0 0 0 0 0 0 0 0 0 1 1 0 0 0 0 0 0 0 0 0 0\n    0 1 0 0 0 1 0 1 0 1 1 1 1 0 1 1 0 0 1 1 0 1 0 0 1 1 1 0 1 1 0 0]\n[0 0 0 0 0 0 0 0 0 $.1 0 0 0 0 0 0 0 0 0 0 0 0 0 0 0 0 0 $.1 0 0 $.1 0 0 $.1 0 0\n    0 0 0 0 $.1 $.1 0 0 $.1 0 $.1 0 0 $.1 0 0 $.1 0 0 $.1 $.1 $.1 $.1 $.1 $.1 0 \n    $.1 0 0 $.1 0 $.1 0 0 $.1 0]\n[0 0 0 0 0 0 0 0 0 0 1 0 0 0 0 0 0 0 0 0 0 0 0 0 0 0 1 0 1 1 0 0 0 0 0 0 0 0 0 0\n    0 1 0 0 0 1 0 0 0 1 0 1 1 0 1 1 1 0 1 1 0 1 0 0 1 1 1 0 1 1 0 0]\n[0 0 0 0 0 0 0 0 0 0 $.1 0 0 0 0 0 0 0 0 0 0 0 0 0 0 0 0 0 $.1 0 0 $.1 0 0 $.1 0\n    0 0 0 0 $.1 0 0 0 0 0 $.1 0 0 $.1 0 0 $.1 0 0 0 $.1 $.1 0 0 0 0 $.1 $.1 0 0 \n    $.1 0 $.1 $.1 0 $.1]\n[0 0 0 0 0 0 0 0 0 0 0 1 0 0 0 0 0 0 0 0 0 0 0 0 0 0 1 1 1 1 0 0 0 0 0 0 0 0 0 0\n    0 1 0 0 1 0 0 1 1 0 0 1 0 0 1 1 1 1 1 1 1 1 1 1 1 0 0 1 1 0 1 0]\n[0 0 0 0 0 0 0 0 0 0 0 $.1 0 0 0 0 0 0 0 0 0 0 0 0 0 0 0 0 0 $.1 0 0 $.1 0 0 $.1\n    0 0 0 0 0 $.1 0 0 0 0 0 $.1 0 0 $.1 0 0 $.1 0 0 0 $.1 $.1 0 0 0 0 $.1 $.1 0 \n    $.1 $.1 0 $.1 $.1 0]\n[0 0 0 0 0 0 0 0 0 0 0 0 1 0 0 0 0 0 0 0 0 0 0 0 0 0 0 0 0 0 0 0 1 1 0 1 0 0 0 0\n    0 1 0 0 0 0 0 1 1 0 1 1 1 1 1 1 1 1 0 1 1 1 1 1 0 1 0 0 1 0 0 0]\n[0 0 0 0 0 0 0 0 0 0 0 0 $.1 0 0 0 0 0 0 0 0 0 0 0 $.1 0 0 $.1 0 0 0 0 0 $.1 0 0\n    0 0 0 0 0 0 0 0 $.1 0 $.1 0 0 0 $.1 0 $.1 0 $.1 $.1 $.1 $.1 $.1 $.1 $.1 0 \n    $.1 0 0 $.1 0 $.1 0 $.1 $.1 0]\n[0 0 0 0 0 0 0 0 0 0 0 0 0 1 0 0 0 0 0 0 0 0 0 0 0 0 0 0 0 0 0 0 1 1 0 0 0 0 0 0\n    0 1 0 0 0 0 0 1 1 0 0 1 1 1 1 1 1 1 0 0 1 1 1 1 0 0 0 0 1 0 0 0]\n[0 0 0 0 0 0 0 0 0 0 0 0 0 $.1 0 0 0 0 0 0 0 0 0 0 0 $.1 0 0 $.1 0 0 0 0 0 $.1 0\n    0 0 0 0 0 0 0 0 0 $.1 0 $.1 0 0 0 $.1 0 $.1 $.1 $.1 $.1 $.1 $.1 $.1 $.1 $.1 \n    0 $.1 0 0 0 0 $.1 0 $.1 $.1]\n[0 0 0 0 0 0 0 0 0 0 0 0 0 0 1 0 0 0 0 0 0 0 0 0 0 0 0 0 0 0 0 0 0 1 1 0 0 0 0 0\n    1 0 0 0 0 0 1 0 1 1 1 1 0 0 1 0 0 1 1 1 1 0 0 1 1 1 0 1 0 0 0 0]\n[0 0 0 0 0 0 0 0 0 0 0 0 0 0 $.1 0 0 0 0 0 0 0 0 0 0 0 $.1 0 0 $.1 0 0 0 0 0 $.1\n    0 0 0 0 0 0 0 0 $.1 0 0 0 0 0 $.1 0 0 0 0 0 0 0 0 0 $.1 $.1 0 0 0 0 $.1 $.1 \n    0 0 0 0]\n[0 0 0 0 0 0 0 0 0 0 0 0 0 0 0 1 0 0 0 0 0 0 0 0 0 0 0 0 0 0 0 0 0 0 1 1 0 0 0 0\n    0 1 0 0 0 0 0 1 0 1 1 1 1 0 1 1 0 0 1 1 1 1 0 0 1 1 0 0 1 0 0 0]\n[0 0 0 0 0 0 0 0 0 0 0 0 0 0 0 $.1 0 0 0 0 0 0 0 0 $.1 0 0 $.1 0 0 $.1 0 0 0 0 0\n    0 0 0 0 0 0 0 0 0 $.1 0 0 0 0 0 $.1 0 0 0 0 0 0 0 0 0 $.1 $.1 0 0 0 0 $.1 \n    $.1 0 0 0]\n[0 0 0 0 0 0 0 0 0 0 0 0 0 0 0 0 1 0 0 0 0 0 0 0 0 0 0 0 0 0 0 0 1 0 1 1 0 0 0 0\n    0 1 0 0 0 0 0 1 0 1 1 1 1 1 1 1 1 0 1 1 1 1 1 0 1 1 0 0 1 0 0 0]\n[0 0 0 0 0 0 0 0 0 0 0 0 0 0 0 0 $.1 0 0 0 0 0 0 0 0 $.1 0 0 $.1 0 0 $.1 0 0 0 0\n    0 0 0 0 0 0 0 0 0 0 $.1 0 0 0 0 0 $.1 0 0 0 0 0 0 0 0 0 $.1 $.1 0 0 0 0 $.1 \n    $.1 0 0]\n[0 0 0 0 0 0 0 0 0 0 0 0 0 0 0 0 0 1 0 0 0 0 0 0 0 0 0 0 0 0 0 0 1 1 1 1 0 0 0 0\n    0 1 0 0 0 0 0 1 1 1 1 1 1 1 1 1 1 1 1 1 1 1 1 1 1 1 0 0 1 0 0 0]\n[0 0 0 0 0 0 0 0 0 0 0 0 0 0 0 0 0 $.1 0 0 0 0 0 0 0 0 $.1 0 0 $.1 0 0 $.1 0 0 0\n    0 0 0 0 0 0 0 0 0 0 0 $.1 0 0 0 0 0 $.1 0 0 0 0 0 0 0 0 0 $.1 $.1 0 0 0 0 \n    $.1 $.1 0]\n[0 0 0 0 0 0 0 0 0 0 0 0 0 0 0 0 0 0 1 0 1 0 1 0 0 0 0 0 0 0 0 0 0 0 0 0 0 0 0 0\n    0 1 0 0 1 0 0 0 0 0 1 0 0 0 1 1 0 0 0 0 0 0 0 1 1 0 0 0 0 1 1 0]\n[0 0 0 0 0 0 0 0 0 0 0 0 0 0 0 0 0 0 $.1 0 0 0 0 0 $.1 0 0 0 0 0 0 0 0 $.1 0 0 0\n    0 0 0 0 0 0 0 0 0 0 0 $.1 0 0 0 0 0 0 0 0 0 0 0 0 0 0 0 0 0 0 0 0 0 $.1 $.1]\n[0 0 0 0 0 0 0 0 0 0 0 0 0 0 0 0 0 0 0 1 0 1 0 1 0 0 0 0 0 0 0 0 0 0 0 0 0 0 0 0\n    1 0 0 0 1 0 1 1 1 1 1 1 0 1 1 0 0 0 0 1 0 1 0 1 1 1 1 0 0 0 0 1]\n[0 0 0 0 0 0 0 0 0 0 0 0 0 0 0 0 0 0 0 $.1 0 0 0 0 0 $.1 0 0 0 0 0 0 0 0 $.1 0 0\n    0 0 0 0 0 0 0 0 0 0 0 0 $.1 0 0 0 0 0 0 0 0 0 0 0 0 0 0 0 0 $.1 0 0 0 0 $.1]\n[0 0 0 0 0 0 0 0 0 0 0 0 0 0 0 0 0 0 0 0 $.1 0 0 0 0 0 $.1 0 0 0 0 0 0 0 0 $.1 0\n    0 0 0 0 0 0 0 0 0 0 0 0 0 $.1 0 0 0 0 0 0 0 0 0 0 0 0 0 0 0 $.1 $.1 0 0 0 0]\n[0 0 0 0 0 0 0 0 0 0 0 0 0 0 0 0 0 0 0 0 0 $.1 0 0 0 0 0 $.1 0 0 $.1 0 0 0 0 0 0\n    0 0 0 0 0 0 0 0 0 0 0 0 0 0 $.1 0 0 0 0 0 0 0 0 0 0 0 0 0 0 0 $.1 $.1 0 0 0]\n[0 0 0 0 0 0 0 0 0 0 0 0 0 0 0 0 0 0 0 0 0 0 $.1 0 0 0 0 0 $.1 0 0 $.1 0 0 0 0 0\n    0 0 0 0 0 0 0 0 0 0 0 0 0 0 0 $.1 0 0 0 0 0 0 0 0 0 0 0 0 0 0 0 $.1 $.1 0 0]\n[0 0 0 0 0 0 0 0 0 0 0 0 0 0 0 0 0 0 0 0 0 0 0 $.1 0 0 0 0 0 $.1 0 0 $.1 0 0 0 0\n    0 0 0 0 0 0 0 0 0 0 0 0 0 0 0 0 $.1 0 0 0 0 0 0 0 0 0 0 0 0 0 0 0 $.1 $.1 0]\n[0 0 0 0 0 0 0 0 0 0 0 0 0 0 0 0 0 0 0 0 0 0 0 0 1 0 1 0 1 0 0 0 0 0 0 0 0 0 0 0\n    1 1 0 0 0 1 0 0 0 1 0 1 1 0 1 1 1 0 1 1 0 0 0 0 1 1 1 0 1 1 1 0]\n[0 0 0 0 0 0 0 0 0 0 0 0 0 0 0 0 0 0 0 0 0 0 0 0 0 1 0 1 0 1 0 0 0 0 0 0 0 0 0 0\n    1 1 0 0 1 1 0 1 1 1 0 0 1 0 0 0 0 1 0 0 1 1 0 1 0 1 1 1 0 1 0 1]\n[0 0 0 0 0 0 0 0 0 0 0 0 0 0 0 0 0 0 0 0 0 0 0 0 0 0 0 0 0 0 1 0 1 0 1 0 0 0 0 0\n    1 1 0 0 0 0 1 1 0 1 1 1 1 1 1 1 1 0 1 1 1 1 1 0 1 1 0 1 1 0 0 0]\n[0 0 0 0 0 0 0 0 0 0 0 0 0 0 0 0 0 0 0 0 0 0 0 0 0 0 0 0 0 0 0 1 0 1 0 1 0 0 0 0\n    1 1 0 0 0 0 1 1 1 0 0 0 0 0 0 0 0 1 0 0 0 0 0 1 0 0 0 1 1 0 0 0]\n[0 0 0 0 0 0 0 0 0 0 0 0 0 0 0 0 0 0 0 0 0 0 0 0 0 0 0 0 0 0 0 0 0 0 0 0 1 0 0 0\n    1 0 0 0 1 1 1 1 1 1 1 0 0 1 1 1 1 0 0 1 0 1 0 1 0 0 1 0 0 0 1 0]\n[0 0 0 0 0 0 0 0 0 0 0 0 0 0 0 0 0 0 0 0 0 0 0 0 0 0 0 0 0 0 0 0 0 0 0 0 $.1 0 0\n    0 $.1 $.1 0 0 0 $.1 $.1 $.1 0 $.1 $.1 0 $.1 $.1 $.1 0 0 0 $.1 $.1 $.1 $.1 \n    $.1 0 0 0 $.1 0 0 $.1 0 0]\n[0 0 0 0 0 0 0 0 0 0 0 0 0 0 0 0 0 0 0 0 0 0 0 0 0 0 0 0 0 0 0 0 0 0 0 0 0 1 0 0\n    0 1 0 0 1 0 1 0 0 0 1 0 1 0 1 1 1 1 0 0 1 0 0 1 1 1 1 0 0 1 1 1]\n[0 0 0 0 0 0 0 0 0 0 0 0 0 0 0 0 0 0 0 0 0 0 0 0 0 0 0 0 0 0 0 0 0 0 0 0 0 $.1 0\n    0 $.1 0 0 0 $.1 $.1 $.1 0 0 $.1 $.1 $.1 0 0 $.1 0 $.1 $.1 0 $.1 0 0 $.1 $.1 \n    $.1 0 $.1 0 0 0 $.1 $.1]\n[0 0 0 0 0 0 0 0 0 0 0 0 0 0 0 0 0 0 0 0 0 0 0 0 0 0 0 0 0 0 0 0 0 0 0 0 0 0 1 0\n    1 0 0 0 1 0 1 0 1 1 1 1 0 0 1 0 0 1 1 1 1 0 0 1 1 1 0 1 0 0 0 1]\n[0 0 0 0 0 0 0 0 0 0 0 0 0 0 0 0 0 0 0 0 0 0 0 0 0 0 0 0 0 0 0 0 0 0 0 0 0 0 $.1\n    0 0 $.1 0 0 0 $.1 $.1 $.1 0 0 $.1 $.1 $.1 0 $.1 $.1 0 $.1 $.1 0 0 0 0 $.1 \n    $.1 $.1 $.1 $.1 0 0 0 $.1]\n[0 0 0 0 0 0 0 0 0 0 0 0 0 0 0 0 0 0 0 0 0 0 0 0 0 0 0 0 0 0 0 0 0 0 0 0 0 0 0 1\n    0 1 0 0 0 1 0 1 0 1 1 1 1 0 1 1 0 0 1 1 1 1 0 0 1 1 1 0 1 0 0 0]\n[0 0 0 0 0 0 0 0 0 0 0 0 0 0 0 0 0 0 0 0 0 0 0 0 0 0 0 0 0 0 0 0 0 0 0 0 0 0 0 \n    $.1 $.1 $.1 0 0 $.1 $.1 $.1 0 $.1 $.1 0 $.1 $.1 0 0 0 0 $.1 $.1 $.1 $.1 $.1 \n    0 0 0 $.1 0 0 $.1 0 0 $.1]\n[0 0 0 0 0 0 0 0 0 0 0 0 0 0 0 0 0 0 0 0 0 0 0 0 0 0 0 0 0 0 0 0 0 0 0 0 0 0 0 0\n    0 0 1 0 1 1 0 1 1 1 0 1 1 0 0 0 0 0 0 0 1 0 1 1 0 1 1 1 0 1 1 0]\n[0 0 0 0 0 0 0 0 0 0 0 0 0 0 0 0 0 0 0 0 0 0 0 0 0 0 0 0 0 0 0 0 0 0 0 0 0 0 0 0\n    0 0 $.1 0 $.1 0 $.1 0 $.1 0 $.1 0 $.1 0 $.1 $.1 $.1 $.1 $.1 $.1 $.1 0 $.1 0 \n    $.1 0 0 $.1 0 $.1 0 $.1]\n[0 0 0 0 0 0 0 0 0 0 0 0 0 0 0 0 0 0 0 0 0 0 0 0 0 0 0 0 0 0 0 0 0 0 0 0 0 0 0 0\n    0 0 0 1 1 0 1 1 1 0 1 1 0 1 0 0 0 0 0 0 0 1 1 0 1 1 1 0 1 1 0 1]\n[0 0 0 0 0 0 0 0 0 0 0 0 0 0 0 0 0 0 0 0 0 0 0 0 0 0 0 0 0 0 0 0 0 0 0 0 0 0 0 0\n    0 0 0 $.1 0 $.1 0 $.1 0 $.1 0 $.1 0 $.1 $.1 $.1 $.1 $.1 $.1 $.1 0 $.1 0 $.1 \n    0 $.1 $.1 0 $.1 0 $.1 0]\nQuantum GF(2)-Additive code over GF(4) of length 72 with 84 generators.\nLower Bound: 1, Upper Bound: 31\nConstructed 2 distinct generator matrices\nTotal Ranks:     43  45 \nRelative Ranks:  43  29 \n(4 4 4 4 4 4 4 4 4 4 4 4 4 4 4 4 4 4 4 4 4 4 4 4 4 4 4 4 4 4 4 4 4 4 4 4 4 4 2 4\n2 4 4 )\n(4 4 4 4 4 4 4 4 4 4 4 4 4 4 4 4 4 4 4 4 4 4 4 4 4 4 4 4 4 4 4 4 4 4 2 4 4 4 4 2\n2 4 2 2 2 )\nTime Taken: 0.02\nStarting search for low weight codewords... (reset timings)\nEnumerating using 1 generator at a time:\n     New codeword identified of weight 14, time 0.00\n     New codeword identified of weight 10, time 0.00\n     Impurity detected of weight 6, time 0.00\n     New codeword identified of weight 8, time 0.00\n     New codeword identified of weight 6, time 0.00\n     Discarding non-contributing rank 29 matrix\n     New Total Ranks:     43 \n     New Relative Ranks:  43 \n   Completed Matrix  1:  lower =  2, upper =  6. Elapsed: 0.00s\nTermination predicted with 5 generators at matrix 1\nEnumerating using 2 generators at a time:\n   Completed Matrix  1:  lower =  3, upper =  6. Elapsed: 0.00s\nTermination predicted with 5 generators at matrix 1\nEnumerating using 3 generators at a time:\n   Completed Matrix  1:  lower =  4, upper =  6. Elapsed: 0.00s\nTermination predicted with 5 generators at matrix 1\nEnumerating using 4 generators at a time:\n   Completed Matrix  1:  lower =  5, upper =  6. Elapsed: 0.06s\nTermination predicted with 5 generators at matrix 1\nEnumerating using 5 generators at a time:\n   Completed Matrix  1:  lower =  6, upper =  6. Elapsed: 1.55s\nComputation complete \nFinal Results: lower = 6, upper = 6,\nTotal CPU time: 1.55, real time: 1.577\n6\n\nTotal time: 1.590 seconds, Total memory usage: 32.09MB\n</t>
  </si>
  <si>
    <t>28800.032498291985</t>
  </si>
  <si>
    <t>Magma V2.28-26    Tue Jan  6 2026 16:13:09 on Marks-MacBook-Air-2 [Seed = \n990865085]\nType ? for help.  Type &lt;Ctrl&gt;-D to quit.\n[0 1 1 0 0 0 0 0 0 0 0 0 0 0 0 0 0 0 0 0 0 0 0 0 0 0 0 1 0 0 0 0 0 0 0 0 0 0 0 0\n    0 0 0 0 0 1 0 0 0 0 0 1 0 0 0 0 0 0 0 0</t>
  </si>
  <si>
    <t>28800.130500417028</t>
  </si>
  <si>
    <t>Magma V2.28-26    Wed Jan  7 2026 00:21:13 on Marks-MacBook-Air-2 [Seed = \n906164442]\nType ? for help.  Type &lt;Ctrl&gt;-D to quit.\n[0 1 1 0 0 0 0 0 0 0 0 0 0 0 0 0 0 0 1 0 0 0 0 0 0 0 0 0 0 0 0 0 0 0 0 0 0 0 0 0\n    0 0 0 0 0 0 0 0 0 0 0 0 0 0 0 0 0 1 0 0</t>
  </si>
  <si>
    <t>28800.032903624997</t>
  </si>
  <si>
    <t>Magma V2.28-26    Wed Jan  7 2026 16:33:11 on Marks-MacBook-Air-2 [Seed = \n805819340]\nType ? for help.  Type &lt;Ctrl&gt;-D to quit.\n[0 1 1 0 0 0 0 0 0 0 0 0 0 0 0 0 0 0 1 0 0 0 0 0 0 0 0 0 0 0 0 0 0 0 0 0 0 0 0 0\n    0 0 0 0 0 0 0 0 0 0 0 0 0 0 0 0 0 0 0 0</t>
  </si>
  <si>
    <t xml:space="preserve">Magma V2.28-26    Thu Jan  8 2026 00:33:11 on Marks-MacBook-Air-2 [Seed = \n1216338655]\nType ? for help.  Type &lt;Ctrl&gt;-D to quit.\n[0 0 1 0 0 0 0 1 0 0 0 0 0 0 0 0 0 0 0 0 0 0 0 0 0 0 0 0 0 0 0 0 0 0 0 0 1 0 0 0\n    0 0 0 0 0 0 0 0 0 0 0 0 0 0 0 0 0 0 0 </t>
  </si>
  <si>
    <t>method: CLISATDist</t>
  </si>
  <si>
    <t>outfile: /home/ucapmwe/dist-benchmark/results/bivariate_bicycle-CLISATDist-20251224_094242.132087_85062422.txt</t>
  </si>
  <si>
    <t>c Parsing MaxSAT file...\nc ============================[  Problem Statistics ]============================\nc |  Number of variables:           352                                         |\nc |  Number of clauses:            1193                                         |\nc ===============================================================================\nc Using SCIP solver, version 7.0.3, https://www.scipopt.org\nc scip_time = 0.000000\nc Starting SCIP solver in a separate thread (with time-limit = 0s) ...\nc Using COMiniSatPS SAT solver by Chanseok Oh (2016)\no 8\no 6\nc _x001B_[1mOptimal solution: 6_x001B_[0m\nc _______________________________________________________________________________\nc \nc restarts               : 293\nc conflicts              : 4466           (25926 /sec)\nc decisions              : 7039           (0.00 % random) (40862 /sec)\nc propagations           : 328890         (1909243 /sec)\nc conflict literals      : 77509          (17.96 % deleted)\nc =======================[ UWrMaxSat resources usage ]===========================\nc Memory used            : 151.00 MB\nc CPU time               : 0.172262 s\nc Wall clock time        : 0 s\nc OptExp Enc: Srt/BDD/Add: 18 0 0\nc _______________________________________________________________________________\nv 0000000000000000000000000000000000000000000000010000100101000010010000000000000000000000000000000000000000000000000000000000000000000000000000000000000000000000000000000000000000000000000000000000000000000000000000000000000000000000000000000000000000111111110011100010011100001100001111100000001110001111001000110100000100000100000000001000010000100100100000000000000000000000000000000000\ns OPTIMUM FOUND\n</t>
  </si>
  <si>
    <t>c Parsing MaxSAT file...\nc ============================[  Problem Statistics ]============================\nc |  Number of variables:           374                                         |\nc |  Number of clauses:            1227                                         |\nc ===============================================================================\nc Using SCIP solver, version 7.0.3, https://www.scipopt.org\nc scip_time = 0.000000\nc Starting SCIP solver in a separate thread (with time-limit = 0s) ...\nc Using COMiniSatPS SAT solver by Chanseok Oh (2016)\no 12\no 10\nc _x001B_[1mOptimal solution: 10_x001B_[0m\nc _______________________________________________________________________________\nc \nc restarts               : 1239\nc conflicts              : 165799         (8628 /sec)\nc decisions              : 213455         (0.00 % random) (11107 /sec)\nc propagations           : 18589756       (967344 /sec)\nc conflict literals      : 3926656        (28.62 % deleted)\nc =======================[ UWrMaxSat resources usage ]===========================\nc Memory used            : 151.00 MB\nc CPU time               : 19.2173 s\nc Wall clock time        : 19 s\nc OptExp Enc: Srt/BDD/Add: 47 0 0\nc _______________________________________________________________________________\nv 00000000000101000000000000000000000000011001100000000000000000001010010100000000000000000000000000000000001110001011100000000000010000000100000000000000000000000000000000010000000000000000100000001100000000000000111011100111000101100000001110000000000000000000001100000000111000010000000000001000110001010000000010110011000001000010000010010100000010000100000000000000101000010000000010100000000000000001010000001000000\ns OPTIMUM FOUND\n</t>
  </si>
  <si>
    <t>c Parsing MaxSAT file...\nc ============================[  Problem Statistics ]============================\nc |  Number of variables:           452                                         |\nc |  Number of clauses:            1485                                         |\nc ===============================================================================\nc Using SCIP solver, version 7.0.3, https://www.scipopt.org\nc scip_time = 0.000000\nc Starting SCIP solver in a separate thread (with time-limit = 0s) ...\nc Using COMiniSatPS SAT solver by Chanseok Oh (2016)\no 18\no 14\no 12\no 10\nc _x001B_[1mOptimal solution: 10_x001B_[0m\nc _______________________________________________________________________________\nc \nc restarts               : 1683\nc conflicts              : 270119         (8091 /sec)\nc decisions              : 343445         (0.00 % random) (10287 /sec)\nc propagations           : 34945626       (1046716 /sec)\nc conflict literals      : 6637985        (32.73 % deleted)\nc =======================[ UWrMaxSat resources usage ]===========================\nc Memory used            : 152.00 MB\nc CPU time               : 33.386 s\nc Wall clock time        : 34 s\nc OptExp Enc: Srt/BDD/Add: 50 0 0\nc _______________________________________________________________________________\nv 00000000000001000010000000001001000000000000010000000000000000000000100001000000000000000000000000001001000100000000000000000000000000011100000000000000010000110111111010111011000000000000100100001100100110000111000101100000100100001000000000000010001010000100001111011000000111101101000000111000000000110000000001000000000000001000010000110000001011011000000110000000000010000010001100010011000000000101011000000000000001000011111000000110000000110100001100000011001000101100101100001011001000110001100000\ns OPTIMUM FOUND\n</t>
  </si>
  <si>
    <t>c Parsing MaxSAT file...\nc ============================[  Problem Statistics ]============================\nc |  Number of variables:           662                                         |\nc |  Number of clauses:            2217                                         |\nc ===============================================================================\nc Using SCIP solver, version 7.0.3, https://www.scipopt.org\nc scip_time = 0.000000\nc Starting SCIP solver in a separate thread (with time-limit = 0s) ...\nc Using COMiniSatPS SAT solver by Chanseok Oh (2016)\no 12\nc _x001B_[1mOptimal solution: 12_x001B_[0m\nc _______________________________________________________________________________\nc \nc restarts               : 5175\nc conflicts              : 1256926        (6006 /sec)\nc decisions              : 1610878        (0.00 % random) (7697 /sec)\nc propagations           : 218747473      (1045251 /sec)\nc conflict literals      : 41149299       (37.45 % deleted)\nc =======================[ UWrMaxSat resources usage ]===========================\nc Memory used            : 238.00 MB\nc CPU time               : 209.278 s\nc Wall clock time        : 210 s\nc OptExp Enc: Srt/BDD/Add: 68 0 0\nc _______________________________________________________________________________\nv 11000000011101010000010011000000110000000000000000000000000000000000000000000000000000000000000000000000000000000000000000000000000000000000000001010001001001011001011000110100110000000100100010001110011011100001010000011010000100010001000001100010000110100011000000011000000000001110000000000000111100000001110000000011000000000000000000000000000000000000000000000000000000000000000000000000000000000000000000000000000000000000000000000010000000010000000010000000010000000011000000001100000000000000000000000000000000000000000000000000000000000000000000000000000000000000000000000000000000000000000000000000000000000000000000000000000011000000000000110000000000000000111000000000000000000001111000000000000001110000000000000011000000\ns OPTIMUM FOUND\n</t>
  </si>
  <si>
    <t>c Parsing MaxSAT file...\nc ============================[  Problem Statistics ]============================\nc |  Number of variables:          1452                                         |\nc |  Number of clauses:            4945                                         |\nc ===============================================================================\nc Using SCIP solver, version 7.0.3, https://www.scipopt.org\nc scip_time = 0.000000\nc Starting SCIP solver in a separate thread (with time-limit = 0s) ...\nc Using COMiniSatPS SAT solver by Chanseok Oh (2016)\no 46\no 18\n</t>
  </si>
  <si>
    <t>c Parsing MaxSAT file...\nc ============================[  Problem Statistics ]============================\nc |  Number of variables:          1596                                         |\nc |  Number of clauses:            5305                                         |\nc ===============================================================================\nc Using SCIP solver, version 7.0.3, https://www.scipopt.org\nc scip_time = 0.000000\nc Starting SCIP solver in a separate thread (with time-limit = 0s) ...\nc Using COMiniSatPS SAT solver by Chanseok Oh (2016)\no 90\no 48\n</t>
  </si>
  <si>
    <t>c Parsing MaxSAT file...\nc ============================[  Problem Statistics ]============================\nc |  Number of variables:          5228                                         |\nc |  Number of clauses:           18645                                         |\nc ===============================================================================\nc Using SCIP solver, version 7.0.3, https://www.scipopt.org\nc scip_time = 0.000000\nc Starting SCIP solver in a separate thread (with time-limit = 0s) ...\nc Using COMiniSatPS SAT solver by Chanseok Oh (2016)\no 112\no 86\n</t>
  </si>
  <si>
    <t>c Parsing MaxSAT file...\nc ============================[  Problem Statistics ]============================\nc |  Number of variables:           832                                         |\nc |  Number of clauses:            2681                                         |\nc ===============================================================================\nc Using SCIP solver, version 7.0.3, https://www.scipopt.org\nc scip_time = 0.000000\nc Starting SCIP solver in a separate thread (with time-limit = 0s) ...\nc Using COMiniSatPS SAT solver by Chanseok Oh (2016)\no 38\no 10\nc _x001B_[1mOptimal solution: 10_x001B_[0m\nc _______________________________________________________________________________\nc \nc restarts               : 1634\nc conflicts              : 283989         (7095 /sec)\nc decisions              : 404263         (0.00 % random) (10100 /sec)\nc propagations           : 60795832       (1518865 /sec)\nc conflict literals      : 7985056        (35.48 % deleted)\nc =======================[ UWrMaxSat resources usage ]===========================\nc Memory used            : 239.00 MB\nc CPU time               : 40.0271 s\nc Wall clock time        : 41 s\nc OptExp Enc: Srt/BDD/Add: 43 0 0\nc _______________________________________________________________________________\nv 0000000000000000000000000000000000000000000000000000000000000100000000000000000010000000000000000000000000001000000000010100000000000000000000000000000000000000000010000000000000000000000001000000000000010000000001010000000000000000000000000000000000000000000000000000000000000000000000000000000000000000000000000000000000000000000000000000000000000000000000000000000000011100000000000000000000000000100000000000100001000000000000000001111101000000000000000000100001011000000000000000000000000000000000000000000010010000000011000000000000000000001011010111010000000000000000000000000010100100001100000000000000000000000010000000000000010000000000000000000000010010000000001000000000000000010000000000000000000000000001000000000000000000000000000000000000101011000000000000000000000000000010000000000000000000001010000000000000000000000000000000000000001100100100100001000000000000000000000100000001010000000000000000000000001001000100100000\ns OPTIMUM FOUND\n</t>
  </si>
  <si>
    <t>c Parsing MaxSAT file...\nc ============================[  Problem Statistics ]============================\nc |  Number of variables:          2782                                         |\nc |  Number of clauses:            9401                                         |\nc ===============================================================================\nc Using SCIP solver, version 7.0.3, https://www.scipopt.org\nc scip_time = 0.000000\nc Starting SCIP solver in a separate thread (with time-limit = 0s) ...\nc Using COMiniSatPS SAT solver by Chanseok Oh (2016)\no 254\no 150\n</t>
  </si>
  <si>
    <t>c Parsing MaxSAT file...\nc ============================[  Problem Statistics ]============================\nc |  Number of variables:          3344                                         |\nc |  Number of clauses:           10785                                         |\nc ===============================================================================\nc Using SCIP solver, version 7.0.3, https://www.scipopt.org\nc scip_time = 0.000000\nc Starting SCIP solver in a separate thread (with time-limit = 0s) ...\nc Using COMiniSatPS SAT solver by Chanseok Oh (2016)\no 416\no 218\n</t>
  </si>
  <si>
    <t>c Parsing MaxSAT file...\nc ============================[  Problem Statistics ]============================\nc |  Number of variables:          2566                                         |\nc |  Number of clauses:            8321                                         |\nc ===============================================================================\nc Using SCIP solver, version 7.0.3, https://www.scipopt.org\nc scip_time = 0.000000\nc Starting SCIP solver in a separate thread (with time-limit = 0s) ...\nc Using COMiniSatPS SAT solver by Chanseok Oh (2016)\no 282\no 164\n</t>
  </si>
  <si>
    <t>c Parsing MaxSAT file...\nc ============================[  Problem Statistics ]============================\nc |  Number of variables:          3820                                         |\nc |  Number of clauses:           12041                                         |\nc ===============================================================================\nc Using SCIP solver, version 7.0.3, https://www.scipopt.org\nc scip_time = 0.000000\nc Starting SCIP solver in a separate thread (with time-limit = 0s) ...\nc Using COMiniSatPS SAT solver by Chanseok Oh (2016)\no 464\no 280\n</t>
  </si>
  <si>
    <t>c Parsing MaxSAT file...\nc ============================[  Problem Statistics ]============================\nc |  Number of variables:          4604                                         |\nc |  Number of clauses:           14529                                         |\nc ===============================================================================\nc Using SCIP solver, version 7.0.3, https://www.scipopt.org\nc scip_time = 0.000000\nc Starting SCIP solver in a separate thread (with time-limit = 0s) ...\nc Using COMiniSatPS SAT solver by Chanseok Oh (2016)\no 588\no 326\n</t>
  </si>
  <si>
    <t>c Parsing MaxSAT file...\nc ============================[  Problem Statistics ]============================\nc |  Number of variables:          4436                                         |\nc |  Number of clauses:           14289                                         |\nc ===============================================================================\nc Using SCIP solver, version 7.0.3, https://www.scipopt.org\nc scip_time = 0.000000\nc Starting SCIP solver in a separate thread (with time-limit = 0s) ...\nc Using COMiniSatPS SAT solver by Chanseok Oh (2016)\no 548\no 296\n</t>
  </si>
  <si>
    <t>c Parsing MaxSAT file...\nc ============================[  Problem Statistics ]============================\nc |  Number of variables:          5964                                         |\nc |  Number of clauses:           18673                                         |\nc ===============================================================================\nc Using SCIP solver, version 7.0.3, https://www.scipopt.org\nc scip_time = 0.000000\nc Starting SCIP solver in a separate thread (with time-limit = 0s) ...\nc Using COMiniSatPS SAT solver by Chanseok Oh (2016)\no 714\no 422\n</t>
  </si>
  <si>
    <t>c Parsing MaxSAT file...\nc ============================[  Problem Statistics ]============================\nc |  Number of variables:          8108                                         |\nc |  Number of clauses:           26385                                         |\nc ===============================================================================\nc Using SCIP solver, version 7.0.3, https://www.scipopt.org\nc scip_time = 0.000000\nc Starting SCIP solver in a separate thread (with time-limit = 0s) ...\nc Using COMiniSatPS SAT solver by Chanseok Oh (2016)\no 494\no 274\n</t>
  </si>
  <si>
    <t>c Parsing MaxSAT file...\nc ============================[  Problem Statistics ]============================\nc |  Number of variables:          9672                                         |\nc |  Number of clauses:           32209                                         |\nc ===============================================================================\nc Using SCIP solver, version 7.0.3, https://www.scipopt.org\nc scip_time = 0.000000\nc Starting SCIP solver in a separate thread (with time-limit = 0s) ...\nc Using COMiniSatPS SAT solver by Chanseok Oh (2016)\no 1030\no 540\n</t>
  </si>
  <si>
    <t>c Parsing MaxSAT file...\nc ============================[  Problem Statistics ]============================\nc |  Number of variables:         10008                                         |\nc |  Number of clauses:           32473                                         |\nc ===============================================================================\nc Using SCIP solver, version 7.0.3, https://www.scipopt.org\nc scip_time = 0.000000\nc Starting SCIP solver in a separate thread (with time-limit = 0s) ...\nc Using COMiniSatPS SAT solver by Chanseok Oh (2016)\no 542\no 270\n</t>
  </si>
  <si>
    <t>c Parsing MaxSAT file...\nc ============================[  Problem Statistics ]============================\nc |  Number of variables:         10428                                         |\nc |  Number of clauses:           33937                                         |\nc ===============================================================================\nc Using SCIP solver, version 7.0.3, https://www.scipopt.org\nc scip_time = 0.000000\nc Starting SCIP solver in a separate thread (with time-limit = 0s) ...\nc Using COMiniSatPS SAT solver by Chanseok Oh (2016)\no 1284\no 680\n</t>
  </si>
  <si>
    <t>c Parsing MaxSAT file...\nc ============================[  Problem Statistics ]============================\nc |  Number of variables:         11296                                         |\nc |  Number of clauses:           36113                                         |\nc ===============================================================================\nc Using SCIP solver, version 7.0.3, https://www.scipopt.org\nc scip_time = 0.000000\nc Starting SCIP solver in a separate thread (with time-limit = 0s) ...\nc Using COMiniSatPS SAT solver by Chanseok Oh (2016)\no 1430\no 858\n</t>
  </si>
  <si>
    <t>method: ColourCodeDistStim</t>
  </si>
  <si>
    <t>outfile: /home/ucapmwe/dist-benchmark/results/bivariate_bicycle-ColourCodeDistStim-20260105_135845.024019_85062422.txt</t>
  </si>
  <si>
    <t>dont_explore_detection_event_sets_with_size_above=3,dont_explore_edges_with_degree_above=36; no lo found</t>
  </si>
  <si>
    <t>dont_explore_detection_event_sets_with_size_above=3,dont_explore_edges_with_degree_above=45; no lo found</t>
  </si>
  <si>
    <t>dont_explore_detection_event_sets_with_size_above=3,dont_explore_edges_with_degree_above=54; no lo found</t>
  </si>
  <si>
    <t>dont_explore_detection_event_sets_with_size_above=3,dont_explore_edges_with_degree_above=72; no lo found</t>
  </si>
  <si>
    <t>dont_explore_detection_event_sets_with_size_above=3,dont_explore_edges_with_degree_above=144; no lo found</t>
  </si>
  <si>
    <t>dont_explore_detection_event_sets_with_size_above=3,dont_explore_edges_with_degree_above=180; no lo found</t>
  </si>
  <si>
    <t>dont_explore_detection_event_sets_with_size_above=3,dont_explore_edges_with_degree_above=378; no lo found</t>
  </si>
  <si>
    <t>dont_explore_detection_event_sets_with_size_above=3,dont_explore_edges_with_degree_above=108; Found w:12</t>
  </si>
  <si>
    <t>dont_explore_detection_event_sets_with_size_above=3,dont_explore_edges_with_degree_above=288; no lo found</t>
  </si>
  <si>
    <t>dont_explore_detection_event_sets_with_size_above=3,dont_explore_edges_with_degree_above=432; no lo found</t>
  </si>
  <si>
    <t>dont_explore_detection_event_sets_with_size_above=3,dont_explore_edges_with_degree_above=324; no lo found</t>
  </si>
  <si>
    <t>dont_explore_detection_event_sets_with_size_above=3,dont_explore_edges_with_degree_above=540; no lo found</t>
  </si>
  <si>
    <t>dont_explore_detection_event_sets_with_size_above=3,dont_explore_edges_with_degree_above=648; no lo found</t>
  </si>
  <si>
    <t>dont_explore_detection_event_sets_with_size_above=3,dont_explore_edges_with_degree_above=576; no lo found</t>
  </si>
  <si>
    <t>dont_explore_detection_event_sets_with_size_above=3,dont_explore_edges_with_degree_above=864; no lo found</t>
  </si>
  <si>
    <t>dont_explore_detection_event_sets_with_size_above=3,dont_explore_edges_with_degree_above=1008; no lo found</t>
  </si>
  <si>
    <t>dont_explore_detection_event_sets_with_size_above=3,dont_explore_edges_with_degree_above=1080; no lo found</t>
  </si>
  <si>
    <t>dont_explore_detection_event_sets_with_size_above=3,dont_explore_edges_with_degree_above=1260; no lo found</t>
  </si>
  <si>
    <t>dont_explore_detection_event_sets_with_size_above=3,dont_explore_edges_with_degree_above=1296; no lo found</t>
  </si>
  <si>
    <t>dont_explore_detection_event_sets_with_size_above=3,dont_explore_edges_with_degree_above=1512; no lo found</t>
  </si>
  <si>
    <t>method: decoderDist</t>
  </si>
  <si>
    <t>decoder: bposd</t>
  </si>
  <si>
    <t>bp_method: product_sum</t>
  </si>
  <si>
    <t>bp_schedule: parallel</t>
  </si>
  <si>
    <t>bp_max_iter: 100</t>
  </si>
  <si>
    <t>osd_method: OSD_CS</t>
  </si>
  <si>
    <t>osd_order: 1</t>
  </si>
  <si>
    <t>outfile: /home/ucapmwe/dist-benchmark/results/bivariate_bicycle-decoderDist-bposd-20251221_195558.685059_85062422.txt</t>
  </si>
  <si>
    <t>Trial:0 w:6; pErr:0.0000, weight 6 CW found:409</t>
  </si>
  <si>
    <t>Trial:0 w:10; pErr:0.0006, weight 10 CW found:1336</t>
  </si>
  <si>
    <t>Trial:0 w:12; Trial:6 w:10; pErr:0.0140, weight 10 CW found:2343</t>
  </si>
  <si>
    <t>Trial:0 w:12; pErr:0.1001, weight 12 CW found:4344</t>
  </si>
  <si>
    <t>Trial:0 w:26; Trial:2 w:24; Trial:9 w:22; Trial:48 w:18; pErr:0.3348, weight 18 CW found:9094</t>
  </si>
  <si>
    <t>Trial:0 w:48; Trial:1 w:46; Trial:2 w:38; Trial:5 w:32; Trial:58 w:30; Trial:67 w:28; Trial:117 w:26; Trial:553 w:24; pErr:0.3677, weight 24 CW found:9443</t>
  </si>
  <si>
    <t>Trial:0 w:82; Trial:4 w:80; Trial:10 w:70; Trial:41 w:52; Trial:683 w:50; Trial:2233 w:48; Trial:6004 w:42; pErr:0.3679, weight 42 CW found:3996</t>
  </si>
  <si>
    <t>Trial:0 w:10; pErr:0.0866, weight 10 CW found:4087</t>
  </si>
  <si>
    <t>Trial:0 w:74; Trial:1 w:70; Trial:4 w:58; Trial:7 w:46; Trial:9 w:38; Trial:66 w:34; Trial:76 w:32; Trial:104 w:30; Trial:400 w:24; pErr:0.3679, weight 24 CW found:9600</t>
  </si>
  <si>
    <t>Trial:0 w:148; Trial:1 w:128; Trial:3 w:104; Trial:40 w:88; Trial:226 w:66; Trial:2022 w:46; pErr:0.3679, weight 46 CW found:7978</t>
  </si>
  <si>
    <t>Trial:0 w:94; Trial:2 w:90; Trial:14 w:88; Trial:16 w:76; Trial:37 w:74; Trial:56 w:62; Trial:163 w:50; Trial:277 w:44; Trial:4251 w:42; Trial:4726 w:38; pErr:0.3679, weight 38 CW found:5274</t>
  </si>
  <si>
    <t>Trial:0 w:172; Trial:1 w:162; Trial:2 w:158; Trial:4 w:136; Trial:35 w:126; Trial:281 w:122; Trial:420 w:116; Trial:616 w:108; Trial:817 w:104; Trial:3028 w:102; Trial:3553 w:100; Trial:9982 w:86; pErr:0.3679, weight 86 CW found:18</t>
  </si>
  <si>
    <t>Trial:0 w:210; Trial:5 w:202; Trial:9 w:200; Trial:18 w:194; Trial:27 w:192; Trial:29 w:182; Trial:42 w:180; Trial:79 w:174; Trial:135 w:172; Trial:198 w:130; pErr:0.3679, weight 130 CW found:9802</t>
  </si>
  <si>
    <t>Trial:0 w:160; Trial:42 w:150; Trial:69 w:146; Trial:166 w:138; Trial:286 w:136; Trial:545 w:106; Trial:624 w:76; pErr:0.3679, weight 76 CW found:9376</t>
  </si>
  <si>
    <t>Trial:0 w:270; Trial:1 w:250; Trial:14 w:222; Trial:1502 w:216; Trial:5370 w:208; Trial:5681 w:158; pErr:0.3679, weight 158 CW found:4319</t>
  </si>
  <si>
    <t>Trial:0 w:154; Trial:1 w:142; Trial:2 w:134; Trial:6 w:128; Trial:19 w:124; Trial:33 w:120; Trial:75 w:96; Trial:585 w:92; Trial:926 w:78; Trial:1134 w:76; Trial:4521 w:74; Trial:5410 w:72; pErr:0.3679, weight 72 CW found:4590</t>
  </si>
  <si>
    <t>Trial:0 w:344; Trial:14 w:336; Trial:22 w:328; Trial:30 w:320; Trial:83 w:304; Trial:228 w:298; Trial:251 w:282; Trial:413 w:280; Trial:826 w:272; Trial:2378 w:268; Trial:3924 w:266; Trial:5045 w:226; Trial:6587 w:158; pErr:0.3679, weight 158 CW found:3413</t>
  </si>
  <si>
    <t>Trial:0 w:200; Trial:2 w:178; Trial:3 w:158; Trial:7 w:126; Trial:8 w:104; Trial:19 w:100; Trial:43 w:92; Trial:160 w:86; Trial:409 w:84; Trial:560 w:82; Trial:2439 w:68; pErr:0.3679, weight 68 CW found:7561</t>
  </si>
  <si>
    <t>Trial:0 w:208; Trial:1 w:206; Trial:2 w:190; Trial:5 w:188; Trial:13 w:172; Trial:14 w:148; Trial:52 w:110; Trial:290 w:102; Trial:681 w:92; Trial:3180 w:82; Trial:3981 w:66; Trial:8407 w:62; pErr:0.3679, weight 62 CW found:1593</t>
  </si>
  <si>
    <t>Trial:0 w:498; Trial:7 w:472; Trial:9 w:372; Trial:17 w:254; Trial:116 w:190; Trial:671 w:152; pErr:0.3679, weight 152 CW found:9329</t>
  </si>
  <si>
    <t>bp_max_iter: 10</t>
  </si>
  <si>
    <t>osd_order: 8</t>
  </si>
  <si>
    <t>outfile: /home/ucapmwe/dist-benchmark/results/bivariate_bicycle-decoderDist-bposd-20251231_114522.400375_85062422.txt</t>
  </si>
  <si>
    <t>Trial:0 w:6; pErr:0.0000, weight 6 CW found:186</t>
  </si>
  <si>
    <t>Trial:0 w:10; pErr:0.0000, weight 10 CW found:194</t>
  </si>
  <si>
    <t>Trial:0 w:12; Trial:6 w:10; pErr:0.0000, weight 10 CW found:593</t>
  </si>
  <si>
    <t>Trial:0 w:12; pErr:0.0017, weight 12 CW found:1575</t>
  </si>
  <si>
    <t>Trial:0 w:28; Trial:4 w:26; Trial:10 w:24; Trial:23 w:18; pErr:0.0726, weight 18 CW found:3803</t>
  </si>
  <si>
    <t>Trial:0 w:32; Trial:5 w:30; Trial:7 w:24; pErr:0.1784, weight 24 CW found:5797</t>
  </si>
  <si>
    <t>Trial:0 w:108; Trial:1 w:104; Trial:2 w:48; Trial:239 w:46; Trial:241 w:44; Trial:845 w:42; Trial:4829 w:40; pErr:0.3629, weight 40 CW found:5102</t>
  </si>
  <si>
    <t>Trial:0 w:12; Trial:1 w:10; pErr:0.0051, weight 10 CW found:1897</t>
  </si>
  <si>
    <t>Trial:0 w:88; Trial:1 w:74; Trial:6 w:36; Trial:16 w:28; Trial:105 w:26; Trial:2252 w:24; pErr:0.2111, weight 24 CW found:4982</t>
  </si>
  <si>
    <t>Trial:0 w:102; Trial:2 w:58; Trial:6863 w:54; pErr:0.1540, weight 54 CW found:1677</t>
  </si>
  <si>
    <t>Trial:0 w:76; Trial:9 w:68; Trial:161 w:62; Trial:172 w:48; Trial:176 w:42; Trial:8872 w:36; pErr:0.3062, weight 36 CW found:953</t>
  </si>
  <si>
    <t>Trial:0 w:164; Trial:2 w:162; Trial:5 w:156; Trial:11 w:152; Trial:54 w:108; Trial:653 w:104; Trial:1238 w:102; Trial:2718 w:90; pErr:0.3679, weight 90 CW found:7282</t>
  </si>
  <si>
    <t>Trial:0 w:222; Trial:1 w:198; Trial:2 w:116; pErr:0.2660, weight 116 CW found:7550</t>
  </si>
  <si>
    <t>Trial:0 w:184; Trial:1 w:172; Trial:14 w:168; Trial:20 w:122; Trial:455 w:108; Trial:739 w:100; Trial:5647 w:66; pErr:0.3679, weight 66 CW found:4353</t>
  </si>
  <si>
    <t>Trial:0 w:304; Trial:1 w:278; Trial:3 w:274; Trial:7 w:272; Trial:18 w:266; Trial:43 w:258; Trial:57 w:256; Trial:125 w:252; Trial:143 w:248; Trial:183 w:242; Trial:587 w:240; Trial:625 w:238; Trial:728 w:230; Trial:1687 w:220; Trial:1751 w:214; Trial:6381 w:202; Trial:8935 w:176; pErr:0.3679, weight 176 CW found:1065</t>
  </si>
  <si>
    <t>Trial:0 w:144; Trial:1 w:118; Trial:9 w:86; Trial:217 w:80; Trial:858 w:74; Trial:4772 w:62; pErr:0.3608, weight 62 CW found:5128</t>
  </si>
  <si>
    <t>Trial:0 w:336; Trial:4 w:320; Trial:15 w:288; Trial:251 w:284; Trial:1048 w:270; Trial:1755 w:254; Trial:4301 w:230; Trial:5536 w:172; pErr:0.3679, weight 172 CW found:4464</t>
  </si>
  <si>
    <t>Trial:0 w:186; Trial:1 w:110; Trial:25 w:106; Trial:40 w:104; Trial:118 w:94; Trial:303 w:90; Trial:707 w:80; pErr:0.3679, weight 80 CW found:9293</t>
  </si>
  <si>
    <t>Trial:0 w:198; Trial:3 w:190; Trial:4 w:176; Trial:24 w:106; Trial:383 w:98; Trial:1436 w:64; pErr:0.3655, weight 64 CW found:8508</t>
  </si>
  <si>
    <t>Trial:0 w:494; Trial:3 w:492; Trial:6 w:490; Trial:8 w:484; Trial:13 w:288; Trial:63 w:252; Trial:72 w:244; Trial:529 w:236; Trial:1146 w:224; Trial:1230 w:210; Trial:1533 w:198; Trial:1780 w:196; Trial:2373 w:180; Trial:5529 w:176; pErr:0.3679, weight 176 CW found:4471</t>
  </si>
  <si>
    <t>method: dist_m4ri_CC</t>
  </si>
  <si>
    <t>outfile: /home/ucapmwe/dist-benchmark/results/bivariate_bicycle-dist_m4ri_CC-20251221_142006.741295_85062422.txt</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</si>
  <si>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wmax=6 found cw of weight 6: [1 2 3 4 21 23]\n6\n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</si>
  <si>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2 18 27 28 29 45 60 75 81]\n10\n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</si>
  <si>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wmax=10 found cw of weight 10: [1 2 16 23 32 40 58 81 90 97]\n10\n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</si>
  <si>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wmax=12 found cw of weight 12: [1 2 3 4 21 23 37 38 39 40 57 59]\n12\n</t>
  </si>
  <si>
    <t># cluster algorithm failed to find a codeword up to wmax=1\n; # cluster algorithm failed to find a codeword up to wmax=2\n; # cluster algorithm failed to find a codeword up to wmax=3\n; # cluster algorithm failed to find a codeword up to wmax=4\n; # cluster algorithm failed to find a codeword up to wmax=5\n; # cluster algorithm failed to find a codeword up to wmax=6\n; # cluster algorithm failed to find a codeword up to wmax=7\n; # cluster algorithm failed to find a codeword up to wmax=8\n; # cluster algorithm failed to find a codeword up to wmax=9\n; # cluster algorithm failed to find a codeword up to wmax=10\n; # cluster algorithm failed to find a codeword up to wmax=11\n; # cluster algorithm failed to find a codeword up to wmax=12\n; # cluster algorithm failed to find a codeword up to wmax=13\n; # cluster algorithm failed to find a codeword up to wmax=14\n; # cluster algorithm failed to find a codeword up to wmax=15\n; # cluster algorithm failed to find a codeword up to wmax=16\n; # cluster algorithm failed to find a codeword up to wmax=17\n; # wmax=18 found cw of weight 18: [1 3 4 5 6 8 10 11 38 46 72 75 79 80 108 114 116 118]\n18\n</t>
  </si>
  <si>
    <t>CCstart: -1</t>
  </si>
  <si>
    <t>outfile: /home/ucapmwe/dist-benchmark/results/bivariate_bicycle-dist_m4ri_CC-20260107_140325.360612_85062422.txt</t>
  </si>
  <si>
    <t># wmax=99 found cw of weight 6: [0 3 4 5 19 23]\n6\n</t>
  </si>
  <si>
    <t># wmax=99 found cw of weight 10: [0 1 2 18 19 38 50 56 65 80]\n10\n</t>
  </si>
  <si>
    <t># wmax=99 found cw of weight 10: [0 5 14 21 30 38 56 79 94 101]\n10\n</t>
  </si>
  <si>
    <t># wmax=99 found cw of weight 12: [0 1 2 3 4 5 55 58 121 124 127 130]\n12\n</t>
  </si>
  <si>
    <t>method: dist_m4ri_RW</t>
  </si>
  <si>
    <t>outfile: /home/ucapmwe/dist-benchmark/results/bivariate_bicycle-dist_m4ri_RW-20251221_140932.787698_85062422.txt</t>
  </si>
  <si>
    <t># step=0 row=0 minW=73 found cw of W=10: [1 4 21 24 38 50 56 62 65 71]\n# step=0 row=6 minW=10 found cw of W=8: [4 8 9 24 39 45 50 65]\n# step=0 row=26 minW=8 found cw of W=6: [40 43 58 64 67 70]\n# round=1000 of 10000 minW=6\n# round=2000 of 10000 minW=6\n# round=3000 of 10000 minW=6\n# round=4000 of 10000 minW=6\n# round=5000 of 10000 minW=6\n# round=6000 of 10000 minW=6\n# round=7000 of 10000 minW=6\n# round=8000 of 10000 minW=6\n# round=9000 of 10000 minW=6\n# round=10000 of 10000 minW=6\nRW algorithm upper bound for the distance d=6\n</t>
  </si>
  <si>
    <t># step=0 row=0 minW=91 found cw of W=18: [1 2 11 16 28 29 30 38 39 43 50 61 69 71 77 83 85 90]\n# step=0 row=1 minW=18 found cw of W=12: [1 3 4 19 27 28 30 49 51 70 71 88]\n# step=0 row=37 minW=12 found cw of W=10: [1 30 40 41 47 50 65 71 79 85]\n#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</si>
  <si>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minW=109 found cw of W=20: [1 6 14 15 17 18 28 31 38 53 54 62 66 68 70 74 75 77 83 84]\n# step=0 row=1 minW=20 found cw of W=16: [3 28 32 33 50 61 66 68 72 74 75 78 81 83 84 96]\n# step=0 row=17 minW=16 found cw of W=14: [8 9 13 14 15 30 35 46 51 52 62 68 77 80]\n# step=0 row=19 minW=14 found cw of W=12: [14 15 17 18 32 33 35 36 50 51 53 54]\n# step=21 row=49 minW=12 found cw of W=10: [10 17 26 34 49 50 75 90 91 106]\n#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</si>
  <si>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minW=145 found cw of W=26: [1 6 10 12 18 25 26 32 37 40 43 46 51 56 62 82 84 94 95 98 106 117 120 125 133 139]\n# step=0 row=7 minW=26 found cw of W=16: [6 10 13 17 18 33 49 50 56 62 73 78 83 87 122 133]\n# step=1 row=10 minW=16 found cw of W=12: [20 28 34 35 36 86 92 94 98 102 104 107]\n# round=1000 of 10000 minW=12\n# round=2000 of 10000 minW=12\n# round=3000 of 10000 minW=12\n# round=4000 of 10000 minW=12\n# round=5000 of 10000 minW=12\n# round=6000 of 10000 minW=12\n# round=7000 of 10000 minW=12\n# round=8000 of 10000 minW=12\n# round=9000 of 10000 minW=12\n# round=10000 of 10000 minW=12\nRW algorithm upper bound for the distance d=12\n</t>
  </si>
  <si>
    <t># step=0 row=0 minW=289 found cw of W=64: [1 3 5 6 12 15 21 24 31 35 36 38 45 53 56 58 59 63 67 72 74 80 81 84 86 88 111 115 119 122 150 151 152 155 169 170 174 177 186 187 189 191 196 207 210 213 218 219 224 226 229 230 234 243 250 259 261 263 264 273 275 279 285 287]\n# step=0 row=3 minW=64 found cw of W=58: [5 7 11 12 20 24 28 48 58 59 62 66 69 71 76 77 80 81 82 84 86 90 96 102 115 117 118 124 128 130 150 155 156 160 164 186 191 207 208 213 216 218 222 224 229 234 236 239 243 250 259 263 264 268 278 279 285 287]\n# step=0 row=6 minW=58 found cw of W=52: [13 16 24 25 39 41 53 58 59 66 71 73 76 80 81 82 83 84 90 96 112 118 124 128 130 150 155 156 164 173 177 182 186 208 213 216 222 224 226 229 236 238 239 250 259 263 275 278 279 280 285 287]\n# step=0 row=7 minW=52 found cw of W=44: [11 14 15 16 18 21 25 33 41 53 56 67 72 73 80 81 82 88 90 110 111 116 119 122 124 130 160 173 177 184 191 192 196 207 208 226 229 261 263 273 275 280 283 288]\n# step=0 row=9 minW=44 found cw of W=42: [3 5 6 11 12 19 31 35 36 56 59 76 77 81 88 90 115 117 118 122 124 150 151 152 156 160 164 169 179 188 192 196 201 213 222 261 263 273 275 278 283 285]\n# step=0 row=46 minW=42 found cw of W=40: [3 6 11 28 31 33 35 36 41 53 56 59 67 72 77 81 82 97 110 111 116 118 138 151 152 156 160 164 169 179 188 196 207 208 213 222 226 275 283 288]\n# step=1 row=19 minW=40 found cw of W=38: [2 7 9 11 28 32 33 49 53 54 61 66 69 71 77 79 83 84 87 89 91 94 96 117 121 160 165 170 173 182 199 209 216 222 223 252 273 287]\n# step=1 row=60 minW=38 found cw of W=34: [13 32 38 54 66 67 84 97 103 104 108 121 128 137 142 144 152 161 170 191 193 199 205 212 217 224 226 227 232 235 244 248 275 287]\n# step=1 row=111 minW=34 found cw of W=30: [7 29 36 50 61 63 65 69 77 83 89 91 94 96 103 112 117 161 168 189 193 205 209 210 215 217 222 227 248 264]\n# step=3 row=134 minW=30 found cw of W=26: [2 4 15 20 50 68 80 91 96 123 132 136 137 147 154 165 167 170 179 191 229 234 268 269 278 281]\n# step=32 row=55 minW=26 found cw of W=22: [24 39 52 53 55 58 60 86 101 108 127 132 137 154 159 175 184 212 225 228 237 246]\n# step=79 row=47 minW=22 found cw of W=20: [6 40 74 77 81 111 113 116 118 120 167 188 200 212 221 224 236 257 269 278]\n# step=239 row=91 minW=20 found cw of W=18: [145 148 151 160 169 178 190 199 220 232 241 244 256 265 268 274 280 286]\n# round=1000 of 10000 minW=18\n# round=2000 of 10000 minW=18\n# round=3000 of 10000 minW=18\n# round=4000 of 10000 minW=18\n# round=5000 of 10000 minW=18\n# round=6000 of 10000 minW=18\n# round=7000 of 10000 minW=18\n# round=8000 of 10000 minW=18\n# round=9000 of 10000 minW=18\n# round=10000 of 10000 minW=18\nRW algorithm upper bound for the distance d=18\n</t>
  </si>
  <si>
    <t># step=0 row=0 minW=361 found cw of W=76: [2 4 6 9 13 16 17 18 21 37 41 42 52 59 68 73 86 92 93 96 113 124 137 139 144 149 151 152 153 154 156 157 165 172 174 175 176 177 180 187 192 201 213 214 215 219 220 221 228 233 248 250 252 280 282 286 289 295 297 301 304 307 311 316 320 322 324 330 332 336 337 339 340 344 350 354]\n# step=0 row=1 minW=76 found cw of W=56: [5 6 16 17 18 26 31 37 39 70 78 79 84 92 122 124 126 136 137 139 145 153 156 157 166 172 177 178 191 192 193 201 226 228 234 252 254 260 268 281 282 286 293 304 305 307 314 317 319 320 325 327 339 341 344 347]\n# step=0 row=22 minW=56 found cw of W=52: [13 18 39 43 48 52 60 70 92 96 99 102 113 118 122 127 144 145 149 153 155 165 166 172 187 201 214 219 223 233 246 250 254 260 280 282 293 295 299 300 301 304 307 308 314 319 320 330 334 336 340 354]\n# step=0 row=26 minW=52 found cw of W=48: [16 17 21 47 52 60 73 78 96 99 112 113 118 126 127 139 144 145 149 151 152 153 154 156 175 180 193 201 219 220 223 226 228 233 246 250 252 254 260 268 274 281 282 299 300 304 336 350]\n# step=0 row=40 minW=48 found cw of W=46: [16 17 21 52 60 68 73 74 78 96 99 112 113 118 126 127 139 144 145 149 151 152 153 154 156 175 180 193 201 219 220 226 233 246 250 252 254 260 268 274 281 282 299 300 304 336]\n# step=0 row=102 minW=46 found cw of W=42: [18 31 39 52 59 60 64 70 92 105 113 118 124 145 155 156 165 166 176 177 185 206 213 220 239 245 251 252 260 286 293 299 300 307 313 314 332 334 336 340 341 347]\n# step=0 row=127 minW=42 found cw of W=28: [13 18 52 78 105 112 118 145 165 172 187 193 214 226 233 247 260 280 286 295 299 300 301 313 320 334 340 354]\n# step=7 row=146 minW=28 found cw of W=26: [7 18 29 30 66 77 83 103 104 113 114 134 151 188 193 194 200 210 215 220 226 231 232 253 263 294]\n# step=100 row=171 minW=26 found cw of W=24: [7 8 10 11 12 49 54 80 108 134 138 175 229 256 263 277 290 310 323 331 337 344 350 356]\n#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</si>
  <si>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minW=757 found cw of W=164: [1 3 11 12 19 20 33 34 41 44 46 50 51 54 60 65 68 77 84 87 88 89 92 95 99 109 110 112 114 119 127 128 133 135 143 156 162 165 168 183 197 198 206 225 227 228 232 233 234 236 240 245 255 256 261 268 272 273 281 284 302 307 312 313 316 326 333 340 347 354 357 359 363 366 378 379 389 392 393 396 400 402 407 408 411 419 421 432 433 436 438 439 441 451 453 457 460 462 467 472 474 476 482 486 487 493 503 505 506 509 513 516 518 526 529 534 540 543 545 546 549 557 560 564 596 599 601 606 611 614 618 620 624 627 634 635 636 639 647 651 656 658 659 661 662 663 678 681 686 695 696 702 703 707 713 726 727 729 730 732 740 747 748 753]\n# step=0 row=2 minW=164 found cw of W=150: [2 6 12 13 16 18 26 27 34 41 44 46 56 60 63 65 69 70 71 77 84 87 88 99 106 109 112 114 119 128 133 135 143 155 165 168 179 183 188 192 197 225 227 233 236 243 245 247 256 259 261 268 270 274 279 287 289 295 301 302 307 313 340 344 345 347 350 353 356 360 363 370 380 389 391 396 399 400 402 407 408 414 421 433 438 442 443 444 448 451 453 457 466 467 474 487 493 497 502 506 509 513 515 516 518 534 538 545 549 551 556 562 567 570 588 592 596 599 600 606 611 624 629 630 634 635 648 658 660 663 678 682 683 686 691 694 697 699 702 718 727 729 732 741 743 747 748 750 751 753]\n# step=0 row=13 minW=150 found cw of W=132: [8 12 16 24 26 27 31 33 34 39 46 47 54 64 65 66 69 70 71 87 88 92 128 132 133 135 138 155 156 170 179 183 192 194 197 198 218 221 225 234 236 240 243 245 247 255 259 261 268 269 270 272 285 287 289 295 296 301 307 350 353 356 358 359 360 363 366 373 390 396 407 408 421 423 438 439 442 443 444 453 466 476 499 502 503 506 509 515 516 521 528 529 543 551 552 556 557 560 564 571 588 592 593 600 611 621 630 639 648 651 656 660 663 670 674 682 691 694 695 697 699 701 702 707 711 722 729 735 743 747 748 753]\n# step=0 row=25 minW=132 found cw of W=126: [7 8 12 15 18 19 29 41 50 51 56 60 61 63 64 70 72 88 89 92 94 95 99 106 109 127 132 133 138 140 147 165 168 170 179 188 192 198 218 221 225 227 233 234 236 243 247 255 256 272 274 279 285 287 296 301 302 307 313 344 356 358 363 366 370 393 396 399 400 402 411 421 432 433 437 448 450 462 474 477 486 490 493 499 505 516 518 521 526 534 538 540 543 546 549 552 562 564 567 571 593 596 599 601 606 624 629 630 634 636 639 651 656 660 673 674 678 686 695 701 726 727 735 740 747 748]\n# step=0 row=36 minW=126 found cw of W=116: [3 18 19 20 26 31 41 46 47 51 53 54 56 60 66 77 82 84 86 87 88 95 97 109 110 112 119 121 130 133 141 147 165 168 181 218 233 234 240 248 256 261 269 272 279 302 305 313 326 333 347 360 370 389 390 402 419 432 433 436 440 443 447 451 453 460 462 474 476 484 486 487 490 493 497 503 506 509 515 518 521 526 528 545 549 557 559 567 583 599 601 606 614 621 632 634 635 651 656 658 683 691 694 699 707 718 719 722 727 732 735 740 741 743 748 753]\n# step=0 row=183 minW=116 found cw of W=102: [2 5 11 12 13 16 17 18 20 54 56 63 64 71 88 89 112 132 133 140 147 168 170 179 192 194 218 221 225 228 232 233 236 247 256 269 274 279 296 301 302 339 342 344 347 354 356 358 379 380 391 399 421 432 444 450 462 467 476 490 497 499 503 516 518 521 534 540 545 552 557 562 567 583 593 596 599 601 606 624 627 629 630 632 634 635 651 663 674 678 683 686 699 701 707 718 727 729 735 741 748 750]\n# step=1 row=157 minW=102 found cw of W=96: [18 36 44 64 98 99 101 103 106 118 126 140 145 156 173 188 196 209 219 227 228 231 234 242 248 255 260 264 266 269 272 274 275 276 283 286 297 298 301 308 312 313 319 320 323 324 325 332 334 336 337 348 358 359 378 391 393 451 458 476 479 483 496 497 507 531 536 538 545 546 558 562 569 580 586 587 589 605 607 609 620 631 633 644 648 652 658 660 669 677 681 682 690 701 703 721]\n# step=2 row=316 minW=96 found cw of W=88: [5 6 9 22 31 54 56 57 60 61 63 64 67 68 71 72 80 108 114 121 132 141 162 163 184 185 187 189 194 206 235 240 246 247 253 265 279 286 295 302 306 314 321 342 344 349 351 355 386 396 413 420 453 458 464 487 492 499 507 519 523 530 540 547 562 567 568 579 582 590 597 603 609 622 630 637 643 671 672 675 684 698 708 722 729 733 738 743]\n# step=12 row=15 minW=88 found cw of W=86: [1 2 3 6 10 15 17 34 54 55 73 79 96 107 112 124 127 128 135 147 154 167 182 188 216 220 222 229 246 275 282 295 305 367 381 384 385 388 393 398 412 418 420 422 426 429 435 436 441 446 451 456 457 461 467 476 483 502 503 506 508 518 525 526 531 540 541 547 561 589 616 622 624 630 637 655 668 671 679 686 706 708 712 714 720 753]\n# step=12 row=42 minW=86 found cw of W=82: [1 2 3 6 10 15 17 54 55 73 79 83 96 107 112 127 128 135 147 154 167 182 188 216 220 222 229 246 275 282 295 305 367 381 384 385 388 393 398 418 420 422 426 429 435 436 441 446 451 457 461 476 483 502 503 506 508 518 525 526 531 540 541 547 561 589 616 622 624 630 637 655 668 671 679 686 706 708 712 714 720 753]\n# step=28 row=315 minW=82 found cw of W=80: [1 3 8 37 38 41 42 43 44 46 48 50 58 65 91 96 100 117 136 147 151 154 161 185 225 245 266 274 286 287 322 330 331 342 356 366 378 379 381 385 386 392 411 412 424 435 441 442 446 472 473 479 484 486 487 490 501 524 528 535 554 562 574 583 591 614 629 632 640 658 667 673 688 689 700 704 714 730 748 749]\n# step=29 row=58 minW=80 found cw of W=66: [27 28 32 54 76 77 90 98 103 122 126 136 139 145 147 163 167 170 171 172 174 178 179 191 200 202 213 226 344 345 352 355 356 371 411 414 415 420 432 446 455 463 465 467 482 495 500 501 509 523 538 552 553 556 561 599 602 610 624 633 640 643 673 714 734 749]\n# step=105 row=185 minW=66 found cw of W=64: [1 29 40 44 51 56 88 89 111 131 179 198 202 221 240 289 295 312 316 323 325 344 358 366 374 387 400 406 440 455 461 462 466 480 489 490 509 515 521 529 530 544 545 552 571 578 605 613 618 619 620 634 645 669 690 695 708 709 710 724 728 729 739 749]\n# step=315 row=308 minW=64 found cw of W=58: [2 13 18 19 26 38 64 68 74 77 80 81 84 88 89 105 116 119 123 126 135 148 203 215 238 244 270 306 334 336 355 389 400 404 416 430 455 458 459 462 471 478 508 526 561 588 598 622 628 636 643 651 665 688 721 726 728 741]\n# step=429 row=226 minW=58 found cw of W=54: [20 61 86 95 101 116 136 164 190 206 211 219 251 294 322 356 384 396 404 411 425 433 464 473 479 486 494 500 508 513 514 515 519 534 540 542 543 554 556 562 564 575 583 590 598 610 613 623 654 684 688 713 727 733]\n# round=1000 of 10000 minW=54\n# step=1427 row=303 minW=54 found cw of W=52: [13 22 26 29 73 74 75 77 86 88 100 109 116 132 136 139 142 143 149 162 195 206 218 345 379 404 420 452 459 464 478 487 506 507 508 515 520 533 549 556 561 568 574 589 597 610 638 659 679 700 708 723]\n# step=1749 row=55 minW=52 found cw of W=46: [8 9 23 43 44 63 64 70 71 78 92 115 118 119 163 170 174 177 221 263 276 283 312 331 353 373 393 394 401 402 421 428 442 468 476 517 551 600 649 685 696 705 716 731 739 751]\n# round=2000 of 10000 minW=46\n# round=3000 of 10000 minW=46\n# round=4000 of 10000 minW=46\n# round=5000 of 10000 minW=46\n# round=6000 of 10000 minW=46\n# round=7000 of 10000 minW=46\n# step=7634 row=326 minW=46 found cw of W=44: [23 27 30 34 40 95 102 199 205 209 212 215 240 254 258 259 261 270 299 307 346 350 395 403 411 434 444 459 485 508 528 549 583 587 590 593 631 632 634 638 683 691 722 747]\n# step=7634 row=331 minW=44 found cw of W=40: [23 27 30 34 40 95 102 199 205 212 215 240 254 259 261 270 307 346 350 395 403 411 434 444 459 485 508 528 549 583 590 593 632 634 638 642 683 691 722 747]\n# round=8000 of 10000 minW=40\n# round=9000 of 10000 minW=40\n# round=10000 of 10000 minW=40\nRW algorithm upper bound for the distance d=40\n</t>
  </si>
  <si>
    <t># step=0 row=0 minW=217 found cw of W=18: [1 9 11 41 51 53 73 83 89 91 103 127 147 155 173 187 193 209]\n# step=0 row=4 minW=18 found cw of W=14: [6 22 32 54 58 64 66 68 90 112 122 136 178 216]\n# step=0 row=24 minW=14 found cw of W=12: [8 22 44 54 58 68 90 104 122 136 158 208]\n# step=0 row=97 minW=12 found cw of W=10: [48 54 96 104 106 118 150 154 188 190]\n# round=1000 of 10000 minW=10\n# round=2000 of 10000 minW=10\n# round=3000 of 10000 minW=10\n# round=4000 of 10000 minW=10\n# round=5000 of 10000 minW=10\n# round=6000 of 10000 minW=10\n# round=7000 of 10000 minW=10\n# round=8000 of 10000 minW=10\n# round=9000 of 10000 minW=10\n# round=10000 of 10000 minW=10\nRW algorithm upper bound for the distance d=10\n</t>
  </si>
  <si>
    <t># step=0 row=0 minW=577 found cw of W=112: [1 3 6 14 17 18 21 23 29 35 36 37 47 60 62 65 74 84 88 91 104 119 120 124 128 133 135 157 164 169 173 177 182 184 194 197 200 205 206 208 222 229 230 237 239 246 265 267 270 275 277 283 284 286 288 293 295 296 298 299 308 322 323 326 328 338 348 362 373 379 381 382 384 388 391 396 403 405 406 412 419 431 433 435 438 445 446 447 449 457 463 466 471 481 488 491 492 501 507 516 520 526 529 535 540 545 553 557 561 569 570 574]\n# step=0 row=3 minW=112 found cw of W=102: [3 5 6 17 20 37 41 60 79 84 85 88 91 94 114 115 121 124 128 135 142 145 146 151 159 163 165 166 168 169 172 173 177 179 183 185 186 195 196 208 212 230 237 250 257 265 267 275 277 283 284 285 287 293 298 299 307 322 323 331 337 347 357 358 362 364 371 372 379 381 382 384 385 395 396 409 419 426 431 437 438 447 448 452 453 463 472 476 487 507 509 511 540 541 544 561 564 569 570 571 574 575]\n# step=0 row=4 minW=102 found cw of W=90: [8 14 18 23 36 40 41 47 60 65 74 77 88 91 94 95 104 112 114 115 116 135 149 155 157 159 163 165 169 172 177 185 200 206 208 212 213 214 222 237 246 250 261 267 270 275 277 283 284 291 293 295 299 322 328 348 364 365 371 372 379 384 388 391 395 397 403 405 413 432 437 446 449 452 471 476 487 491 500 501 514 520 540 541 544 545 561 571 575 576]\n# step=0 row=8 minW=90 found cw of W=88: [12 17 26 29 37 60 61 65 70 95 101 115 121 142 145 146 149 151 159 165 173 190 195 196 199 214 222 223 246 250 257 265 267 270 283 287 291 298 303 307 328 357 358 362 364 365 371 381 382 384 388 395 396 406 409 412 413 415 419 422 431 433 435 438 447 455 457 471 476 480 481 487 504 507 511 520 534 540 541 544 545 557 561 564 569 570 571 576]\n# step=0 row=9 minW=88 found cw of W=84: [3 13 23 37 47 60 61 70 77 91 96 101 121 127 128 142 146 159 165 166 168 172 182 185 186 192 195 213 229 230 246 250 251 261 267 270 277 282 284 286 287 289 293 296 306 307 312 323 328 337 341 347 357 362 365 371 372 381 382 396 403 409 415 419 427 432 445 446 449 452 453 462 463 476 500 501 504 511 520 541 542 544 553 557]\n# step=0 row=23 minW=84 found cw of W=80: [17 20 23 37 41 43 61 70 74 77 96 104 114 121 124 127 128 145 155 159 165 185 206 208 212 213 229 230 251 261 267 270 282 286 298 299 312 317 322 323 331 337 338 341 347 348 364 365 385 388 391 395 396 403 405 419 426 427 437 438 447 448 449 452 463 472 476 480 486 487 500 511 540 542 545 553 557 564 574 575]\n# step=0 row=24 minW=80 found cw of W=70: [6 7 29 36 37 44 60 70 91 94 95 121 142 146 149 155 159 172 173 190 195 196 214 222 246 257 265 277 283 284 287 288 291 317 328 337 341 357 358 362 364 365 381 384 395 405 413 422 426 431 432 433 435 446 450 455 457 463 466 480 481 487 511 544 557 561 564 570 575 576]\n# step=0 row=68 minW=70 found cw of W=64: [6 7 20 29 36 37 60 70 91 94 95 118 121 146 149 155 172 173 190 195 196 214 222 246 265 277 283 284 287 288 291 317 328 337 341 357 362 364 365 381 384 395 405 413 422 426 431 432 433 435 455 457 463 466 480 481 487 511 557 561 564 570 575 576]\n# step=1 row=132 minW=64 found cw of W=62: [14 30 42 60 68 73 78 101 122 132 136 138 139 142 144 152 153 163 169 171 190 195 199 203 207 227 234 246 250 267 268 278 308 325 328 333 341 345 352 362 384 386 411 415 440 443 444 460 467 474 480 494 507 525 527 528 542 552 554 564 565 569]\n# step=2 row=1 minW=62 found cw of W=38: [5 15 59 97 101 113 127 195 197 201 205 215 245 249 254 258 266 278 282 299 323 341 355 359 365 367 379 383 389 392 400 408 413 438 504 533 552 553]\n# step=10 row=262 minW=38 found cw of W=32: [8 12 43 86 123 151 188 216 218 286 310 330 334 370 377 380 394 404 418 425 432 434 509 512 519 526 540 550 553 557 573 574]\n# step=473 row=166 minW=32 found cw of W=28: [26 31 41 45 50 83 125 129 143 185 217 227 287 297 331 336 355 364 412 461 470 476 480 485 513 537 554 561]\n# step=849 row=111 minW=28 found cw of W=24: [3 19 105 109 113 117 193 201 205 209 213 215 345 349 369 373 393 407 417 431 484 488 532 546]\n# round=1000 of 10000 minW=24\n# round=2000 of 10000 minW=24\n# round=3000 of 10000 minW=24\n# round=4000 of 10000 minW=24\n# round=5000 of 10000 minW=24\n# round=6000 of 10000 minW=24\n# round=7000 of 10000 minW=24\n# round=8000 of 10000 minW=24\n# round=9000 of 10000 minW=24\n# round=10000 of 10000 minW=24\nRW algorithm upper bound for the distance d=24\n</t>
  </si>
  <si>
    <t># step=0 row=0 minW=865 found cw of W=188: [1 2 5 6 8 13 23 25 26 29 33 37 38 40 51 53 62 66 70 71 75 85 88 90 103 112 113 116 118 119 129 131 134 141 144 148 150 160 173 183 191 194 195 197 200 208 214 215 218 219 225 229 237 250 275 278 283 284 285 286 292 294 297 306 307 311 313 318 330 331 335 353 354 356 364 366 372 373 374 377 381 383 384 385 393 394 402 403 404 414 417 418 419 420 423 433 436 439 440 447 448 449 451 452 454 461 464 467 472 478 480 481 482 485 487 489 490 493 513 514 516 521 529 537 544 545 547 548 549 560 561 565 572 582 584 591 599 600 604 606 619 620 621 622 627 630 635 638 645 650 653 657 662 672 679 686 693 701 702 721 731 732 736 742 743 744 747 748 755 757 758 764 768 774 783 792 797 800 801 809 819 823 835 843 849 852 860 864]\n# step=0 row=1 minW=188 found cw of W=180: [3 5 6 13 14 17 25 26 29 33 37 41 49 52 54 63 66 70 71 85 89 98 99 106 110 117 119 128 129 131 135 141 144 148 150 168 175 183 191 192 194 200 208 215 219 229 231 237 246 247 249 254 257 263 273 282 284 286 292 294 299 306 311 313 328 330 331 333 335 337 346 352 354 356 364 372 373 374 375 377 379 384 392 394 397 398 404 412 418 433 436 440 443 460 466 469 477 480 481 482 485 487 488 493 497 503 508 510 513 515 516 520 529 547 548 549 559 560 565 566 568 569 573 574 576 587 594 599 600 604 619 620 621 622 627 630 634 635 638 640 650 657 662 671 673 675 687 693 698 700 705 709 728 732 733 738 742 744 747 755 761 763 764 765 769 774 792 794 797 801 819 832 833 835 840 848 849 852 859 862]\n# step=0 row=2 minW=180 found cw of W=162: [2 4 5 7 9 17 33 37 40 49 63 71 90 109 111 113 131 134 141 148 150 154 160 165 171 175 183 191 192 200 208 227 229 231 236 238 240 246 247 249 254 263 276 282 283 284 285 286 297 306 307 311 313 318 330 333 347 348 352 354 355 356 372 375 377 384 385 391 394 398 399 402 404 417 418 420 423 434 448 449 451 454 459 464 472 478 480 481 485 487 488 490 493 506 508 514 515 516 520 522 529 537 538 541 544 558 559 561 565 566 577 579 582 587 593 594 599 600 604 606 622 627 630 636 650 653 662 672 679 682 686 687 688 698 700 709 723 738 743 744 746 747 755 763 764 765 768 774 782 794 801 809 829 831 832 833 835 852 853 859 860 864]\n# step=0 row=15 minW=162 found cw of W=158: [2 4 5 9 17 23 30 33 41 60 63 66 85 90 98 99 103 110 116 118 119 129 131 134 135 144 148 150 160 165 171 173 175 191 192 197 200 208 214 215 225 227 236 240 246 247 249 250 276 277 278 282 284 286 318 328 332 347 348 354 355 356 364 370 373 374 377 379 381 383 385 391 414 417 419 433 439 442 443 448 451 455 459 461 466 472 480 488 493 503 506 508 510 513 516 529 537 544 547 549 559 560 568 574 577 582 587 594 600 604 606 620 622 630 635 636 638 645 650 653 662 675 679 682 686 688 698 702 731 732 733 738 742 744 746 747 755 759 760 761 763 764 765 769 774 782 794 800 801 809 819 823 835 840 853 859 862 864]\n# step=0 row=115 minW=158 found cw of W=156: [9 23 29 33 37 40 60 70 71 81 89 99 110 112 113 116 118 127 134 152 168 171 173 174 194 200 209 214 217 219 225 234 237 250 251 263 275 276 277 278 283 285 292 297 306 313 328 330 331 334 335 347 348 354 356 374 377 379 381 383 385 392 393 394 397 398 403 404 412 414 417 419 420 423 432 433 449 452 454 455 459 461 464 466 467 477 478 480 481 482 485 490 497 503 506 508 510 514 515 516 520 522 527 544 548 558 559 561 565 568 574 577 579 593 617 619 621 627 635 657 662 672 675 687 688 698 702 723 729 731 733 738 742 743 747 755 757 759 760 764 765 768 769 782 783 787 789 792 794 797 816 823 825 840 849 862]\n# step=0 row=175 minW=156 found cw of W=144: [2 8 33 35 40 41 49 54 63 75 81 85 90 92 94 99 106 108 116 117 118 119 127 128 135 148 165 168 171 173 195 197 200 215 219 225 229 236 238 247 248 249 250 254 273 292 295 297 319 328 332 335 345 346 352 355 364 374 381 383 385 397 398 399 404 414 415 417 419 420 423 432 433 439 440 442 447 451 455 459 461 466 467 469 478 488 489 506 510 513 514 521 522 526 527 538 547 555 566 568 573 576 582 591 593 594 617 621 634 636 638 645 653 657 671 672 673 675 682 686 688 693 698 700 702 705 709 729 732 736 738 743 748 757 761 774 783 797 800 801 814 816 833 843]\n# step=0 row=255 minW=144 found cw of W=142: [2 4 6 13 14 23 33 35 37 49 54 63 66 71 80 88 89 99 106 108 112 113 116 127 129 150 154 165 168 170 174 200 214 227 229 231 234 236 248 263 273 277 281 292 295 297 306 307 313 319 328 331 334 335 337 347 348 353 354 355 356 375 379 381 383 394 397 398 401 414 415 417 419 423 433 434 439 443 449 451 454 455 460 466 481 485 487 488 490 506 510 515 518 520 526 541 555 558 561 565 566 568 573 577 582 591 594 617 619 627 630 636 653 655 662 673 675 682 686 693 701 702 729 731 738 757 760 762 782 783 787 789 794 800 816 823 825 833 848 849 860 862]\n# step=0 row=356 minW=142 found cw of W=140: [2 6 8 29 31 40 49 63 66 70 80 81 85 89 92 94 98 103 112 116 117 119 155 160 168 171 174 183 192 194 198 200 209 215 234 236 237 240 254 264 275 283 285 292 294 307 313 318 329 332 335 347 366 370 374 379 381 383 384 385 391 397 399 401 402 403 414 417 419 423 440 448 450 452 455 459 464 467 472 478 480 482 487 493 506 510 514 516 522 526 529 537 538 547 558 565 566 579 593 600 604 606 617 621 622 634 636 638 653 657 662 672 679 686 688 698 700 702 705 710 728 729 732 743 746 755 757 759 765 768 782 783 787 792 794 809 814 849 853 860]\n# step=1 row=12 minW=140 found cw of W=136: [4 12 14 20 27 29 44 45 67 78 80 83 84 86 88 89 91 105 114 133 135 140 146 154 163 166 167 180 183 191 192 195 200 202 207 215 227 232 251 252 256 263 265 270 274 281 283 285 286 294 296 298 305 310 315 319 322 331 334 337 338 347 371 392 397 412 430 431 444 447 452 458 467 477 490 492 495 496 503 504 517 522 526 535 548 554 557 575 582 590 600 602 607 618 619 625 629 631 633 637 646 650 657 664 665 673 680 689 693 709 714 720 721 729 732 746 748 749 756 769 770 772 784 787 792 793 796 821 828 838 841 847 853 856 857 858]\n# step=1 row=30 minW=136 found cw of W=134: [4 16 17 30 32 45 49 51 57 59 60 67 76 78 84 85 86 87 111 133 134 135 136 138 140 158 161 163 168 170 172 174 180 182 191 192 199 200 213 224 236 238 248 249 267 269 270 271 281 283 284 290 299 302 305 307 310 322 325 327 337 345 348 363 371 373 374 376 378 405 413 419 431 444 450 451 470 476 477 479 480 484 488 518 534 547 554 555 557 579 600 602 606 613 629 637 649 650 664 665 673 697 699 700 711 714 718 719 724 730 732 733 736 745 746 753 756 760 767 781 782 787 801 802 805 817 820 821 829 838 840 845 853 862]\n# step=1 row=37 minW=134 found cw of W=120: [16 27 29 30 32 44 53 72 73 76 80 88 110 114 133 135 137 138 144 146 152 161 163 166 167 180 183 194 199 202 213 218 232 249 256 270 273 274 281 284 286 302 310 311 315 324 334 340 346 347 360 374 376 397 405 412 413 419 431 440 451 454 463 467 482 484 496 501 515 518 526 534 535 536 548 554 584 597 598 606 612 620 625 626 629 631 633 650 657 661 664 691 704 713 714 718 719 720 721 730 733 736 749 756 769 772 787 796 801 809 820 821 828 829 840 841 845 853 857 858]\n# step=16 row=177 minW=120 found cw of W=92: [21 32 34 38 47 49 83 85 91 96 111 126 139 145 147 155 156 157 159 161 188 192 196 201 217 219 220 222 230 252 254 256 288 292 301 312 324 358 361 368 370 372 374 384 391 395 417 420 423 433 435 442 449 451 462 497 520 522 533 538 544 553 576 591 593 613 615 636 644 645 662 664 666 680 698 705 709 722 734 741 747 749 767 769 774 787 810 812 823 843 845 847]\n# step=265 row=197 minW=92 found cw of W=88: [8 31 49 51 68 81 83 85 89 94 96 102 115 123 124 126 143 152 158 160 171 184 198 209 224 227 229 269 281 295 310 312 314 317 320 334 336 352 359 372 374 390 400 402 406 423 437 441 446 450 478 493 508 514 515 517 525 527 551 569 583 598 606 608 632 634 658 677 681 690 707 717 737 741 743 765 769 771 773 780 797 798 800 803 807 835 837 846]\n# step=526 row=315 minW=88 found cw of W=86: [7 25 30 71 77 78 79 113 117 119 138 150 178 204 207 225 238 259 273 279 293 300 302 314 320 332 364 367 369 402 407 409 423 435 438 456 461 471 474 488 491 492 495 501 507 508 509 513 523 524 525 526 531 532 543 559 563 578 579 598 616 632 638 639 650 675 685 690 703 724 727 746 750 760 763 778 780 786 810 812 816 822 826 834 852 862]\n# round=1000 of 10000 minW=86\n# step=1787 row=8 minW=86 found cw of W=62: [11 13 15 35 37 50 52 69 75 84 99 101 103 111 112 118 122 142 146 161 163 191 214 238 268 287 315 328 342 347 353 355 378 379 383 394 405 424 426 463 465 468 500 528 536 552 554 556 586 628 637 639 641 663 665 682 712 755 795 806 834 838]\n# round=2000 of 10000 minW=62\n# round=3000 of 10000 minW=62\n# round=4000 of 10000 minW=62\n# round=5000 of 10000 minW=62\n# round=6000 of 10000 minW=62\n# round=7000 of 10000 minW=62\n# round=8000 of 10000 minW=62\n# round=9000 of 10000 minW=62\n# round=10000 of 10000 minW=62\nRW algorithm upper bound for the distance d=62\n</t>
  </si>
  <si>
    <t># step=0 row=0 minW=649 found cw of W=136: [1 2 9 11 12 21 28 33 34 43 44 53 55 66 68 69 78 84 86 91 92 96 103 106 109 110 115 121 125 130 132 135 139 141 142 146 149 150 151 152 153 157 159 160 165 174 182 187 189 199 203 204 208 210 214 220 236 238 240 244 245 254 259 260 266 270 274 293 301 309 311 312 313 315 320 323 332 333 334 343 353 357 364 365 372 376 379 380 386 388 389 392 398 403 406 407 408 416 417 419 423 429 432 434 437 439 445 448 455 458 465 469 479 480 487 491 495 497 505 515 525 526 529 538 539 561 563 571 574 593 597 603 606 614 644 646]\n# step=0 row=5 minW=136 found cw of W=132: [2 8 14 15 20 25 30 33 39 40 43 54 62 69 83 86 91 96 98 112 116 119 125 130 137 142 144 146 148 149 152 153 157 159 173 188 189 190 199 201 203 204 210 214 219 220 244 245 246 251 252 259 262 266 270 272 276 283 291 293 297 311 312 313 315 316 333 343 351 352 353 363 365 366 367 379 387 392 399 402 404 406 409 424 432 433 434 437 444 448 453 455 466 472 473 478 479 487 500 509 520 525 529 533 534 535 549 557 561 563 564 571 583 586 587 593 599 600 603 607 609 611 614 616 617 620 624 627 637 641 643 646]\n# step=0 row=6 minW=132 found cw of W=110: [11 12 16 26 33 40 54 55 62 66 68 76 78 83 84 86 92 94 96 106 109 110 121 125 130 135 141 142 151 153 157 160 173 174 179 182 187 195 201 203 208 214 219 238 240 244 245 251 252 259 260 262 272 283 291 293 311 316 320 323 332 333 343 352 356 366 367 372 380 387 388 389 393 406 407 417 429 433 444 445 448 458 459 465 466 472 473 478 480 491 500 502 511 515 526 533 534 538 552 571 586 589 600 606 616 617 624 635 637 644]\n# step=0 row=24 minW=110 found cw of W=96: [2 9 10 12 21 25 26 28 30 33 34 40 44 52 69 82 86 94 96 99 103 125 130 132 135 139 141 144 149 151 160 179 195 199 210 227 234 235 236 238 242 244 251 252 260 270 287 291 298 301 311 312 315 320 333 340 355 363 364 367 392 393 398 399 407 416 429 431 444 449 455 459 466 473 479 486 491 496 505 511 515 519 526 534 538 547 558 576 586 593 605 607 617 620 635 637]\n# step=1 row=119 minW=96 found cw of W=92: [5 11 25 42 57 62 74 77 84 86 92 94 95 100 101 109 134 137 138 141 165 169 173 181 186 209 218 226 231 235 242 256 262 263 268 274 281 285 288 309 319 320 328 336 340 341 352 356 361 372 382 388 393 397 398 409 414 425 439 453 456 457 459 469 482 489 491 492 496 498 504 508 523 533 534 540 543 544 550 559 560 563 572 576 578 579 590 596 606 608 628 633]\n# step=1 row=192 minW=92 found cw of W=90: [5 11 25 42 57 62 74 77 84 86 94 95 100 101 109 134 137 138 141 165 166 169 173 181 186 209 226 231 235 242 256 262 263 268 274 281 285 288 309 319 320 328 336 340 341 352 356 361 372 380 382 388 393 397 398 409 414 425 439 453 456 457 459 469 482 491 492 498 504 508 523 533 534 540 543 544 550 559 560 563 572 576 578 579 590 596 606 608 628 633]\n# step=2 row=144 minW=90 found cw of W=76: [2 5 9 13 14 32 36 40 43 45 50 66 84 88 103 109 114 122 125 148 149 152 156 157 166 177 192 193 209 220 228 230 255 257 258 260 268 281 307 335 337 339 341 344 370 374 380 387 393 400 415 422 423 426 442 448 449 452 480 485 500 505 542 568 569 570 574 575 589 590 611 621 624 627 642 643]\n# step=5 row=96 minW=76 found cw of W=64: [4 6 16 23 43 50 61 75 78 83 113 114 115 122 124 128 130 156 186 191 201 213 224 238 239 250 265 275 282 331 332 338 346 349 360 363 366 390 400 405 406 408 412 413 418 427 437 444 457 465 479 508 516 517 521 525 542 544 582 588 598 610 621 634]\n# step=64 row=76 minW=64 found cw of W=56: [4 8 15 28 40 45 73 80 86 108 137 144 147 154 156 161 169 173 180 196 243 259 266 269 275 282 294 295 305 316 331 333 342 346 356 361 385 408 420 437 461 470 483 530 531 535 542 546 553 554 573 583 587 596 605 628]\n# step=78 row=277 minW=56 found cw of W=50: [17 21 25 26 33 73 95 102 132 134 135 154 206 226 241 243 244 251 267 278 285 289 329 344 351 368 373 419 425 429 432 447 455 492 493 503 514 521 529 536 538 545 559 567 581 588 612 618 623 630]\n# step=567 row=74 minW=50 found cw of W=46: [10 21 30 32 64 93 103 139 155 190 201 210 237 247 248 253 297 304 319 333 344 352 355 370 372 407 414 416 426 459 461 468 496 497 524 540 542 570 571 592 605 616 623 641 642 644]\n# step=696 row=0 minW=46 found cw of W=44: [2 27 83 111 112 116 129 157 192 209 221 225 228 232 244 255 288 307 330 343 350 357 371 380 382 387 400 402 406 409 450 454 461 474 480 513 515 533 548 578 580 600 607 648]\n# round=1000 of 10000 minW=44\n# step=1578 row=243 minW=44 found cw of W=42: [16 29 40 47 55 57 65 81 110 114 121 142 164 171 237 251 272 273 289 290 297 308 335 352 363 388 415 450 451 454 485 506 511 560 575 576 578 596 611 628 631 648]\n# step=1696 row=167 minW=42 found cw of W=38: [15 17 51 67 149 160 161 193 256 259 263 265 267 269 270 284 327 338 342 355 392 394 403 414 446 449 466 470 477 505 518 529 555 575 590 596 627 644]\n# step=1696 row=281 minW=38 found cw of W=34: [17 51 149 160 161 193 256 259 263 267 269 270 284 342 355 392 394 403 414 446 449 466 470 477 505 518 529 553 555 575 590 596 627 644]\n# round=2000 of 10000 minW=34\n# round=3000 of 10000 minW=34\n# round=4000 of 10000 minW=34\n# round=5000 of 10000 minW=34\n# round=6000 of 10000 minW=34\n# round=7000 of 10000 minW=34\n# round=8000 of 10000 minW=34\n# round=9000 of 10000 minW=34\n# round=10000 of 10000 minW=34\nRW algorithm upper bound for the distance d=34\n</t>
  </si>
  <si>
    <t># step=0 row=0 minW=1081 found cw of W=216: [1 8 12 21 36 41 45 47 50 51 55 61 73 74 78 90 95 98 99 102 117 129 131 141 142 143 144 149 150 152 161 163 167 168 177 178 187 191 193 198 201 203 204 205 211 220 221 222 231 233 252 253 257 264 270 278 288 289 291 293 294 296 298 304 311 313 315 320 325 334 339 340 344 348 349 358 364 371 384 390 393 399 401 407 408 414 417 419 420 429 432 448 467 470 474 480 482 486 488 491 494 503 509 514 518 521 539 558 560 561 563 575 577 581 590 593 599 603 622 624 628 629 631 635 636 637 647 649 654 656 657 670 674 677 679 684 688 694 705 707 710 712 714 715 718 735 736 747 750 753 754 760 761 765 766 769 770 780 784 788 792 812 817 818 823 839 841 843 844 846 860 861 862 863 868 869 870 875 876 877 878 880 886 888 890 893 904 924 949 950 956 958 962 963 970 971 975 977 982 994 1005 1007 1010 1015 1019 1020 1028 1035 1036 1041 1044 1052 1063 1068 1070 1077]\n# step=0 row=4 minW=216 found cw of W=204: [4 8 12 14 15 34 36 43 47 50 55 60 62 66 72 74 80 89 95 97 102 107 117 124 131 134 142 143 149 150 169 178 184 188 191 193 196 203 204 205 211 213 220 221 231 252 253 265 278 288 289 294 296 298 300 305 313 315 330 340 348 352 356 364 367 389 392 394 397 400 403 409 413 419 420 422 429 432 437 445 461 468 478 480 486 491 492 496 501 502 503 506 511 520 539 554 557 560 566 573 577 589 592 600 603 608 609 613 633 638 642 645 647 651 658 665 666 670 672 678 680 684 687 701 707 715 718 719 722 731 734 736 737 738 745 747 748 750 762 765 768 769 770 772 775 780 788 789 792 795 800 812 813 826 829 839 843 844 850 866 870 873 876 888 890 893 898 905 909 910 912 919 921 923 929 933 936 940 949 965 970 975 987 989 993 994 1001 1008 1010 1013 1015 1020 1024 1028 1036 1040 1043 1061 1066 1068 1069 1070 1075 1077]\n# step=0 row=14 minW=204 found cw of W=176: [4 8 11 12 14 29 34 50 51 55 64 72 78 80 89 97 129 131 140 141 142 143 145 168 169 178 193 196 197 201 202 213 233 244 245 246 252 253 254 265 290 291 297 300 311 330 334 339 340 348 349 355 356 365 367 370 384 392 393 397 400 403 407 414 417 423 449 450 473 474 477 478 488 491 501 502 503 506 515 516 520 526 534 554 561 563 566 573 577 585 593 599 614 617 631 634 642 649 652 658 665 670 672 674 680 684 694 701 705 707 715 719 722 738 749 753 761 762 765 768 775 788 825 826 829 839 850 852 860 861 870 873 874 880 890 893 898 904 905 912 917 919 923 924 926 936 940 941 942 947 950 952 956 962 965 970 971 975 982 989 992 996 1001 1005 1007 1020 1031 1041 1043 1049 1051 1053 1069 1070 1073 1075]\n# step=0 row=77 minW=176 found cw of W=162: [2 4 8 30 34 40 43 47 60 61 62 63 85 89 90 95 105 134 136 145 155 161 162 163 166 184 186 187 193 197 198 203 220 227 259 265 280 290 293 297 339 340 348 349 352 367 370 384 390 392 399 400 407 409 413 423 429 445 467 477 480 496 500 501 502 503 509 520 526 554 557 558 563 566 567 573 577 581 599 603 608 609 622 630 633 654 656 658 666 677 681 684 685 687 694 707 710 712 714 715 719 722 723 724 733 734 736 738 754 756 761 766 768 769 770 784 789 800 813 823 843 844 846 850 862 870 873 882 890 904 905 909 910 921 940 941 942 947 956 962 971 977 982 987 993 994 1001 1005 1007 1010 1013 1020 1022 1031 1043 1054 1063 1066 1068 1069 1070 1077]\n# step=18 row=203 minW=162 found cw of W=160: [7 19 26 27 29 34 58 59 75 76 85 88 108 110 124 125 130 132 133 138 151 158 167 168 180 183 189 196 197 223 224 226 229 230 250 260 261 263 264 271 273 275 276 277 286 292 302 312 327 334 336 338 339 340 352 362 372 377 380 385 400 406 411 412 428 431 434 439 442 454 455 456 458 466 478 485 494 502 503 521 522 525 534 541 545 556 560 567 584 586 590 594 609 634 635 642 650 652 658 659 665 700 716 723 729 731 732 734 738 752 754 756 761 767 775 780 782 788 798 799 804 805 807 824 828 834 838 862 871 873 890 904 909 911 912 926 934 956 957 958 960 975 977 978 984 988 992 994 1006 1011 1021 1024 1030 1034 1038 1044 1049 1065 1068 1077]\n# step=19 row=59 minW=160 found cw of W=154: [7 14 21 31 39 41 42 48 56 58 65 91 93 101 104 107 125 126 130 134 143 144 147 154 169 170 206 210 219 221 222 229 237 275 276 277 280 281 296 299 300 304 307 319 325 327 331 342 348 356 358 359 360 378 380 383 385 420 430 431 435 454 457 458 481 482 484 485 494 495 496 505 506 507 518 532 533 547 557 568 579 583 591 594 595 600 601 604 607 614 616 618 621 642 644 651 653 656 657 659 679 681 692 702 703 706 720 730 743 744 769 772 793 795 804 815 824 833 840 852 853 858 860 869 879 881 883 884 891 894 898 900 904 906 916 917 920 921 927 943 948 959 960 969 983 992 993 1001 1004 1007 1033 1045 1051 1054]\n# step=19 row=209 minW=154 found cw of W=134: [4 40 41 42 48 56 58 63 65 66 67 84 91 93 108 131 144 152 153 169 182 194 206 209 221 222 234 257 259 260 280 281 282 299 304 319 321 325 343 348 356 357 358 359 368 372 382 405 407 408 429 431 433 444 445 450 454 457 482 484 485 494 496 507 510 518 523 542 553 555 568 579 589 590 591 594 601 604 605 642 643 658 663 678 679 680 681 702 704 706 707 730 732 744 752 770 772 792 793 794 808 815 819 841 852 869 870 879 880 882 883 901 904 905 917 918 940 943 948 955 967 983 991 993 1003 1004 1005 1020 1029 1032 1054 1057 1071 1072]\n# step=19 row=300 minW=134 found cw of W=116: [3 22 40 42 48 63 65 67 84 85 93 130 152 153 156 169 170 173 206 221 229 246 257 259 260 280 283 296 299 305 307 308 325 348 357 358 359 406 408 411 431 447 457 458 469 473 482 484 494 495 496 533 534 553 554 555 579 589 590 591 592 595 604 606 618 642 643 655 656 663 678 680 682 692 707 720 725 726 730 752 755 770 792 794 807 809 819 833 845 853 879 880 881 882 883 902 904 906 918 922 943 948 959 967 970 983 985 992 993 1020 1029 1032 1048 1057 1071 1072]\n# step=19 row=337 minW=116 found cw of W=112: [3 22 40 48 63 67 84 85 93 130 152 153 156 169 170 173 206 221 229 246 257 259 260 280 283 296 299 307 308 325 348 357 358 359 406 408 411 431 447 457 458 469 473 482 484 494 495 496 533 534 553 554 555 579 589 590 595 604 606 618 642 643 655 656 663 665 678 680 682 692 707 720 725 726 730 752 755 770 792 794 807 809 819 833 845 853 879 880 881 882 883 902 904 906 918 922 943 948 959 967 970 983 985 992 993 1020 1029 1032 1048 1057 1071 1072]\n# step=88 row=0 minW=112 found cw of W=110: [1 2 4 7 20 39 41 58 71 82 83 84 94 105 143 144 146 155 196 197 217 218 220 231 254 278 279 295 298 299 303 318 342 344 347 358 366 369 370 383 384 387 392 407 410 421 432 434 447 472 473 483 494 495 497 521 533 538 541 557 565 566 567 569 592 659 666 681 728 747 767 769 780 781 792 804 805 806 808 814 817 829 830 831 832 841 843 868 878 892 893 897 904 906 907 921 942 959 966 971 983 984 992 994 1045 1046 1052 1053 1058 1067]\n# step=88 row=332 minW=110 found cw of W=108: [1 4 7 20 41 58 71 81 84 91 94 127 145 146 196 197 218 219 220 245 254 278 279 295 299 303 318 331 342 344 347 358 366 370 383 385 387 391 407 410 421 432 447 457 472 473 482 483 494 495 497 521 541 557 567 569 592 618 630 642 653 654 659 666 681 745 747 767 768 780 781 792 795 804 814 829 830 832 841 842 843 868 878 880 892 895 897 898 904 906 907 917 919 921 942 959 966 971 984 991 994 1045 1046 1058 1067 1068 1069 1071]\n# round=1000 of 10000 minW=108\n# step=1166 row=16 minW=108 found cw of W=102: [22 23 27 34 50 70 72 96 97 98 101 102 121 122 123 150 161 174 186 198 200 202 205 224 225 247 249 261 266 269 271 287 300 310 311 335 338 339 374 413 426 438 461 462 464 479 485 489 501 502 512 516 526 527 539 543 544 546 549 560 565 596 597 598 609 625 629 646 694 695 698 699 721 734 757 775 776 784 786 796 812 825 837 839 847 862 865 887 909 934 975 976 987 988 1011 1012 1013 1022 1058 1062 1065 1066]\n# step=1166 row=161 minW=102 found cw of W=100: [10 22 23 34 50 70 72 96 101 102 113 122 123 161 174 186 198 202 205 223 224 225 247 249 261 266 269 271 274 300 311 327 335 338 339 361 374 426 438 461 462 463 464 479 485 489 501 502 512 516 526 527 539 543 544 546 549 560 565 596 597 598 609 625 629 648 694 695 698 699 734 749 757 775 776 784 786 796 812 824 825 836 839 847 862 865 887 927 934 975 976 987 988 1011 1012 1022 1058 1062 1065 1066]\n# step=1166 row=384 minW=100 found cw of W=98: [10 22 23 34 70 72 96 101 102 113 122 123 161 174 198 202 205 224 225 246 247 249 261 266 269 271 274 300 311 335 338 339 350 361 374 426 438 461 462 464 479 485 489 501 502 512 516 526 527 539 543 544 549 560 565 596 597 598 609 625 629 648 694 695 698 699 734 749 757 772 773 775 776 784 786 796 812 824 825 836 839 862 865 887 927 934 950 975 976 987 988 1011 1013 1022 1058 1062 1065 1066]\n# round=2000 of 10000 minW=98\n# step=2155 row=235 minW=98 found cw of W=96: [11 12 15 27 35 36 49 50 52 61 90 96 97 99 100 116 122 139 162 164 226 246 247 250 264 265 272 290 292 324 328 336 352 353 373 374 376 377 401 424 426 438 439 440 441 461 479 480 485 501 503 504 512 572 586 622 634 648 673 675 687 698 711 723 749 772 786 797 799 811 812 820 821 840 847 848 863 864 888 899 913 915 924 973 987 989 997 998 999 1011 1016 1039 1060 1063 1064 1077]\n# step=2988 row=28 minW=96 found cw of W=94: [4 17 18 19 21 43 45 46 58 60 66 83 92 109 119 120 170 171 172 181 182 192 194 220 233 234 243 246 256 331 359 370 384 394 407 431 446 456 457 469 470 471 482 521 536 539 541 542 554 555 569 579 593 603 615 657 658 659 682 683 691 718 730 752 769 792 795 796 809 819 843 857 881 896 899 903 921 943 945 946 957 965 968 969 982 992 1030 1031 1047 1053 1056 1069 1071 1072]\n# round=3000 of 10000 minW=94\n# round=4000 of 10000 minW=94\n# round=5000 of 10000 minW=94\n# round=6000 of 10000 minW=94\n# round=7000 of 10000 minW=94\n# step=7171 row=84 minW=94 found cw of W=88: [5 10 12 13 22 28 49 50 51 61 81 90 95 100 101 114 116 124 127 128 165 166 188 222 239 245 253 286 287 355 356 361 362 389 404 405 464 466 476 477 478 504 517 526 548 555 564 578 585 611 649 658 681 713 716 723 735 738 761 772 782 784 802 804 818 825 845 862 885 921 953 955 995 1001 1012 1013 1023 1024 1027 1028 1036 1048 1051 1059 1065 1066 1071 1080]\n# round=8000 of 10000 minW=88\n# round=9000 of 10000 minW=88\n# round=10000 of 10000 minW=88\nRW algorithm upper bound for the distance d=88\n</t>
  </si>
  <si>
    <t># step=0 row=0 minW=1297 found cw of W=266: [1 2 4 9 13 36 40 45 48 50 54 57 58 62 63 66 67 68 75 88 96 100 115 123 128 129 130 138 144 146 156 160 185 188 205 211 212 218 222 223 235 243 254 256 261 272 274 275 280 282 284 287 288 292 293 294 298 308 313 314 316 317 321 323 326 327 330 335 336 341 344 351 353 362 363 364 367 371 378 380 396 403 405 414 418 422 429 430 433 438 440 446 452 457 466 467 468 471 474 482 486 490 493 494 495 498 501 510 515 516 519 523 526 529 534 538 540 541 543 545 550 552 554 555 560 564 568 572 573 577 578 579 581 591 592 594 598 620 633 634 638 639 648 649 651 659 660 671 677 682 692 706 720 721 725 730 732 740 747 748 751 760 765 783 787 789 795 796 802 807 817 821 848 854 859 860 862 863 868 874 885 888 889 896 904 907 908 910 913 917 919 926 942 943 945 949 950 956 958 963 965 966 968 970 975 981 982 987 995 999 1009 1012 1019 1020 1021 1041 1046 1047 1050 1064 1070 1071 1080 1087 1088 1089 1090 1095 1100 1102 1111 1116 1124 1128 1131 1134 1149 1153 1156 1158 1159 1169 1175 1181 1183 1185 1188 1191 1207 1215 1219 1223 1226 1230 1231 1234 1236 1242 1249 1251 1253 1264 1281 1287 1290 1294]\n# step=0 row=2 minW=266 found cw of W=264: [1 9 12 14 24 40 54 57 71 73 81 88 100 101 123 130 138 141 144 146 150 154 155 159 167 184 188 193 198 206 212 218 220 222 228 248 250 254 272 274 275 283 284 287 288 294 298 307 314 315 316 317 320 323 327 330 333 335 341 344 348 353 359 361 364 367 371 378 379 383 386 394 396 403 404 405 410 412 415 418 420 422 428 431 432 433 437 439 442 446 448 449 450 452 457 458 459 460 467 468 469 471 473 475 476 485 486 493 494 495 497 498 505 510 515 516 520 522 526 527 529 530 531 538 545 546 554 555 570 572 573 578 581 588 592 594 600 603 618 621 633 635 651 664 692 710 712 720 721 730 732 740 746 747 748 751 754 760 762 764 769 780 787 790 794 796 802 807 820 832 846 849 854 859 862 863 868 874 884 886 888 889 901 903 904 905 907 908 910 911 917 919 927 942 944 945 949 957 958 963 965 968 980 983 984 987 999 1009 1018 1019 1020 1021 1026 1040 1046 1047 1057 1064 1070 1072 1075 1087 1090 1094 1095 1099 1102 1105 1106 1107 1111 1114 1118 1122 1124 1134 1138 1140 1156 1157 1158 1170 1180 1185 1188 1204 1214 1231 1235 1242 1245 1246 1249 1251 1261 1264 1265 1271 1272 1276 1281 1290 1293 1294]\n# step=0 row=3 minW=264 found cw of W=234: [6 7 15 23 24 26 34 36 40 42 45 48 49 50 54 57 75 80 94 96 100 115 123 132 140 141 150 154 156 162 170 173 182 184 188 190 198 209 220 235 248 250 258 260 261 264 270 273 274 280 282 284 288 292 293 305 306 308 311 312 314 315 319 321 323 326 344 353 358 360 361 364 374 377 394 400 403 404 412 418 422 426 431 433 448 452 459 460 469 471 476 478 479 480 485 486 490 498 501 506 516 531 536 560 568 570 572 578 579 585 586 594 597 600 602 613 622 626 629 633 635 648 677 692 694 710 712 718 720 721 725 730 740 742 743 746 747 752 760 762 764 765 782 786 790 795 800 813 820 821 846 854 860 863 868 877 886 888 896 900 905 910 911 923 930 931 949 954 956 958 959 965 966 968 970 973 980 982 984 987 989 1012 1014 1019 1021 1026 1027 1041 1046 1050 1051 1061 1064 1070 1077 1080 1086 1088 1089 1090 1099 1102 1105 1112 1114 1116 1119 1124 1128 1135 1153 1159 1165 1180 1184 1188 1191 1204 1220 1225 1226 1230 1242 1245 1246 1261 1264 1272 1276 1277 1287 1290 1292 1294]\n# step=0 row=68 minW=234 found cw of W=222: [6 7 26 28 34 36 42 49 50 54 62 73 75 90 94 111 115 141 143 144 154 160 162 170 182 184 185 190 206 209 222 228 230 235 243 250 254 256 258 270 284 287 288 294 298 305 308 311 312 316 317 319 320 321 330 335 338 341 348 353 358 359 361 364 374 378 380 394 396 400 405 409 414 415 416 422 432 439 442 446 448 449 466 485 486 490 493 494 497 515 516 519 520 523 529 531 540 545 549 550 554 560 568 570 572 578 581 585 586 589 591 592 597 602 628 633 634 635 638 639 648 649 651 654 660 664 694 706 712 718 720 723 725 735 737 743 751 764 780 786 794 795 796 805 807 813 817 832 834 841 846 854 859 863 866 884 886 888 889 896 901 907 908 910 913 917 919 923 942 944 945 946 949 950 954 957 992 995 1007 1009 1018 1019 1020 1021 1023 1026 1046 1071 1073 1075 1083 1086 1087 1095 1100 1105 1106 1114 1116 1122 1131 1148 1156 1158 1169 1181 1184 1185 1207 1214 1220 1223 1236 1245 1249 1251 1265 1269 1277 1290 1292 1294]\n# step=0 row=321 minW=222 found cw of W=218: [3 6 9 13 23 26 34 40 48 49 54 55 58 62 66 67 68 81 94 96 101 111 115 132 140 141 155 156 182 190 198 212 220 228 229 230 250 256 274 284 288 292 293 298 305 307 308 314 315 316 320 330 333 336 341 348 353 358 360 363 364 371 379 380 383 410 414 415 416 418 420 426 428 431 438 440 442 452 457 467 468 473 474 475 479 482 493 495 498 506 510 517 523 531 534 540 549 552 555 556 570 573 578 579 581 589 591 597 598 620 621 622 629 633 634 636 639 660 664 666 671 680 694 706 720 723 725 733 740 742 746 754 760 762 769 780 786 796 800 807 821 832 833 834 846 854 860 861 862 863 884 886 896 903 905 911 917 927 944 945 950 956 958 965 982 983 984 989 1012 1014 1020 1021 1040 1050 1057 1061 1071 1073 1075 1077 1080 1086 1088 1089 1095 1100 1102 1105 1107 1111 1119 1122 1128 1131 1134 1138 1140 1153 1156 1159 1169 1181 1191 1219 1223 1226 1230 1235 1236 1261 1265 1269 1271 1276 1277 1287 1290 1291]\n# step=1 row=73 minW=218 found cw of W=200: [2 8 10 16 24 28 56 66 70 73 75 79 84 87 95 101 107 110 113 122 128 139 147 150 151 155 162 172 173 177 179 183 187 198 203 204 208 217 239 240 244 259 267 290 296 297 304 306 312 320 328 355 358 361 375 379 401 402 408 410 412 416 420 424 427 430 432 433 439 455 459 463 465 478 490 492 498 508 514 520 522 528 530 531 536 540 549 560 566 568 575 580 587 591 599 620 633 644 648 649 659 663 687 695 696 699 719 721 722 728 730 732 738 743 744 745 748 753 756 763 767 775 779 781 782 785 791 793 794 800 802 805 810 811 820 827 830 833 835 838 840 844 845 846 867 868 870 874 882 885 897 899 910 916 918 930 935 947 954 962 964 968 970 995 1009 1018 1020 1026 1048 1075 1078 1086 1090 1095 1096 1118 1123 1127 1133 1135 1140 1155 1171 1172 1173 1175 1183 1187 1206 1219 1220 1228 1229 1235 1252 1262 1269 1276 1283 1295]\n# step=2 row=110 minW=200 found cw of W=198: [1 10 16 32 44 45 52 53 57 65 66 77 93 111 113 120 124 132 133 135 138 143 144 146 151 157 161 165 168 169 177 192 195 197 203 210 217 221 225 229 231 233 235 236 237 245 247 248 264 265 267 269 273 284 285 301 305 307 313 319 325 335 341 343 355 360 361 376 388 389 396 421 423 425 439 441 467 472 477 487 496 500 504 506 510 513 534 535 539 564 573 590 603 605 614 617 625 626 629 632 637 640 648 653 657 670 690 701 717 729 737 747 751 767 768 770 773 778 781 785 791 793 794 795 806 814 838 839 849 851 855 858 861 862 868 881 885 886 889 896 898 905 906 911 912 934 940 945 958 959 962 964 974 978 980 987 993 1001 1008 1025 1029 1035 1058 1080 1081 1091 1094 1100 1117 1125 1127 1137 1141 1143 1155 1156 1160 1167 1174 1186 1187 1192 1193 1198 1209 1216 1220 1222 1225 1226 1247 1249 1258 1259 1266 1275 1280 1290]\n# step=8 row=289 minW=198 found cw of W=180: [9 26 41 48 55 61 77 91 94 98 114 122 123 125 163 165 176 178 187 189 201 203 208 210 214 215 216 233 238 248 258 264 287 297 301 303 309 317 319 329 342 358 359 361 362 383 384 400 404 408 413 415 419 420 425 428 433 453 456 460 464 465 470 475 477 478 483 484 508 515 528 544 547 548 553 556 561 569 574 585 594 599 601 614 622 632 637 641 647 652 658 661 666 673 677 680 681 686 690 692 696 698 702 705 719 721 727 748 756 759 767 768 769 780 798 799 800 806 807 821 852 859 877 884 902 909 910 915 924 929 938 953 955 958 974 987 988 990 1001 1011 1019 1027 1040 1052 1062 1064 1065 1073 1077 1086 1094 1102 1103 1104 1108 1116 1120 1132 1133 1153 1160 1164 1165 1170 1180 1189 1197 1203 1204 1205 1212 1251 1259 1261 1262 1270 1273 1284 1294 1296]\n# step=22 row=174 minW=180 found cw of W=174: [2 3 12 13 15 17 20 24 44 60 64 67 88 101 119 124 127 130 132 136 138 140 157 163 176 181 182 190 195 199 207 208 209 210 225 234 248 251 264 265 271 273 286 287 289 298 301 304 309 317 320 323 327 328 329 335 336 337 341 344 355 362 367 374 385 387 390 397 399 400 404 423 427 452 456 464 468 475 478 483 498 512 516 523 545 552 556 564 569 572 584 586 599 608 625 633 651 660 663 668 672 680 690 697 701 710 712 733 735 737 751 759 761 767 781 783 784 787 792 797 806 808 811 814 817 829 839 852 855 856 858 860 877 915 916 922 928 936 954 971 981 986 998 1002 1009 1018 1024 1025 1044 1052 1057 1061 1068 1080 1094 1096 1124 1146 1165 1172 1177 1190 1198 1210 1217 1228 1237 1242 1261 1268 1282 1284 1289 1293]\n# step=54 row=475 minW=174 found cw of W=170: [1 4 12 20 24 57 58 71 78 81 83 86 88 90 92 94 96 101 103 104 117 126 129 134 136 161 165 167 173 175 182 184 202 204 205 206 217 224 250 253 255 261 262 268 270 277 278 290 298 322 325 331 338 339 340 345 346 350 353 359 364 370 372 380 384 385 392 394 401 402 403 410 456 473 480 481 489 500 505 512 519 524 526 532 535 540 566 577 581 588 589 590 597 614 624 627 628 638 643 648 653 662 685 687 694 710 722 724 725 730 735 753 757 763 778 816 821 834 837 847 857 864 872 882 895 925 934 943 946 954 959 965 980 984 997 998 1013 1014 1027 1035 1048 1052 1058 1059 1067 1068 1073 1090 1092 1093 1095 1104 1109 1120 1121 1125 1139 1156 1160 1162 1176 1183 1217 1225 1253 1254 1255 1281 1284 1289]\n# step=66 row=127 minW=170 found cw of W=166: [6 12 13 17 20 23 25 26 31 34 44 57 59 61 74 76 81 84 89 111 122 128 129 141 142 161 169 177 192 202 213 250 257 269 270 276 277 278 311 314 318 319 324 330 332 333 340 349 365 366 370 372 378 379 385 393 398 399 430 434 435 440 441 457 473 480 494 496 505 510 511 518 519 522 530 538 559 577 584 589 596 602 611 615 623 634 646 649 655 656 665 674 688 693 695 708 709 714 718 738 748 757 762 764 773 785 792 798 804 831 855 862 873 879 889 893 910 912 914 918 927 932 934 945 952 957 977 982 989 990 1004 1030 1036 1069 1085 1091 1092 1097 1099 1100 1122 1137 1145 1152 1177 1184 1192 1202 1206 1209 1215 1221 1224 1225 1231 1232 1239 1240 1242 1245 1247 1267 1283 1288 1293 1294]\n# step=66 row=620 minW=166 found cw of W=164: [6 12 13 17 20 23 25 26 31 34 44 57 61 74 76 81 89 111 122 128 129 141 142 161 169 177 192 202 213 250 257 269 276 277 278 284 311 314 318 319 324 330 332 333 340 349 356 365 366 370 378 379 385 393 398 399 430 434 435 440 441 457 473 480 494 496 505 510 511 518 519 522 530 538 559 577 584 589 596 602 611 615 623 634 646 649 655 656 665 674 693 695 708 709 714 718 738 748 757 762 764 773 785 792 798 831 855 862 873 879 889 893 910 912 914 918 932 934 935 945 957 960 977 982 989 990 1004 1015 1030 1036 1069 1076 1085 1091 1092 1097 1099 1100 1122 1137 1145 1152 1177 1184 1192 1202 1206 1209 1215 1221 1224 1225 1231 1232 1239 1242 1245 1247 1248 1267 1283 1288 1293 1294]\n# step=269 row=293 minW=164 found cw of W=162: [14 15 29 36 40 44 55 62 88 100 105 106 109 113 116 131 150 155 163 168 174 187 190 193 196 201 203 212 216 220 240 249 256 273 281 302 303 304 309 310 319 335 365 368 369 373 377 380 381 385 396 399 401 404 411 426 427 437 444 445 451 473 493 508 511 513 515 546 548 554 568 572 576 577 586 594 600 617 638 646 651 673 680 698 701 709 720 721 727 729 734 748 753 755 760 770 782 790 797 800 805 807 812 828 829 830 850 851 852 855 857 858 860 869 870 880 883 890 891 894 905 908 910 916 921 940 969 985 986 992 993 1009 1047 1049 1054 1058 1069 1078 1095 1101 1115 1138 1140 1156 1164 1165 1176 1179 1182 1185 1189 1210 1213 1217 1235 1243 1250 1268 1274 1292 1294 1295]\n# step=482 row=9 minW=162 found cw of W=146: [3 10 12 24 26 57 80 86 106 112 127 139 142 152 164 180 184 198 217 219 222 225 235 236 251 268 269 272 280 283 291 294 305 321 322 328 336 338 341 358 359 360 361 364 410 415 417 419 421 437 445 452 453 455 463 465 488 499 544 553 556 557 568 569 585 595 603 605 609 611 646 655 667 675 683 697 702 719 735 737 762 763 770 777 792 793 802 823 824 832 841 848 851 854 865 887 900 904 925 929 931 934 942 954 962 970 980 985 989 1000 1001 1003 1004 1013 1015 1017 1018 1021 1032 1041 1050 1057 1079 1080 1090 1092 1103 1105 1120 1130 1136 1137 1154 1160 1166 1167 1189 1191 1192 1201 1208 1209 1215 1222 1230 1283]\n# round=1000 of 10000 minW=146\n# step=1216 row=454 minW=146 found cw of W=142: [4 9 12 15 17 23 24 37 40 42 45 48 53 70 73 79 114 125 134 145 150 164 169 198 216 227 230 246 249 250 269 283 294 297 319 322 325 326 328 330 336 344 354 388 394 400 414 439 442 447 452 472 482 499 502 505 524 527 533 548 549 556 558 564 571 572 587 609 610 621 632 634 643 659 669 672 706 710 713 715 730 744 752 754 757 762 763 768 771 798 802 816 845 854 859 875 878 887 889 904 931 934 936 948 962 990 994 1009 1014 1017 1026 1051 1064 1070 1071 1081 1084 1095 1112 1123 1128 1131 1133 1142 1145 1151 1154 1159 1172 1176 1191 1202 1205 1206 1214 1224 1238 1244 1264 1275 1289 1291]\n# step=1216 row=498 minW=142 found cw of W=136: [4 9 12 15 17 23 24 37 40 42 45 48 53 70 73 79 114 125 134 150 164 169 175 192 200 216 227 246 249 250 297 316 319 325 326 328 330 336 344 354 388 394 400 414 439 442 447 452 472 482 486 488 494 499 524 543 544 548 549 556 558 564 571 572 587 596 604 609 632 634 659 669 672 693 706 710 713 730 744 752 754 757 762 763 768 771 794 798 804 845 854 859 875 878 889 895 931 936 948 962 975 990 994 1009 1017 1026 1036 1042 1051 1064 1070 1071 1081 1084 1095 1112 1123 1128 1129 1133 1142 1154 1159 1172 1184 1191 1202 1205 1206 1214 1224 1238 1244 1275 1289 1291]\n# round=2000 of 10000 minW=136\n# step=2066 row=172 minW=136 found cw of W=128: [6 9 14 15 17 20 22 25 30 39 40 44 53 54 60 68 92 93 115 123 138 140 141 144 146 187 209 218 220 221 226 233 241 249 270 296 304 332 337 340 348 356 365 366 398 404 412 426 452 456 465 515 528 544 553 561 567 605 645 649 680 701 702 704 709 711 717 719 729 734 736 744 749 750 758 760 773 774 788 805 819 825 830 850 852 883 890 896 908 913 915 921 922 935 936 940 953 960 961 968 989 998 999 1007 1017 1031 1056 1057 1061 1062 1086 1093 1094 1107 1119 1138 1146 1165 1172 1203 1224 1235 1248 1257 1273 1281 1282 1289]\n# round=3000 of 10000 minW=128\n# round=4000 of 10000 minW=128\n# round=5000 of 10000 minW=128\n# round=6000 of 10000 minW=128\n# round=7000 of 10000 minW=128\n# round=8000 of 10000 minW=128\n# step=8418 row=180 minW=128 found cw of W=126: [21 26 29 46 53 60 83 91 116 119 127 129 137 151 159 160 168 170 176 177 198 199 200 206 229 243 268 284 314 315 316 326 333 340 347 378 437 440 442 445 458 479 487 495 505 513 526 533 535 558 559 561 577 613 615 623 631 643 656 657 675 694 700 703 711 736 746 748 761 762 774 779 781 786 792 808 811 829 833 835 875 890 896 897 904 905 918 919 933 937 943 945 951 958 965 972 974 991 1024 1029 1054 1060 1097 1111 1114 1121 1122 1123 1139 1154 1155 1156 1209 1210 1217 1221 1231 1235 1240 1253 1254 1260 1265 1270 1279 1280]\n# round=9000 of 10000 minW=126\n# round=10000 of 10000 minW=126\nRW algorithm upper bound for the distance d=126\n</t>
  </si>
  <si>
    <t># step=0 row=1 minW=1153 found cw of W=232: [2 17 22 25 41 46 47 48 56 60 62 66 74 77 80 82 90 97 104 110 112 113 114 130 131 144 152 154 158 163 172 185 186 188 189 198 208 220 241 242 243 244 247 252 254 255 256 264 282 299 301 302 308 313 315 323 328 330 353 362 367 370 372 373 374 378 393 403 409 411 413 419 425 429 437 439 448 449 463 474 478 487 495 496 511 514 518 521 526 528 537 540 541 542 544 548 551 554 557 559 564 572 578 580 583 585 586 597 606 607 609 613 615 616 618 619 622 631 636 639 645 654 663 665 666 671 675 676 684 696 698 703 707 709 710 716 726 727 728 732 733 743 749 751 757 760 762 771 773 775 782 788 795 802 806 808 810 816 819 822 825 828 829 830 831 833 838 839 841 857 862 867 874 875 886 893 894 896 901 923 925 934 942 944 945 946 949 950 953 962 967 976 977 982 997 998 1003 1010 1014 1018 1027 1030 1038 1044 1047 1051 1055 1057 1058 1060 1063 1065 1068 1071 1074 1082 1086 1093 1094 1096 1099 1101 1104 1110 1115 1116 1122 1131 1133 1134 1139 1140]\n# step=0 row=8 minW=232 found cw of W=222: [9 11 17 23 24 36 38 41 43 46 47 59 60 69 77 80 82 85 90 93 97 111 119 131 133 154 158 167 172 187 189 192 203 216 218 227 232 233 235 238 241 250 254 255 256 260 264 274 277 280 282 288 292 299 300 301 302 307 308 310 315 324 328 330 335 338 346 354 362 370 389 391 399 405 411 412 425 429 439 442 447 460 463 468 469 470 474 477 486 487 495 501 512 518 521 529 530 532 537 538 540 541 544 548 551 554 559 574 578 585 586 596 597 601 604 610 616 618 619 620 622 624 627 636 645 652 654 658 663 666 668 672 680 684 685 687 692 693 695 700 703 710 728 733 734 735 737 743 748 751 757 760 762 764 766 768 775 777 779 806 810 813 816 829 833 836 837 838 839 842 846 859 869 874 886 890 894 896 901 921 923 934 938 939 945 948 949 974 976 982 985 989 997 1005 1006 1014 1018 1021 1027 1033 1034 1038 1044 1047 1051 1065 1069 1076 1082 1093 1094 1096 1107 1117 1120 1122 1123 1133 1134 1139 1147 1149]\n# step=0 row=32 minW=222 found cw of W=220: [16 17 23 37 43 47 53 60 62 77 82 85 90 93 111 113 119 121 122 124 130 131 144 152 162 163 185 187 189 190 195 196 216 226 228 235 241 242 243 244 250 252 254 256 260 264 275 277 282 292 299 310 311 313 323 324 328 330 353 361 365 373 378 397 403 415 424 425 427 442 447 454 460 463 470 477 478 486 487 488 496 497 500 501 504 510 518 528 529 530 532 539 540 542 544 545 554 557 560 561 564 569 572 578 580 585 591 597 601 604 606 613 627 642 662 664 666 668 672 673 674 676 680 681 687 692 693 695 697 698 700 707 709 711 716 726 727 732 746 748 760 762 766 768 773 775 776 777 779 795 800 803 810 812 813 819 824 828 830 831 836 837 841 845 847 854 858 862 867 871 874 875 877 886 890 893 903 908 924 934 936 938 939 943 948 950 959 962 967 977 978 981 982 986 990 1001 1003 1005 1014 1015 1044 1046 1055 1057 1058 1060 1065 1069 1074 1079 1083 1089 1091 1093 1096 1101 1110 1116 1124 1131]\n# step=0 row=42 minW=220 found cw of W=216: [17 22 23 25 27 36 41 46 48 59 60 62 66 69 73 74 77 80 90 97 110 112 113 119 133 144 152 154 186 189 198 220 228 235 238 244 250 254 255 256 260 264 274 280 288 308 313 315 318 323 324 328 330 336 338 344 346 353 358 367 373 374 383 389 397 399 403 412 413 415 424 429 442 447 448 449 467 469 477 486 496 497 501 504 507 510 512 521 526 529 537 538 539 540 543 544 545 548 549 551 561 564 572 574 580 583 591 597 601 609 613 615 619 620 621 622 627 639 640 641 645 652 658 659 660 662 663 664 665 666 673 676 680 696 698 707 710 716 721 726 727 728 760 768 773 778 782 783 788 803 806 808 816 830 831 833 837 838 841 846 854 857 858 859 862 890 894 903 910 921 934 936 942 944 946 948 949 953 961 962 967 976 984 985 989 990 998 1001 1003 1006 1027 1030 1034 1035 1047 1055 1057 1060 1063 1074 1076 1079 1081 1093 1096 1099 1101 1116 1122 1131 1133 1136 1139 1147 1149 1150]\n# step=0 row=46 minW=216 found cw of W=198: [16 17 24 25 27 37 43 46 48 59 60 64 69 74 77 83 85 90 104 110 111 112 113 114 118 121 124 133 152 162 167 186 188 189 192 195 196 216 226 227 233 238 243 250 256 260 275 277 280 282 292 293 300 307 308 324 330 346 353 354 362 365 370 372 374 389 397 403 411 413 415 424 425 428 429 437 448 449 459 467 474 477 488 496 501 502 507 511 512 526 528 529 537 543 544 548 549 557 572 576 578 580 586 591 596 604 609 616 618 619 624 645 658 659 660 665 666 668 675 676 684 685 692 693 696 700 709 727 732 734 746 762 766 773 775 777 778 782 788 795 808 813 825 828 830 831 835 842 846 856 869 871 890 901 921 923 924 931 939 942 945 948 959 978 981 985 988 989 997 998 999 1003 1005 1010 1014 1030 1033 1034 1035 1044 1051 1057 1060 1069 1074 1076 1082 1083 1089 1091 1093 1096 1115 1116 1117 1122 1124 1147]\n# step=0 row=494 minW=198 found cw of W=154: [22 36 37 43 48 59 62 69 77 79 80 111 112 122 124 133 154 158 163 172 185 186 189 190 208 216 255 274 280 288 292 301 302 308 310 311 318 338 354 361 397 403 412 424 428 429 447 454 459 460 462 467 470 474 483 495 500 504 510 512 518 526 530 538 539 541 543 544 545 550 554 557 560 564 569 572 574 580 604 609 616 620 622 627 640 642 644 645 652 660 662 673 676 685 692 693 695 697 707 709 716 728 733 743 757 760 764 771 773 776 777 783 803 808 812 819 829 830 836 838 839 842 859 867 869 883 893 894 903 908 910 925 936 950 977 978 979 985 1006 1015 1030 1047 1058 1060 1068 1079 1094 1096 1110 1115 1124 1133 1147 1149]\n# step=17 row=159 minW=154 found cw of W=136: [31 33 34 35 37 38 40 41 43 49 54 65 75 76 98 103 104 112 117 119 129 142 146 150 159 171 174 178 186 202 233 234 242 247 250 257 261 262 280 289 303 304 314 316 320 326 331 335 339 348 349 368 377 404 405 408 421 441 445 456 458 463 493 501 503 528 531 539 541 542 546 564 567 610 629 635 660 679 688 694 695 717 733 744 749 752 756 757 763 766 768 769 777 780 781 787 791 794 829 841 847 861 874 877 878 883 889 900 921 923 929 934 957 963 972 979 984 998 1020 1025 1030 1032 1038 1048 1053 1057 1064 1076 1086 1090 1100 1118 1126 1131 1139 1149]\n# step=119 row=10 minW=136 found cw of W=112: [7 16 20 21 24 36 41 53 63 79 80 83 88 94 105 127 142 150 151 162 168 196 206 215 218 220 223 224 225 228 233 234 243 247 258 265 280 286 292 297 299 308 312 317 321 322 326 336 363 390 391 395 400 401 416 437 454 459 469 508 511 518 522 525 526 538 552 582 596 598 601 606 654 656 664 685 694 703 717 725 728 735 744 759 764 771 813 823 841 845 887 897 902 907 933 937 941 962 965 971 975 1044 1049 1050 1057 1062 1072 1086 1089 1100 1123 1136]\n# step=396 row=256 minW=112 found cw of W=92: [8 17 19 64 75 81 85 86 95 137 155 159 160 163 165 167 212 217 219 227 244 254 258 276 291 293 298 303 308 332 342 350 356 359 363 367 369 373 376 377 379 383 416 419 426 438 447 452 493 502 505 507 512 517 521 522 539 566 590 592 593 594 650 657 668 671 681 691 726 728 738 765 804 833 851 861 888 920 929 930 937 947 951 952 957 981 1004 1012 1016 1077 1078 1142]\n# step=992 row=300 minW=92 found cw of W=82: [11 16 21 22 41 55 58 76 90 96 115 132 182 189 192 197 206 243 253 285 293 300 307 309 310 317 325 335 341 374 381 386 405 422 438 449 474 486 513 518 529 534 560 577 597 621 629 648 660 670 676 677 687 712 725 750 751 772 773 782 783 791 822 847 855 860 878 882 896 900 916 918 926 974 984 990 1014 1057 1061 1109 1114 1123]\n# round=1000 of 10000 minW=82\n# step=1882 row=86 minW=82 found cw of W=76: [1 12 17 22 47 50 59 69 73 81 82 86 115 133 138 146 151 160 161 176 207 211 224 234 318 328 332 361 365 370 375 377 379 384 392 406 449 450 453 466 514 527 562 578 592 617 618 622 630 672 682 696 713 726 751 761 792 799 800 810 825 856 873 889 897 915 929 952 985 993 1003 1026 1081 1089 1136 1146]\n# round=2000 of 10000 minW=76\n# step=2118 row=120 minW=76 found cw of W=66: [12 14 26 78 91 98 100 105 115 129 139 151 152 161 162 172 179 203 221 226 234 251 261 267 290 308 317 321 335 382 385 386 396 456 474 538 571 579 580 599 601 644 675 676 680 723 740 795 809 818 826 828 892 900 936 939 943 961 965 1032 1045 1049 1060 1081 1108 1109]\n# round=3000 of 10000 minW=66\n# round=4000 of 10000 minW=66\n# round=5000 of 10000 minW=66\n# round=6000 of 10000 minW=66\n# round=7000 of 10000 minW=66\n# round=8000 of 10000 minW=66\n# round=9000 of 10000 minW=66\n# round=10000 of 10000 minW=66\nRW algorithm upper bound for the distance d=66\n</t>
  </si>
  <si>
    <t># step=0 row=0 minW=1729 found cw of W=366: [1 5 12 17 21 22 24 32 39 40 48 57 63 67 73 74 76 77 78 79 84 88 90 91 95 108 127 131 140 152 158 162 165 166 170 171 174 175 181 186 189 192 198 200 208 213 219 228 251 275 283 284 293 298 299 301 306 313 316 325 340 347 349 350 351 359 364 374 377 379 380 381 384 386 388 390 393 423 426 429 433 437 439 440 441 442 443 445 446 451 455 477 478 490 491 492 493 495 506 511 512 513 514 525 527 536 546 548 557 561 563 564 569 573 580 599 605 608 616 623 626 628 631 649 652 653 655 656 662 665 668 672 673 674 675 678 680 684 693 695 697 702 705 708 713 715 717 720 721 728 730 732 735 738 742 747 753 757 758 759 760 764 767 784 786 787 790 793 798 800 804 813 825 826 832 836 837 841 849 851 852 857 863 864 868 871 872 873 882 886 893 905 910 911 915 916 920 925 926 929 930 932 941 942 948 959 963 965 968 973 977 988 990 995 1011 1013 1019 1028 1029 1030 1036 1037 1038 1039 1040 1051 1058 1059 1060 1065 1077 1086 1098 1102 1113 1119 1121 1123 1137 1138 1139 1140 1151 1154 1156 1157 1165 1169 1174 1188 1196 1202 1204 1205 1209 1210 1212 1214 1215 1225 1227 1228 1231 1232 1234 1240 1243 1244 1245 1246 1250 1264 1270 1272 1273 1277 1281 1284 1288 1292 1297 1299 1301 1318 1324 1325 1327 1332 1350 1362 1366 1369 1370 1373 1376 1379 1385 1386 1387 1392 1401 1403 1404 1416 1419 1426 1431 1432 1435 1452 1453 1462 1464 1483 1497 1500 1512 1515 1516 1517 1522 1523 1540 1541 1544 1547 1549 1551 1553 1557 1561 1591 1593 1596 1603 1606 1607 1617 1618 1624 1625 1626 1627 1636 1637 1640 1645 1656 1657 1660 1662 1663 1666 1674 1678 1682 1686 1690 1691 1693 1701 1705 1712 1713 1714 1715]\n# step=0 row=1 minW=366 found cw of W=362: [2 6 15 22 24 27 31 39 41 47 48 53 58 69 74 75 76 77 84 88 90 99 108 110 125 127 131 140 141 158 160 166 167 172 180 181 185 189 199 200 205 208 209 213 217 218 228 236 240 244 246 251 253 255 261 264 269 283 288 293 298 299 301 306 311 313 325 334 339 340 349 350 354 360 362 364 368 380 388 389 390 393 397 415 422 423 424 429 435 437 439 441 442 444 445 446 447 466 468 486 492 493 495 498 501 506 512 536 548 551 562 563 564 566 569 573 580 598 605 606 608 610 616 617 623 628 649 651 655 662 663 667 668 674 675 678 680 683 684 692 695 697 702 705 708 713 715 721 730 732 735 736 740 743 747 753 754 755 767 770 777 783 784 786 787 789 793 794 798 814 821 826 835 838 845 848 852 857 863 868 873 876 886 895 897 911 915 916 917 926 930 932 936 947 948 949 951 958 959 963 965 977 988 995 1009 1013 1014 1019 1020 1029 1030 1040 1046 1052 1053 1058 1059 1066 1072 1077 1080 1095 1096 1103 1105 1107 1113 1119 1121 1137 1138 1139 1140 1142 1150 1165 1169 1174 1184 1190 1202 1203 1204 1205 1207 1214 1215 1223 1228 1234 1235 1237 1240 1243 1244 1245 1246 1250 1254 1260 1261 1272 1278 1279 1288 1292 1296 1297 1299 1307 1309 1310 1317 1320 1324 1327 1332 1350 1354 1366 1367 1373 1379 1385 1390 1392 1397 1400 1401 1402 1403 1404 1411 1416 1432 1447 1454 1455 1457 1461 1463 1466 1479 1497 1498 1500 1512 1515 1520 1524 1531 1537 1547 1549 1550 1551 1552 1553 1557 1561 1565 1577 1581 1593 1606 1613 1617 1618 1623 1624 1625 1632 1636 1642 1647 1653 1657 1658 1663 1664 1665 1666 1669 1674 1678 1679 1682 1686 1689 1690 1691 1693 1694 1695 1696 1705 1712 1713 1714 1715 1720 1723]\n# step=0 row=2 minW=362 found cw of W=338: [3 6 15 17 21 22 32 44 53 63 67 73 76 77 78 95 98 99 103 107 108 118 140 152 158 165 167 170 174 185 192 197 200 201 204 209 213 218 222 236 246 251 255 257 261 269 275 283 284 290 298 301 311 312 313 320 321 325 327 333 335 339 349 359 360 364 367 374 386 393 415 419 424 426 435 440 441 444 445 462 468 469 478 483 488 491 492 495 500 501 506 511 525 530 536 539 542 546 547 551 554 558 562 563 566 577 593 598 606 608 610 616 617 623 627 628 636 649 653 654 662 665 666 668 669 673 675 678 683 697 698 716 717 720 723 728 729 732 736 740 743 745 754 755 757 758 764 765 767 768 770 783 787 790 799 813 814 825 826 829 832 835 836 837 838 848 850 852 856 864 872 882 885 895 902 907 913 915 916 920 926 929 930 932 936 947 948 949 958 959 965 977 981 983 988 995 998 1008 1011 1014 1020 1035 1040 1052 1053 1065 1066 1095 1096 1102 1132 1137 1140 1142 1145 1150 1154 1157 1165 1174 1183 1188 1190 1201 1208 1209 1211 1215 1218 1221 1232 1245 1252 1255 1260 1261 1272 1273 1276 1279 1289 1292 1296 1297 1307 1309 1310 1317 1320 1335 1343 1349 1353 1354 1362 1367 1369 1370 1379 1385 1386 1387 1388 1395 1400 1405 1411 1412 1416 1417 1418 1426 1430 1431 1435 1440 1454 1455 1457 1461 1480 1485 1486 1487 1488 1492 1497 1500 1516 1519 1520 1523 1525 1531 1539 1540 1541 1547 1549 1550 1553 1561 1570 1581 1593 1596 1603 1605 1606 1613 1615 1617 1628 1632 1642 1645 1647 1648 1649 1657 1662 1664 1666 1668 1674 1677 1679 1683 1687 1690 1691 1692 1695 1696 1713 1718 1719 1723]\n# step=0 row=9 minW=338 found cw of W=328: [6 12 14 18 22 32 40 41 44 47 48 57 73 75 76 77 79 84 88 91 98 108 110 125 129 131 141 152 160 162 166 167 172 192 198 200 204 205 209 217 218 222 240 244 246 251 253 257 264 269 283 292 301 305 311 313 314 342 347 351 352 354 359 362 368 376 377 381 384 389 397 419 424 426 433 435 437 439 447 451 455 462 466 468 469 478 483 488 490 491 498 501 506 511 513 530 542 546 551 557 561 565 593 605 608 615 616 623 626 628 649 652 653 663 666 667 672 675 680 692 693 695 702 705 708 713 716 717 723 730 732 735 743 753 755 765 770 786 790 791 793 798 799 800 804 825 826 829 832 837 840 841 845 850 851 864 865 868 873 876 884 886 895 897 910 911 915 916 917 925 926 930 936 947 948 958 959 965 968 973 977 978 980 981 990 995 998 1009 1011 1013 1014 1019 1020 1029 1030 1051 1053 1060 1066 1072 1080 1095 1096 1098 1105 1132 1138 1139 1144 1151 1157 1160 1163 1166 1169 1173 1174 1177 1188 1195 1203 1207 1209 1210 1212 1215 1225 1228 1234 1235 1237 1244 1245 1252 1254 1259 1260 1261 1270 1272 1277 1278 1281 1284 1289 1296 1307 1308 1309 1310 1317 1318 1320 1324 1332 1335 1337 1343 1362 1366 1369 1370 1373 1378 1379 1388 1395 1400 1402 1403 1404 1418 1419 1426 1430 1431 1435 1451 1452 1453 1455 1479 1480 1492 1498 1500 1512 1516 1519 1520 1524 1541 1551 1553 1557 1561 1565 1577 1581 1584 1593 1596 1606 1607 1613 1615 1637 1640 1649 1653 1656 1665 1666 1668 1674 1677 1679 1682 1685 1687 1690 1692 1695 1696 1713 1718 1719 1720]\n# step=0 row=10 minW=328 found cw of W=326: [16 21 22 32 34 48 63 67 78 125 152 165 167 170 172 174 185 192 197 199 201 240 244 255 283 284 288 290 292 293 298 299 301 305 306 311 316 327 334 340 342 349 350 359 362 364 374 381 386 388 390 393 415 419 423 426 429 433 435 440 441 442 443 445 446 451 455 466 468 477 478 483 491 492 493 501 506 511 512 525 527 530 557 561 562 563 564 565 566 577 598 599 608 615 623 649 652 653 654 655 665 668 673 674 678 680 683 684 692 695 697 698 705 708 716 717 720 721 731 732 736 740 745 747 758 760 765 767 782 783 784 786 789 797 798 799 800 804 813 815 821 826 828 829 835 836 837 838 840 842 845 847 850 851 852 857 870 871 872 876 877 885 893 913 915 920 926 932 934 935 936 941 942 947 958 959 973 1008 1013 1035 1036 1037 1038 1039 1040 1053 1057 1058 1059 1060 1065 1066 1072 1085 1086 1102 1138 1139 1140 1144 1154 1155 1160 1169 1174 1176 1183 1184 1190 1195 1202 1205 1208 1210 1214 1231 1235 1240 1243 1244 1246 1250 1261 1273 1276 1277 1279 1281 1288 1289 1292 1294 1296 1297 1299 1301 1307 1317 1318 1320 1322 1324 1327 1332 1335 1343 1350 1354 1362 1367 1373 1376 1379 1392 1398 1416 1417 1418 1419 1426 1430 1431 1445 1447 1451 1462 1464 1512 1517 1520 1522 1523 1524 1525 1531 1539 1541 1549 1550 1552 1557 1561 1565 1577 1581 1591 1593 1596 1603 1605 1606 1607 1636 1637 1640 1642 1648 1649 1658 1660 1662 1663 1665 1668 1669 1674 1678 1680 1682 1683 1685 1686 1687 1689 1690 1691 1693 1696 1700 1705 1713 1714 1718 1719 1723 1727]\n# step=0 row=28 minW=326 found cw of W=314: [6 12 15 17 22 27 31 35 41 50 53 58 75 79 84 88 129 131 140 152 158 162 197 199 200 208 209 218 222 240 244 253 257 261 269 283 288 292 298 301 311 312 316 320 325 327 335 339 342 349 354 360 364 368 372 374 377 380 381 390 415 422 423 424 429 433 435 437 440 442 446 451 455 462 468 477 483 493 495 500 506 511 513 527 530 536 539 547 554 557 558 564 569 573 580 598 610 615 626 636 654 656 662 663 667 669 673 680 695 702 715 716 717 720 735 736 740 742 753 754 764 765 784 786 789 793 799 813 814 815 821 826 828 834 836 838 840 845 848 849 850 856 857 864 865 868 871 872 873 882 884 892 893 895 902 911 915 916 930 936 947 949 968 978 980 983 988 1013 1014 1029 1030 1035 1037 1038 1039 1040 1046 1050 1051 1052 1057 1058 1080 1099 1102 1113 1137 1140 1144 1150 1151 1157 1160 1169 1173 1176 1183 1184 1190 1195 1196 1202 1207 1208 1209 1210 1225 1228 1231 1234 1243 1252 1254 1259 1261 1273 1278 1279 1281 1296 1299 1307 1309 1310 1317 1320 1322 1325 1327 1335 1337 1343 1349 1350 1353 1354 1366 1367 1368 1373 1376 1379 1385 1386 1387 1390 1392 1395 1397 1398 1400 1401 1405 1411 1426 1430 1431 1440 1451 1452 1453 1457 1462 1464 1479 1485 1486 1487 1488 1497 1517 1539 1540 1544 1547 1549 1551 1552 1553 1563 1565 1584 1593 1606 1612 1613 1615 1617 1618 1636 1640 1649 1656 1657 1658 1662 1665 1668 1674 1678 1680 1685 1687 1689 1690 1691 1692 1694 1701 1705 1713 1714 1717 1718]\n# step=0 row=103 minW=314 found cw of W=312: [12 22 27 34 44 48 63 69 73 74 84 88 95 125 127 131 158 162 172 180 181 188 192 198 200 204 213 218 228 239 251 257 261 269 275 288 290 292 301 306 311 313 316 320 325 335 342 352 359 360 368 372 377 379 380 419 424 435 439 440 443 444 462 466 468 477 486 488 491 512 513 514 527 531 536 542 546 562 564 565 566 593 598 599 605 606 610 615 616 617 619 623 628 631 636 651 653 655 656 662 663 668 672 675 680 683 684 695 705 708 715 716 728 730 731 732 735 754 757 758 759 760 777 782 783 787 789 790 791 794 797 798 800 813 815 821 826 828 829 834 838 841 847 848 849 863 864 865 870 872 873 876 882 884 886 913 916 917 929 930 934 935 941 942 947 948 949 959 978 981 983 993 995 1008 1011 1019 1020 1029 1030 1037 1038 1039 1046 1051 1052 1058 1072 1080 1098 1107 1123 1132 1137 1138 1142 1150 1155 1157 1160 1165 1169 1176 1190 1195 1196 1205 1209 1212 1214 1223 1225 1228 1235 1244 1245 1252 1259 1276 1279 1289 1294 1301 1307 1309 1310 1317 1318 1320 1324 1332 1337 1353 1354 1369 1370 1376 1379 1384 1386 1387 1390 1401 1403 1404 1405 1417 1418 1431 1435 1440 1447 1451 1454 1462 1464 1466 1480 1483 1485 1486 1487 1488 1492 1497 1498 1500 1512 1515 1516 1519 1523 1531 1537 1541 1544 1547 1550 1553 1557 1561 1563 1574 1603 1607 1612 1626 1627 1636 1637 1645 1647 1658 1660 1662 1663 1666 1668 1674 1677 1680 1683 1685 1690 1692 1696 1701 1712 1715 1717 1719 1720 1727]\n# step=0 row=187 minW=312 found cw of W=308: [6 12 15 22 24 27 39 57 58 74 76 77 79 84 88 90 108 125 129 131 140 141 152 158 162 165 167 172 185 189 199 200 204 205 209 217 218 251 264 269 283 284 290 298 301 305 311 313 316 325 334 339 341 345 347 351 354 359 362 367 368 372 374 376 377 379 380 381 388 390 397 419 422 424 426 435 443 468 477 478 483 491 495 525 527 530 531 536 548 551 563 577 598 615 626 627 636 651 656 662 663 667 672 673 674 692 693 698 705 708 716 717 720 731 732 738 745 755 757 764 765 770 777 782 783 784 786 787 789 793 794 797 798 800 804 813 814 821 825 829 832 835 837 838 840 842 848 849 851 864 872 873 877 884 886 895 896 907 910 926 936 958 959 963 965 968 977 978 980 983 988 1014 1020 1029 1030 1036 1046 1053 1057 1059 1060 1065 1066 1072 1077 1085 1086 1102 1105 1107 1119 1121 1137 1138 1139 1140 1144 1151 1165 1184 1190 1196 1201 1202 1204 1207 1210 1212 1215 1223 1225 1227 1243 1245 1252 1254 1261 1270 1273 1276 1277 1278 1279 1281 1288 1289 1296 1317 1320 1322 1325 1332 1335 1337 1362 1366 1376 1379 1384 1390 1395 1405 1412 1416 1419 1426 1430 1432 1440 1445 1447 1463 1464 1466 1480 1485 1486 1487 1488 1497 1498 1512 1520 1522 1540 1544 1547 1550 1551 1552 1553 1557 1563 1565 1574 1577 1581 1591 1593 1603 1612 1613 1623 1624 1625 1636 1637 1640 1645 1648 1649 1653 1656 1662 1664 1666 1679 1683 1689 1690 1691 1694 1695 1696 1701 1718 1719 1723]\n# step=0 row=273 minW=308 found cw of W=302: [17 21 27 58 63 67 75 78 79 84 88 103 107 118 125 127 131 140 170 172 174 180 185 192 200 208 209 213 218 222 240 244 246 255 257 269 284 288 290 292 293 298 306 311 320 327 334 335 339 340 349 352 359 364 368 374 376 379 388 390 415 422 433 439 440 444 447 451 455 466 490 491 495 498 506 516 531 536 551 562 563 566 577 606 615 617 627 631 651 652 653 655 663 665 668 669 672 678 692 697 702 705 708 715 729 731 732 735 736 740 747 753 754 755 759 764 765 770 782 783 784 789 790 791 794 799 800 804 814 815 828 829 835 836 838 840 841 842 850 851 863 864 865 871 877 886 893 897 911 913 915 916 920 947 949 951 968 973 988 993 1008 1020 1029 1030 1037 1038 1039 1046 1057 1059 1060 1072 1080 1085 1086 1095 1096 1099 1102 1119 1121 1123 1138 1139 1140 1142 1144 1154 1155 1156 1176 1184 1188 1201 1205 1209 1210 1211 1212 1228 1231 1234 1240 1243 1244 1245 1252 1273 1279 1288 1289 1307 1309 1310 1318 1324 1332 1343 1353 1354 1366 1367 1384 1397 1398 1401 1402 1403 1404 1411 1417 1418 1419 1431 1445 1451 1452 1453 1454 1455 1462 1479 1480 1483 1498 1512 1522 1523 1524 1537 1541 1550 1551 1553 1557 1563 1570 1577 1581 1591 1593 1596 1606 1612 1613 1615 1617 1623 1624 1625 1626 1627 1628 1637 1642 1647 1648 1649 1657 1658 1663 1664 1668 1677 1679 1680 1682 1683 1685 1686 1687 1689 1691 1693 1694 1712 1713 1715 1717 1720 1723 1727]\n# step=0 row=811 minW=302 found cw of W=298: [6 12 21 22 47 48 57 58 63 67 74 78 79 84 88 125 129 131 140 158 162 166 167 172 181 192 198 199 201 204 205 208 213 217 218 222 228 236 251 253 257 261 264 269 288 301 305 306 311 312 313 316 327 334 342 347 351 352 360 362 367 368 372 374 377 379 380 381 386 389 390 393 397 419 422 423 426 433 435 439 441 445 462 466 468 477 486 488 491 492 495 511 513 527 539 547 551 554 557 558 598 608 610 619 649 652 653 662 665 666 668 669 673 684 692 693 702 713 715 716 717 720 723 730 732 735 742 745 747 753 755 757 758 759 764 765 767 768 770 783 786 790 791 793 794 797 814 821 825 829 834 835 840 842 872 873 876 877 882 884 885 893 895 907 910 920 932 936 947 958 959 963 968 978 980 981 988 1019 1029 1030 1037 1038 1039 1046 1050 1052 1066 1072 1080 1085 1086 1094 1098 1099 1102 1105 1137 1144 1150 1154 1157 1160 1165 1173 1174 1188 1190 1195 1204 1205 1209 1210 1214 1215 1225 1228 1235 1237 1243 1245 1255 1259 1261 1270 1272 1273 1276 1281 1289 1292 1296 1297 1307 1308 1309 1310 1317 1318 1320 1337 1368 1376 1379 1386 1387 1388 1390 1395 1397 1398 1400 1401 1412 1426 1445 1461 1463 1464 1497 1520 1525 1541 1547 1550 1552 1565 1574 1577 1581 1584 1591 1593 1596 1598 1599 1603 1605 1612 1615 1632 1640 1645 1648 1649 1653 1658 1663 1665 1666 1669 1677 1679 1690 1694 1718 1720 1723 1727]\n# step=1 row=62 minW=298 found cw of W=288: [6 10 11 26 32 35 41 45 55 75 79 92 103 107 109 110 115 118 123 125 133 137 144 147 151 152 153 155 156 157 166 170 201 202 208 213 218 219 222 225 228 249 259 261 262 267 274 282 297 302 321 328 332 346 348 358 360 364 370 372 379 409 412 423 427 438 439 441 442 445 447 448 452 453 457 460 461 462 480 483 486 494 496 499 501 505 506 507 510 512 532 547 552 557 563 564 568 579 585 586 588 598 602 603 606 617 618 621 622 630 635 642 645 650 654 656 658 674 703 706 713 717 729 753 760 763 773 778 780 787 788 792 795 800 802 803 805 808 815 819 825 830 839 840 843 848 852 855 860 862 865 885 898 900 904 905 910 934 956 967 968 969 970 971 975 978 981 992 994 997 999 1004 1008 1023 1032 1037 1047 1052 1056 1061 1102 1103 1110 1114 1115 1116 1117 1119 1123 1124 1131 1146 1149 1151 1157 1158 1161 1187 1190 1193 1201 1210 1215 1245 1248 1253 1254 1257 1258 1261 1279 1298 1299 1302 1303 1304 1311 1313 1315 1324 1325 1329 1332 1333 1334 1335 1342 1349 1352 1359 1361 1364 1380 1385 1390 1412 1436 1456 1459 1460 1461 1471 1472 1476 1477 1478 1485 1494 1509 1522 1527 1528 1529 1541 1552 1554 1558 1561 1574 1602 1605 1606 1607 1621 1626 1631 1632 1636 1639 1648 1652 1659 1661 1671 1674 1690 1692 1694 1695 1697 1698 1699 1703 1711 1713 1714 1719 1720]\n# step=3 row=288 minW=288 found cw of W=282: [30 31 32 46 50 66 72 80 84 88 94 95 97 98 102 112 115 116 118 135 149 150 155 157 159 161 162 165 170 176 178 194 198 199 201 202 203 204 209 212 218 222 244 249 255 261 262 264 268 269 277 283 294 301 308 316 328 329 347 359 362 370 395 398 402 406 418 441 445 448 453 466 477 483 485 488 492 498 504 513 519 524 538 539 542 545 546 553 554 559 561 565 571 580 592 600 603 620 622 627 635 636 639 640 643 650 651 654 657 672 674 675 676 678 682 684 693 698 701 706 708 721 744 748 751 755 759 766 772 782 785 791 792 793 805 817 818 834 843 850 858 868 869 880 882 884 894 895 896 902 906 919 920 923 941 955 965 972 992 998 1003 1023 1025 1026 1030 1041 1048 1053 1058 1076 1077 1093 1094 1096 1099 1100 1109 1111 1132 1133 1146 1150 1155 1156 1162 1167 1177 1178 1195 1199 1200 1212 1216 1240 1241 1248 1249 1250 1254 1255 1266 1270 1279 1318 1325 1332 1333 1336 1338 1339 1340 1347 1351 1357 1362 1368 1372 1386 1390 1401 1406 1410 1411 1419 1427 1428 1429 1434 1436 1441 1446 1447 1448 1452 1460 1484 1496 1497 1498 1499 1503 1504 1506 1509 1511 1515 1520 1523 1528 1533 1534 1538 1542 1543 1544 1545 1560 1574 1583 1598 1599 1600 1608 1614 1625 1630 1634 1638 1640 1644 1658 1667 1668 1669 1671 1690 1698 1699 1703 1704 1718 1722]\n# step=5 row=229 minW=282 found cw of W=280: [2 6 8 12 13 14 17 20 25 30 40 45 46 53 65 66 92 99 100 103 105 106 108 115 116 118 119 123 145 162 166 169 184 188 190 191 212 219 223 235 239 243 247 251 254 255 258 266 274 286 305 309 311 313 316 321 323 324 327 329 330 347 356 363 367 374 376 377 383 388 414 418 420 422 425 430 433 443 447 455 459 463 471 474 480 482 490 491 495 496 499 500 503 504 531 535 536 540 546 548 549 565 566 597 599 601 616 623 626 627 643 650 655 674 677 681 684 695 718 722 744 759 773 777 778 781 802 811 812 813 815 817 826 827 833 839 840 851 853 863 865 866 873 875 878 881 891 892 898 908 909 912 914 929 940 945 954 956 958 965 975 1000 1004 1007 1011 1015 1022 1030 1031 1034 1061 1065 1073 1077 1090 1132 1139 1143 1157 1173 1174 1175 1176 1183 1184 1195 1207 1211 1214 1220 1222 1232 1235 1237 1247 1251 1258 1267 1272 1274 1276 1278 1288 1304 1318 1319 1328 1329 1339 1345 1346 1355 1356 1364 1374 1385 1386 1387 1393 1395 1399 1403 1414 1418 1421 1422 1423 1424 1434 1435 1438 1439 1449 1452 1453 1465 1479 1496 1503 1504 1508 1509 1510 1516 1536 1539 1549 1577 1578 1579 1580 1582 1583 1584 1592 1631 1636 1637 1659 1661 1664 1668 1669 1673 1674 1676 1680 1687 1689 1690 1699 1704 1711 1712 1717 1722 1723 1724 1726 1728]\n# step=12 row=26 minW=280 found cw of W=262: [11 20 49 60 107 114 115 120 122 152 157 162 163 164 166 168 169 184 188 190 196 197 202 203 210 211 213 214 215 216 217 221 223 226 227 235 241 244 253 268 275 279 287 290 300 313 315 316 325 327 329 344 348 349 358 366 370 371 377 381 382 395 409 410 415 418 419 423 434 459 461 463 465 474 476 478 517 522 552 553 556 557 560 561 562 573 603 604 605 609 619 623 625 629 633 634 638 642 648 649 652 659 673 684 687 689 691 693 694 700 705 710 711 713 717 722 723 724 725 728 729 737 738 740 752 760 763 771 774 789 791 803 811 830 831 837 838 854 856 865 869 870 890 891 896 900 902 903 904 905 934 973 974 1003 1010 1012 1014 1019 1041 1050 1056 1058 1064 1065 1066 1077 1078 1079 1080 1093 1113 1123 1126 1135 1137 1141 1152 1159 1160 1161 1169 1184 1190 1191 1192 1198 1199 1205 1207 1208 1209 1212 1222 1226 1230 1234 1249 1258 1265 1267 1268 1269 1276 1281 1308 1315 1367 1368 1371 1375 1378 1401 1410 1413 1415 1417 1424 1439 1453 1460 1503 1504 1509 1520 1522 1525 1541 1550 1553 1559 1562 1564 1567 1569 1573 1579 1583 1600 1607 1612 1621 1636 1641 1644 1648 1656 1663 1668 1669 1670 1674 1688 1691 1705 1706 1709 1710 1715 1719 1722 1726 1727]\n# step=12 row=463 minW=262 found cw of W=260: [11 20 51 60 107 114 115 120 122 152 157 162 163 164 166 168 169 184 188 190 196 197 202 203 210 211 213 214 215 216 217 221 223 226 227 235 241 244 253 268 275 279 287 290 300 313 315 316 325 327 329 344 348 349 358 366 370 371 377 381 382 395 415 418 419 423 434 459 461 463 465 474 476 478 517 522 552 553 556 557 560 561 562 573 603 604 605 609 619 623 625 629 633 634 638 642 648 649 652 659 673 684 687 689 691 693 694 700 705 710 711 713 717 722 723 724 725 728 729 737 738 740 752 760 763 771 774 789 791 803 811 830 831 837 838 854 856 865 869 870 890 891 896 900 904 905 935 949 950 973 974 1003 1010 1012 1014 1019 1041 1050 1056 1058 1064 1065 1066 1077 1078 1079 1080 1093 1113 1123 1126 1135 1137 1141 1152 1159 1160 1161 1169 1184 1190 1191 1192 1198 1199 1205 1207 1208 1209 1212 1222 1226 1230 1234 1249 1258 1265 1267 1268 1269 1276 1281 1308 1315 1367 1368 1371 1375 1378 1401 1410 1413 1415 1417 1424 1439 1453 1460 1503 1504 1509 1520 1522 1525 1541 1550 1553 1559 1562 1564 1567 1569 1573 1579 1583 1600 1607 1612 1621 1636 1641 1644 1648 1656 1663 1668 1669 1670 1674 1688 1691 1705 1706 1709 1710 1715 1719 1722 1726 1727]\n# step=15 row=758 minW=260 found cw of W=258: [39 44 48 52 72 87 92 100 104 110 113 115 117 120 143 145 150 154 165 168 174 178 180 184 186 187 189 201 212 217 221 222 232 234 235 237 241 248 268 269 284 289 291 292 295 301 303 305 306 317 323 328 331 334 340 342 381 391 394 395 400 410 411 470 472 516 527 540 541 543 552 554 555 577 581 595 601 605 608 615 618 619 620 622 629 632 633 636 637 640 650 660 661 670 674 698 699 717 722 727 737 739 745 751 753 754 763 765 766 774 785 786 808 814 817 818 820 829 834 836 868 869 871 903 904 921 924 928 931 940 950 951 988 989 995 997 998 1002 1013 1015 1020 1029 1033 1041 1045 1056 1068 1070 1072 1075 1079 1081 1094 1097 1098 1110 1130 1131 1134 1140 1146 1148 1153 1158 1161 1163 1168 1169 1172 1173 1177 1186 1187 1192 1201 1202 1205 1215 1229 1242 1247 1284 1288 1294 1295 1348 1358 1361 1369 1372 1375 1407 1426 1435 1436 1443 1448 1449 1452 1453 1454 1461 1477 1491 1492 1494 1501 1502 1506 1507 1509 1510 1514 1520 1522 1527 1535 1539 1545 1546 1550 1560 1561 1565 1574 1583 1586 1587 1589 1592 1593 1599 1603 1606 1611 1616 1622 1634 1637 1644 1650 1651 1653 1657 1658 1659 1660 1665 1666 1667 1668 1670 1673 1685 1717 1719 1723 1724]\n# step=140 row=417 minW=258 found cw of W=248: [26 30 34 45 95 100 110 112 115 119 124 131 132 134 135 137 143 144 148 159 162 164 165 168 171 178 179 182 183 184 185 194 198 206 209 211 212 214 225 240 248 276 281 288 290 291 299 325 327 361 386 394 409 426 427 434 435 454 476 477 483 485 489 493 502 505 507 517 518 519 524 527 529 533 537 542 548 561 568 570 571 572 576 581 582 586 587 598 604 605 608 616 619 641 643 644 652 655 658 663 670 685 693 694 701 715 720 729 733 735 737 752 768 780 788 789 816 830 832 840 851 852 865 867 875 879 883 890 899 900 926 943 945 946 980 982 986 991 999 1000 1008 1010 1013 1018 1020 1027 1045 1047 1050 1054 1058 1060 1063 1072 1082 1093 1097 1106 1107 1108 1111 1115 1129 1140 1163 1189 1190 1199 1214 1215 1246 1259 1261 1275 1279 1305 1307 1308 1319 1323 1326 1335 1340 1341 1354 1359 1361 1365 1371 1383 1384 1387 1388 1392 1394 1395 1403 1431 1447 1451 1452 1453 1457 1481 1486 1489 1492 1494 1495 1497 1500 1537 1538 1539 1547 1549 1550 1551 1554 1558 1563 1568 1573 1574 1578 1582 1588 1589 1593 1605 1614 1619 1620 1638 1641 1652 1667 1668 1679 1683 1684 1685 1688 1693 1694 1704 1714 1716]\n# step=140 row=861 minW=248 found cw of W=246: [26 30 34 45 95 100 110 112 115 119 124 131 132 134 135 137 143 144 148 159 162 164 165 168 171 178 179 182 183 184 185 194 198 206 209 211 212 214 225 240 248 276 281 288 290 291 299 325 361 386 394 409 426 427 434 435 454 476 477 483 485 489 493 502 505 507 517 518 519 524 527 529 533 537 542 548 561 568 570 571 572 576 581 582 586 587 598 604 605 608 616 619 641 643 644 652 655 658 663 670 685 693 694 701 715 720 729 733 735 737 752 768 780 788 789 816 830 831 840 851 852 865 875 879 883 890 899 900 926 943 945 946 980 982 986 991 999 1000 1008 1010 1013 1018 1020 1027 1045 1047 1050 1054 1058 1060 1063 1072 1082 1093 1097 1106 1107 1108 1111 1115 1129 1140 1163 1189 1190 1199 1214 1215 1246 1259 1261 1275 1279 1305 1307 1308 1319 1323 1326 1335 1340 1341 1354 1359 1361 1365 1371 1383 1384 1387 1388 1392 1394 1395 1403 1431 1447 1451 1452 1453 1457 1481 1486 1489 1492 1494 1495 1497 1500 1537 1538 1539 1547 1549 1550 1551 1554 1558 1563 1568 1573 1574 1578 1582 1588 1589 1593 1605 1614 1619 1620 1638 1641 1652 1667 1668 1679 1683 1684 1685 1688 1693 1694 1704 1714 1720]\n# step=587 row=836 minW=246 found cw of W=242: [5 10 11 19 23 37 38 49 61 73 74 88 132 139 147 149 150 153 157 160 161 178 185 189 204 213 220 224 237 238 242 255 272 291 299 306 313 327 328 357 370 381 397 415 416 433 466 467 478 480 482 484 486 492 505 527 530 535 537 539 542 546 552 553 558 561 569 588 596 603 607 609 611 614 615 622 624 628 632 636 656 660 663 675 682 688 692 698 703 711 726 750 758 764 768 772 788 796 800 808 812 814 817 818 819 827 834 839 840 842 854 858 859 862 867 874 896 897 899 907 909 910 917 918 926 937 957 959 960 962 965 967 973 977 979 980 984 1011 1012 1014 1015 1016 1034 1049 1059 1061 1066 1067 1070 1089 1094 1104 1121 1124 1137 1139 1140 1144 1161 1180 1188 1212 1216 1221 1222 1223 1228 1229 1255 1264 1267 1277 1281 1317 1325 1326 1340 1344 1363 1364 1366 1371 1374 1378 1382 1406 1409 1411 1412 1413 1418 1421 1426 1438 1441 1445 1453 1461 1469 1470 1471 1472 1481 1482 1483 1488 1496 1513 1515 1521 1531 1535 1540 1551 1563 1572 1575 1589 1590 1591 1598 1624 1626 1643 1644 1645 1646 1649 1657 1663 1665 1670 1676 1680 1685 1688 1695 1703 1714 1717 1725 1728]\n# step=675 row=47 minW=242 found cw of W=228: [3 6 7 20 39 48 55 67 71 74 76 78 82 106 113 116 117 119 123 125 135 151 152 172 174 177 183 184 188 197 201 206 208 212 216 223 232 235 239 248 253 254 259 270 280 288 295 299 304 305 313 318 321 322 328 346 351 355 356 361 363 364 365 366 374 376 377 426 436 479 483 493 494 507 515 530 537 541 543 544 553 573 575 588 590 591 616 617 641 644 656 659 662 663 667 668 671 672 675 679 683 692 693 697 698 706 711 718 723 736 812 856 859 867 868 886 887 891 896 898 901 903 906 916 917 919 961 965 966 982 983 984 985 986 987 1004 1011 1012 1017 1018 1026 1031 1032 1033 1034 1036 1040 1041 1052 1053 1055 1069 1083 1084 1092 1106 1107 1116 1129 1131 1133 1134 1137 1141 1143 1160 1161 1166 1174 1208 1217 1221 1225 1229 1246 1248 1251 1253 1258 1264 1274 1344 1371 1377 1390 1401 1402 1403 1406 1412 1422 1423 1432 1437 1443 1452 1466 1488 1502 1505 1515 1520 1525 1534 1535 1545 1546 1550 1555 1560 1561 1563 1572 1573 1574 1578 1592 1597 1612 1623 1634 1635 1661 1662 1663 1664 1704 1708]\n# step=881 row=416 minW=228 found cw of W=220: [8 11 14 15 33 35 43 58 80 124 128 155 157 159 161 178 182 187 188 191 195 202 206 217 221 226 229 242 257 269 347 348 355 365 393 409 413 416 460 465 466 475 481 485 501 503 511 512 516 518 520 523 524 536 543 548 562 575 584 590 621 625 635 637 649 651 652 653 655 656 657 662 667 669 671 672 675 681 693 697 698 700 701 704 711 712 713 723 724 725 745 748 751 763 774 775 778 784 788 792 799 807 811 813 815 831 835 849 853 856 857 861 863 873 875 882 885 888 906 907 933 934 957 980 1011 1013 1027 1050 1055 1056 1063 1087 1101 1110 1114 1117 1126 1128 1146 1157 1162 1169 1170 1196 1200 1201 1204 1233 1234 1245 1247 1248 1249 1254 1267 1268 1314 1316 1318 1338 1339 1350 1351 1354 1355 1364 1372 1375 1377 1378 1379 1380 1387 1388 1396 1400 1410 1411 1418 1419 1432 1436 1447 1461 1469 1473 1477 1515 1517 1528 1535 1544 1546 1552 1554 1565 1567 1568 1571 1575 1576 1577 1581 1582 1605 1606 1610 1625 1626 1631 1632 1651 1662 1666 1667 1675 1705 1706 1709 1712]\n# round=1000 of 10000 minW=220\n# step=1705 row=394 minW=220 found cw of W=184: [14 18 19 23 33 47 65 70 80 84 89 93 97 98 127 128 131 132 135 141 145 179 197 206 219 221 225 227 275 279 282 290 331 336 338 342 352 363 374 378 392 410 425 442 447 484 485 488 493 500 534 540 549 553 600 614 630 633 635 646 647 648 650 654 656 658 659 661 680 699 702 703 709 727 728 746 755 757 758 762 766 806 813 832 835 839 842 847 851 864 875 878 883 888 899 932 935 937 950 986 987 989 993 1025 1026 1030 1034 1040 1046 1079 1114 1115 1119 1120 1123 1125 1126 1131 1135 1136 1137 1181 1192 1200 1201 1202 1203 1204 1220 1235 1241 1243 1244 1297 1298 1299 1325 1326 1331 1333 1338 1339 1340 1383 1386 1388 1390 1391 1392 1393 1439 1474 1480 1481 1484 1488 1489 1490 1501 1502 1529 1544 1549 1551 1554 1559 1563 1584 1601 1608 1612 1616 1627 1642 1685 1693 1694 1696 1697 1699 1704 1705 1720 1727]\n# round=2000 of 10000 minW=184\n# round=3000 of 10000 minW=184\n# round=4000 of 10000 minW=184\n# round=5000 of 10000 minW=184\n# round=6000 of 10000 minW=184\n# round=7000 of 10000 minW=184\n# round=8000 of 10000 minW=184\n# round=9000 of 10000 minW=184\n# round=10000 of 10000 minW=184\nRW algorithm upper bound for the distance d=184\n</t>
  </si>
  <si>
    <t># step=0 row=2 minW=2017 found cw of W=204: [2 4 6 8 12 13 14 15 21 24 25 30 35 41 85 86 100 106 108 110 118 123 169 172 179 185 187 196 197 205 209 256 278 282 284 289 290 337 338 343 346 350 351 352 354 356 361 365 422 439 443 447 448 456 509 510 511 513 517 522 524 529 531 532 534 538 542 589 600 606 609 617 619 620 626 627 674 679 687 694 696 703 711 713 771 776 793 797 841 846 849 862 874 882 936 937 938 955 963 964 965 1009 1011 1024 1029 1035 1041 1042 1044 1098 1103 1105 1106 1111 1127 1182 1185 1192 1200 1206 1207 1214 1263 1265 1270 1277 1278 1286 1288 1292 1298 1300 1347 1348 1350 1354 1357 1358 1360 1363 1365 1367 1375 1385 1435 1442 1443 1449 1455 1460 1461 1464 1465 1513 1518 1526 1532 1539 1541 1544 1548 1551 1552 1598 1599 1605 1608 1609 1620 1623 1626 1627 1630 1633 1682 1691 1696 1701 1708 1714 1773 1781 1782 1785 1796 1806 1853 1855 1865 1867 1869 1877 1878 1881 1884 1936 1947 1952 1958 1959 1961 1963 1966 1968]\n# step=0 row=5 minW=204 found cw of W=190: [4 13 16 21 24 25 27 30 35 86 98 100 106 118 123 169 179 180 194 195 196 197 201 256 273 276 278 282 284 290 337 346 347 352 356 361 363 365 366 371 376 422 431 434 439 447 456 509 511 513 517 522 524 527 531 534 536 541 542 599 606 608 619 626 677 679 683 685 690 691 694 696 701 703 714 760 767 777 785 788 841 846 855 874 876 881 882 932 933 936 937 938 944 945 958 959 1011 1016 1024 1041 1042 1044 1046 1098 1101 1106 1127 1134 1185 1188 1189 1192 1194 1214 1263 1265 1267 1268 1270 1271 1277 1278 1283 1287 1293 1347 1351 1360 1367 1369 1373 1374 1375 1376 1442 1447 1449 1461 1464 1513 1518 1526 1541 1542 1544 1548 1554 1599 1603 1605 1608 1609 1614 1616 1623 1626 1630 1637 1686 1688 1696 1699 1701 1704 1707 1712 1714 1716 1720 1777 1782 1796 1802 1806 1853 1860 1877 1881 1884 1936 1939 1941 1942 1952 1955 1957 1958 1961 1966 1968]\n# step=0 row=23 minW=190 found cw of W=170: [43 54 66 72 133 134 136 137 138 143 148 158 159 163 165 226 231 232 237 242 298 301 302 304 307 310 311 331 386 390 396 405 406 465 466 467 469 470 476 478 483 484 486 489 491 492 501 503 548 551 554 556 565 569 573 578 580 588 636 640 641 644 646 647 648 668 719 727 734 738 747 751 803 806 816 822 825 828 884 885 898 907 911 913 917 971 973 980 981 983 986 988 1006 1056 1059 1063 1064 1066 1069 1074 1078 1085 1145 1148 1165 1219 1223 1227 1251 1255 1305 1308 1313 1315 1389 1391 1396 1399 1401 1423 1425 1427 1473 1476 1479 1481 1483 1484 1492 1494 1496 1501 1510 1559 1560 1561 1568 1578 1579 1583 1585 1590 1640 1646 1647 1648 1666 1723 1730 1734 1737 1747 1809 1823 1828 1831 1834 1836 1841 1893 1908 1916 1917 1926 1927 1977 1979 1981 1986 2010]\n# step=0 row=54 minW=170 found cw of W=164: [12 18 24 30 35 106 113 118 123 169 179 180 194 196 197 205 210 267 276 280 289 338 343 347 348 350 352 354 356 357 359 361 365 366 368 369 371 376 423 439 446 447 456 511 513 520 523 528 532 534 600 606 613 615 627 676 685 690 694 697 701 702 703 767 770 785 849 876 881 882 927 933 936 937 945 956 959 1024 1025 1026 1027 1034 1035 1040 1042 1048 1098 1101 1106 1111 1123 1134 1185 1193 1194 1200 1207 1214 1267 1270 1271 1286 1287 1290 1293 1300 1347 1348 1350 1354 1357 1359 1360 1365 1369 1442 1447 1454 1455 1515 1532 1538 1541 1543 1544 1548 1598 1599 1608 1612 1613 1614 1615 1627 1630 1633 1634 1637 1681 1686 1696 1699 1701 1704 1765 1770 1773 1782 1795 1801 1865 1867 1874 1877 1878 1936 1939 1942 1946 1947 1956 1959 1960 1961]\n# step=0 row=158 minW=164 found cw of W=142: [43 60 74 78 127 137 150 155 163 232 242 297 298 302 310 331 380 386 405 406 410 411 412 417 466 467 469 472 483 484 548 554 565 580 631 640 643 647 652 668 734 735 751 752 755 801 806 807 810 814 822 825 893 894 898 913 967 973 974 981 983 988 1004 1006 1064 1069 1078 1084 1085 1088 1091 1135 1137 1139 1145 1149 1158 1161 1169 1223 1227 1229 1233 1305 1306 1308 1313 1319 1332 1335 1338 1393 1399 1401 1402 1423 1478 1488 1493 1494 1496 1497 1502 1503 1508 1510 1561 1566 1573 1579 1580 1584 1585 1589 1590 1643 1646 1649 1652 1672 1725 1737 1747 1809 1816 1819 1821 1826 1831 1840 1841 1844 1893 1908 1913 1923 1931 1981 1985 1993 1996 2010]\n# step=1 row=261 minW=142 found cw of W=128: [46 55 60 73 74 78 83 128 136 156 233 244 296 297 309 310 315 384 391 392 396 398 415 416 419 470 478 493 498 502 504 549 639 642 651 656 657 661 662 667 715 717 729 749 754 808 811 820 822 825 827 830 835 837 889 902 922 980 989 1004 1051 1060 1063 1064 1079 1084 1088 1136 1145 1146 1147 1165 1169 1170 1175 1232 1247 1256 1315 1329 1333 1339 1341 1396 1398 1411 1415 1474 1478 1483 1498 1499 1503 1504 1507 1556 1574 1575 1580 1586 1591 1643 1646 1648 1652 1656 1661 1667 1672 1676 1731 1739 1754 1761 1763 1807 1816 1817 1821 1830 1836 1913 1917 1922 1924 1929 1976 1999]\n# step=16 row=119 minW=128 found cw of W=124: [48 53 54 73 127 134 136 141 151 155 156 163 168 216 221 227 235 249 304 382 395 400 405 409 414 465 467 476 479 481 484 490 492 494 499 501 504 564 574 578 720 729 738 747 800 801 802 811 814 816 825 828 829 832 834 883 896 897 910 911 983 988 989 998 1002 1003 1063 1067 1072 1092 1136 1140 1141 1145 1155 1156 1159 1163 1173 1230 1240 1244 1249 1314 1323 1327 1328 1336 1341 1342 1390 1396 1397 1400 1415 1488 1492 1493 1511 1555 1587 1641 1647 1680 1734 1752 1753 1762 1812 1834 1840 1892 1896 1901 1906 1907 1920 1921 1924 1925 1930 1978 1994 2003]\n# step=16 row=640 minW=124 found cw of W=122: [48 53 54 73 127 134 136 141 151 155 156 163 168 216 221 227 249 304 382 395 400 405 409 414 465 467 479 481 484 490 492 494 499 501 504 564 574 578 720 729 738 747 800 801 802 811 814 816 825 828 829 832 834 883 897 910 911 983 988 989 998 1002 1003 1063 1067 1072 1092 1136 1140 1141 1145 1155 1156 1159 1163 1173 1235 1240 1244 1249 1314 1323 1327 1328 1336 1341 1342 1390 1396 1397 1400 1415 1488 1492 1493 1511 1555 1568 1587 1641 1647 1680 1734 1752 1753 1762 1812 1834 1840 1892 1896 1901 1906 1907 1920 1921 1924 1925 1930 1978 1994 2003]\n# step=22 row=862 minW=122 found cw of W=120: [45 54 73 77 131 143 146 212 221 242 243 244 295 308 313 318 324 325 326 328 329 330 396 400 414 415 419 476 484 549 554 576 580 581 582 586 587 632 646 647 656 661 663 664 666 729 734 738 743 747 821 830 834 883 887 904 908 913 914 974 983 994 996 1004 1058 1067 1077 1082 1087 1091 1138 1143 1155 1168 1174 1230 1242 1243 1247 1253 1258 1319 1327 1330 1406 1420 1421 1426 1478 1487 1488 1506 1568 1576 1580 1594 1642 1650 1666 1667 1673 1674 1724 1734 1738 1742 1747 1825 1830 1834 1841 1846 1899 1907 1975 1978 1997 2004 2011 2016]\n# step=23 row=437 minW=120 found cw of W=98: [50 55 59 60 63 64 69 73 78 133 136 147 155 160 250 301 310 319 324 329 379 382 392 402 407 419 465 480 497 498 551 560 588 670 715 729 734 735 749 807 808 816 817 830 831 835 840 884 898 912 975 985 1055 1059 1064 1088 1141 1147 1155 1156 1165 1173 1174 1228 1237 1251 1256 1314 1319 1402 1411 1416 1421 1475 1483 1570 1593 1648 1666 1730 1734 1740 1744 1754 1762 1807 1812 1813 1825 1830 1835 1845 1917 1975 1981 1995 2012 2013]\n# step=23 row=993 minW=98 found cw of W=96: [50 59 60 63 64 69 73 78 133 136 147 155 160 164 296 305 310 319 324 329 379 382 392 407 419 465 480 497 498 551 560 584 648 715 729 734 735 749 807 808 816 817 830 831 835 840 898 912 985 1008 1055 1059 1064 1088 1141 1147 1155 1156 1165 1173 1174 1228 1237 1251 1305 1314 1319 1397 1411 1416 1421 1475 1483 1570 1593 1666 1730 1734 1735 1740 1744 1754 1762 1807 1812 1813 1825 1830 1835 1845 1917 1926 1931 1976 1995 2013]\n# step=211 row=506 minW=96 found cw of W=86: [158 160 166 212 215 220 221 224 225 230 238 240 298 335 394 548 553 554 568 571 573 585 586 636 655 663 665 741 799 814 821 833 836 886 887 918 924 978 983 988 993 996 998 1002 1005 1006 1080 1082 1146 1153 1155 1252 1258 1303 1308 1316 1323 1327 1339 1340 1387 1427 1486 1491 1558 1566 1568 1580 1587 1590 1644 1660 1663 1665 1670 1678 1732 1736 1743 1833 1911 1927 1991 1997 2002 2005]\n# step=628 row=105 minW=86 found cw of W=84: [55 67 69 73 78 83 160 161 167 212 226 231 237 244 249 323 328 404 409 416 492 493 494 569 574 579 638 661 742 825 830 831 835 836 883 892 921 976 1004 1053 1055 1062 1092 1135 1150 1158 1159 1246 1251 1259 1303 1318 1329 1336 1338 1343 1388 1391 1400 1411 1506 1555 1578 1584 1586 1675 1680 1723 1747 1749 1753 1756 1758 1811 1835 1836 1892 1902 1925 1929 1976 1979 1988 1999]\n# step=744 row=682 minW=84 found cw of W=78: [43 44 48 57 62 135 139 148 153 163 167 250 299 313 322 323 395 413 418 473 477 549 583 651 656 660 719 727 733 801 810 828 887 910 911 916 969 984 998 1058 1062 1072 1154 1167 1222 1236 1241 1303 1308 1309 1322 1337 1419 1423 1473 1481 1482 1486 1501 1505 1510 1555 1582 1642 1664 1665 1742 1815 1843 1847 1848 1897 1902 1910 1929 1979 1989 2012]\n# round=1000 of 10000 minW=78\n# round=2000 of 10000 minW=78\n# round=3000 of 10000 minW=78\n# round=4000 of 10000 minW=78\n# round=5000 of 10000 minW=78\n# round=6000 of 10000 minW=78\n# round=7000 of 10000 minW=78\n# round=8000 of 10000 minW=78\n# step=8558 row=481 minW=78 found cw of W=72: [64 73 82 127 160 164 246 247 296 301 310 333 382 406 416 420 474 502 551 633 634 638 648 657 665 734 735 744 749 903 908 917 922 967 976 995 1003 1008 1060 1069 1074 1092 1146 1160 1228 1251 1305 1310 1315 1320 1334 1387 1397 1411 1419 1420 1424 1474 1488 1493 1556 1580 1648 1657 1763 1835 1839 1908 1922 1926 2008 2013]\n# round=9000 of 10000 minW=72\n# round=10000 of 10000 minW=72\nRW algorithm upper bound for the distance d=72\n</t>
  </si>
  <si>
    <t xml:space="preserve"># step=0 row=1 minW=2161 found cw of W=448: [2 7 8 11 15 27 38 53 59 61 62 76 79 80 84 88 90 97 99 100 101 102 104 108 122 127 139 140 141 154 157 162 163 166 173 174 177 178 179 183 186 188 202 213 214 216 217 234 241 258 271 276 278 280 287 295 299 300 305 312 313 314 317 330 342 344 350 359 365 377 379 384 387 393 394 397 398 400 405 406 413 417 420 423 426 427 430 434 442 443 456 459 460 462 471 478 485 495 497 499 500 511 514 520 522 527 528 535 539 541 542 544 546 556 557 560 564 566 570 582 583 585 587 589 595 597 601 610 611 612 618 619 621 622 623 624 626 627 628 638 640 641 652 666 668 675 679 682 688 702 703 710 722 729 731 736 743 744 746 748 753 754 759 764 766 772 774 779 786 788 790 798 801 813 815 818 823 824 827 834 836 841 845 848 854 857 865 866 871 876 888 895 905 907 920 926 927 928 930 937 949 956 957 958 960 965 967 970 974 979 986 990 991 996 1011 1017 1020 1024 1027 1030 1032 1033 1042 1044 1047 1056 1061 1064 1071 1091 1097 1103 1113 1117 1118 1123 1124 1129 1131 1134 1137 1147 1148 1157 1161 1165 1167 1170 1178 1188 1197 1206 1210 1215 1223 1224 1225 1245 1249 1250 1251 1253 1260 1261 1262 1265 1267 1269 1274 1278 1281 1286 1295 1296 1299 1301 1307 1308 1318 1320 1331 1334 1335 1341 1346 1360 1362 1363 1365 1375 1379 1380 1382 1384 1387 1391 1395 1398 1402 1406 1407 1416 1420 1428 1429 1431 1432 1442 1444 1445 1447 1450 1459 1462 1469 1483 1487 1488 1489 1490 1499 1500 1509 1523 1524 1529 1531 1532 1534 1538 1544 1549 1554 1558 1567 1568 1575 1583 1604 1612 1620 1633 1635 1641 1644 1645 1646 1655 1660 1665 1676 1677 1680 1683 1695 1697 1702 1721 1731 1737 1738 1741 1745 1756 1763 1767 1782 1788 1792 1807 1810 1812 1824 1835 1845 1850 1857 1866 1868 1873 1874 1875 1882 1883 1884 1893 1903 1909 1910 1911 1912 1913 1920 1925 1927 1940 1954 1955 1959 1960 1974 1979 1982 1986 1989 1991 1992 1995 1996 1998 2007 2019 2020 2022 2027 2031 2041 2044 2057 2058 2063 2065 2070 2071 2076 2079 2081 2086 2087 2089 2091 2093 2096 2098 2102 2106 2107 2111 2121 2129 2138 2140 2142 2143 2148 2154 2156 2157]\n# step=0 row=2 minW=448 found cw of W=434: [4 8 10 14 15 17 27 28 44 47 54 59 64 74 75 79 80 81 86 89 90 91 94 99 104 108 124 129 138 141 148 156 157 161 163 166 170 173 174 177 178 183 186 188 202 206 213 214 216 217 219 235 236 243 257 258 270 280 284 288 299 300 313 320 327 331 337 349 351 359 365 371 377 380 397 398 399 400 402 405 413 420 421 426 434 435 438 442 443 445 447 455 456 457 460 462 469 474 478 489 495 497 500 507 511 514 517 522 527 528 539 542 544 550 552 557 562 564 569 582 586 587 591 593 595 605 611 612 614 616 618 619 623 624 626 627 636 638 640 641 652 657 668 675 679 688 703 715 721 726 731 742 744 746 748 760 764 766 774 775 776 778 779 786 788 793 798 800 813 815 818 827 840 845 848 851 855 857 865 876 878 888 895 900 902 905 907 920 926 927 928 933 951 952 956 958 960 965 967 969 970 974 984 990 993 996 999 1000 1006 1017 1027 1047 1048 1049 1053 1061 1064 1067 1071 1078 1088 1089 1095 1097 1111 1112 1116 1117 1120 1123 1125 1128 1129 1131 1134 1137 1139 1147 1148 1152 1154 1160 1165 1170 1175 1177 1178 1180 1185 1189 1196 1201 1206 1223 1225 1228 1232 1235 1242 1243 1246 1253 1261 1262 1271 1281 1289 1294 1305 1307 1308 1314 1319 1324 1331 1332 1334 1341 1350 1355 1360 1362 1363 1368 1375 1382 1386 1387 1391 1395 1397 1402 1426 1431 1434 1437 1442 1443 1444 1445 1447 1449 1450 1462 1466 1472 1477 1478 1483 1486 1488 1489 1497 1499 1502 1503 1508 1509 1511 1518 1523 1524 1529 1531 1534 1539 1544 1545 1548 1549 1553 1567 1575 1584 1587 1604 1605 1611 1612 1624 1635 1641 1645 1656 1658 1669 1677 1679 1680 1681 1694 1695 1697 1702 1712 1721 1727 1731 1738 1741 1745 1749 1770 1771 1782 1792 1801 1803 1807 1810 1812 1830 1835 1844 1845 1850 1856 1868 1874 1875 1882 1883 1884 1885 1886 1896 1902 1906 1910 1912 1913 1920 1925 1927 1936 1948 1959 1979 1981 1982 1992 1995 1996 1998 2008 2022 2027 2031 2036 2044 2053 2057 2063 2067 2070 2076 2085 2091 2093 2096 2102 2103 2111 2119 2120 2123 2128 2132 2138 2142 2143 2154 2156 2159]\n# step=0 row=4 minW=434 found cw of W=410: [6 7 11 14 15 30 34 42 53 54 64 80 84 86 88 90 97 99 102 143 144 154 156 161 162 163 166 170 171 173 174 202 214 235 241 257 270 271 276 284 287 300 306 313 314 317 331 337 342 350 351 357 361 363 365 378 379 384 387 398 399 400 404 406 407 414 420 421 423 441 452 455 459 460 463 474 492 495 497 498 499 500 506 507 511 514 515 517 518 520 521 522 528 534 539 541 542 552 560 564 566 572 579 582 583 586 587 593 601 608 610 611 615 616 618 621 623 626 627 640 641 666 668 677 679 682 688 702 705 721 722 723 729 731 734 736 743 746 748 753 754 759 760 764 772 774 775 778 779 786 788 792 793 798 818 828 829 834 840 844 845 848 854 860 866 873 887 890 900 902 908 920 926 927 928 933 939 941 944 948 965 974 986 992 993 996 1007 1011 1017 1020 1024 1027 1028 1032 1033 1042 1048 1049 1071 1075 1078 1085 1089 1091 1095 1097 1100 1111 1113 1116 1117 1118 1124 1128 1132 1137 1139 1152 1157 1158 1160 1161 1167 1173 1178 1188 1197 1206 1210 1215 1233 1235 1242 1243 1246 1250 1251 1253 1254 1255 1259 1262 1265 1268 1269 1271 1274 1278 1289 1294 1295 1296 1299 1300 1304 1314 1315 1319 1325 1337 1341 1346 1350 1353 1356 1360 1374 1379 1382 1387 1398 1402 1406 1420 1428 1429 1431 1433 1435 1438 1442 1443 1455 1459 1462 1466 1469 1483 1487 1500 1502 1503 1508 1512 1520 1524 1534 1544 1553 1558 1575 1578 1583 1584 1588 1590 1592 1611 1620 1638 1644 1645 1652 1655 1656 1657 1658 1669 1676 1680 1681 1683 1694 1695 1696 1697 1699 1702 1703 1721 1735 1737 1738 1739 1741 1747 1749 1756 1763 1771 1772 1773 1789 1792 1803 1807 1820 1824 1844 1845 1850 1857 1864 1866 1868 1874 1879 1882 1884 1893 1896 1898 1903 1924 1928 1940 1944 1948 1955 1960 1978 1979 1981 1989 1991 1996 1998 2008 2022 2023 2025 2027 2030 2031 2036 2037 2049 2051 2058 2063 2065 2066 2070 2071 2086 2091 2102 2103 2104 2123 2125 2128 2130 2132 2138 2142 2148 2154 2156 2159]\n# step=0 row=6 minW=410 found cw of W=398: [9 13 14 27 34 40 47 64 69 76 86 91 99 100 101 102 124 129 138 141 150 157 164 165 174 177 186 188 206 213 216 217 219 246 258 270 271 276 278 280 284 287 288 289 297 299 306 312 314 317 320 325 327 330 333 342 344 351 358 361 363 377 378 384 394 400 402 405 407 413 414 423 427 430 435 436 438 441 442 445 448 451 455 459 472 474 485 498 506 507 513 514 517 521 528 534 535 541 549 550 557 560 564 568 569 572 582 585 587 591 605 611 615 624 626 638 640 662 675 676 677 684 702 703 705 712 732 744 748 753 759 766 772 775 776 778 788 790 793 800 813 827 828 829 834 836 841 845 854 857 873 881 888 890 895 903 905 920 922 933 937 941 944 948 951 952 960 965 967 969 970 986 991 1011 1017 1020 1024 1027 1030 1033 1044 1047 1048 1050 1063 1064 1071 1095 1097 1100 1103 1107 1111 1112 1115 1118 1120 1125 1134 1139 1161 1170 1173 1175 1178 1185 1188 1195 1197 1201 1206 1214 1215 1225 1228 1231 1233 1235 1242 1249 1250 1251 1254 1256 1261 1262 1265 1267 1269 1270 1271 1278 1281 1286 1289 1295 1299 1308 1320 1325 1332 1336 1338 1341 1346 1350 1356 1360 1368 1373 1375 1379 1381 1386 1398 1400 1402 1428 1431 1432 1433 1434 1435 1437 1444 1450 1453 1459 1465 1477 1478 1483 1486 1488 1489 1497 1499 1500 1518 1532 1535 1541 1544 1545 1548 1549 1564 1568 1575 1583 1587 1590 1600 1604 1611 1612 1613 1624 1633 1635 1638 1641 1644 1646 1652 1655 1656 1657 1660 1681 1683 1699 1703 1711 1718 1727 1730 1737 1745 1747 1754 1770 1771 1772 1773 1775 1780 1783 1788 1789 1794 1801 1803 1812 1823 1824 1830 1837 1856 1857 1862 1864 1873 1874 1875 1878 1882 1883 1886 1893 1898 1906 1909 1911 1919 1924 1925 1936 1937 1940 1948 1954 1955 1959 1981 1986 1990 1992 1995 2000 2007 2022 2033 2037 2040 2044 2051 2053 2057 2064 2069 2070 2071 2076 2079 2081 2102 2103 2104 2107 2111 2119 2128 2130 2132 2138 2148 2156]\n# step=0 row=24 minW=398 found cw of W=390: [7 17 28 30 44 47 49 61 64 69 75 80 83 84 86 89 91 94 97 101 102 108 127 129 130 139 141 144 154 156 163 170 174 178 179 183 186 196 202 216 234 241 246 247 257 258 268 271 276 280 288 299 300 306 312 317 325 327 330 337 351 357 358 371 377 379 380 387 398 404 417 420 423 425 426 434 436 442 443 445 448 451 456 459 462 469 474 478 498 500 506 507 511 513 517 518 520 521 522 527 528 534 535 542 546 550 556 560 570 572 583 597 610 611 614 616 619 622 636 657 662 666 675 676 679 702 703 710 712 715 726 731 732 734 742 744 753 754 774 778 788 798 813 818 819 827 829 844 848 854 855 857 865 871 872 873 876 881 887 890 895 902 905 908 930 937 941 944 948 958 960 965 967 970 974 979 986 991 992 996 1020 1028 1048 1049 1056 1060 1061 1063 1064 1067 1075 1078 1085 1089 1091 1097 1100 1107 1111 1112 1113 1116 1119 1123 1124 1132 1134 1148 1152 1160 1167 1175 1177 1185 1188 1189 1195 1228 1231 1232 1233 1235 1243 1246 1249 1253 1254 1259 1267 1268 1271 1274 1281 1294 1296 1300 1302 1304 1307 1308 1314 1315 1318 1324 1332 1335 1337 1338 1340 1346 1352 1355 1363 1365 1368 1375 1380 1384 1387 1395 1402 1416 1429 1432 1433 1435 1437 1455 1462 1465 1477 1487 1488 1497 1509 1512 1518 1523 1529 1531 1532 1534 1538 1545 1549 1553 1559 1564 1567 1568 1575 1578 1588 1590 1592 1604 1611 1612 1613 1615 1620 1624 1635 1638 1644 1652 1657 1660 1665 1669 1676 1679 1681 1695 1696 1703 1712 1721 1731 1735 1737 1739 1741 1742 1745 1747 1756 1773 1775 1780 1783 1798 1810 1824 1835 1837 1844 1845 1850 1864 1866 1868 1875 1879 1883 1884 1886 1909 1919 1940 1945 1955 1960 1978 1982 1986 1991 1997 2000 2007 2008 2020 2025 2027 2031 2033 2036 2040 2044 2049 2057 2063 2065 2066 2067 2069 2070 2071 2076 2104 2107 2123 2125 2128 2130 2132 2133 2140 2143 2159]\n# step=0 row=41 minW=390 found cw of W=386: [11 15 17 27 28 37 40 58 59 61 69 76 81 87 91 94 97 99 127 129 130 140 143 148 156 161 165 166 170 177 179 181 188 202 213 214 235 236 241 246 258 268 271 276 280 288 295 300 306 313 317 330 337 342 344 349 351 357 364 365 371 377 393 413 414 423 426 427 430 434 435 436 442 443 451 456 457 459 460 463 478 485 498 500 506 513 514 520 522 527 528 534 541 546 549 550 557 560 562 564 572 583 585 586 587 591 593 597 601 605 611 612 619 622 623 624 627 638 652 657 662 666 668 675 676 682 701 702 710 712 729 731 732 734 742 743 746 748 753 754 760 766 774 776 792 798 818 824 834 836 841 851 854 860 865 866 871 872 876 881 890 920 926 927 937 941 944 948 951 956 958 967 974 979 984 991 992 996 1006 1007 1010 1020 1028 1030 1044 1047 1048 1050 1056 1061 1063 1075 1078 1085 1100 1112 1113 1116 1124 1129 1137 1139 1142 1147 1152 1154 1157 1161 1165 1167 1175 1177 1188 1195 1197 1201 1214 1215 1225 1231 1232 1233 1243 1246 1250 1251 1253 1259 1261 1262 1265 1268 1269 1286 1287 1296 1300 1304 1305 1308 1314 1319 1324 1325 1335 1336 1337 1338 1340 1341 1346 1352 1379 1386 1387 1391 1397 1400 1402 1426 1428 1429 1431 1433 1435 1444 1449 1455 1465 1466 1469 1472 1477 1478 1497 1499 1500 1502 1508 1511 1523 1524 1532 1534 1538 1548 1549 1552 1568 1575 1578 1583 1584 1592 1612 1613 1620 1624 1633 1638 1641 1644 1645 1657 1669 1676 1677 1679 1683 1697 1699 1711 1721 1735 1738 1739 1741 1745 1756 1763 1772 1773 1775 1782 1783 1788 1792 1794 1807 1810 1812 1824 1835 1844 1845 1850 1857 1864 1866 1868 1874 1879 1882 1885 1902 1903 1909 1910 1911 1919 1925 1940 1944 1954 1959 1982 1991 1992 1995 1996 2000 2007 2010 2018 2025 2027 2033 2049 2063 2064 2079 2086 2093 2104 2120 2123 2129 2132 2133 2140 2142 2143 2148 2156 2157 2159]\n# step=0 row=81 minW=386 found cw of W=384: [7 10 11 18 27 28 34 40 44 47 53 54 58 61 62 64 75 80 83 84 89 90 91 94 101 104 108 124 138 141 143 148 161 166 168 174 177 178 179 186 216 217 235 236 241 246 247 258 268 271 278 280 287 288 299 306 312 313 314 325 330 344 351 357 365 371 379 387 405 406 407 413 414 425 426 427 436 441 442 443 445 448 451 452 459 462 463 471 484 489 492 500 506 511 514 518 520 521 522 534 539 541 552 557 569 583 586 587 593 597 601 602 612 615 616 619 622 624 627 638 641 647 662 666 668 675 676 677 682 702 703 705 710 712 715 721 722 732 736 744 746 760 766 772 776 778 792 798 801 823 829 836 848 855 857 862 872 876 881 887 888 900 907 908 920 922 927 930 941 944 951 952 956 970 974 991 996 999 1000 1011 1028 1032 1047 1048 1050 1056 1060 1061 1062 1063 1075 1085 1088 1091 1100 1101 1107 1113 1116 1123 1124 1137 1142 1147 1148 1152 1154 1157 1158 1160 1170 1173 1175 1185 1188 1189 1201 1225 1232 1233 1235 1243 1244 1249 1250 1252 1261 1268 1271 1274 1286 1289 1294 1295 1296 1299 1304 1307 1319 1320 1332 1337 1338 1340 1350 1352 1353 1356 1365 1368 1380 1386 1387 1398 1399 1406 1407 1416 1428 1432 1434 1435 1442 1444 1455 1466 1469 1472 1477 1489 1499 1500 1502 1509 1518 1523 1534 1539 1545 1553 1575 1584 1588 1592 1604 1611 1612 1613 1615 1620 1624 1638 1641 1646 1652 1655 1658 1665 1676 1677 1681 1694 1695 1697 1699 1703 1721 1730 1735 1738 1739 1745 1747 1756 1772 1780 1782 1783 1788 1789 1798 1807 1812 1820 1823 1830 1835 1845 1856 1864 1868 1878 1882 1886 1892 1893 1902 1903 1909 1910 1919 1925 1936 1940 1945 1948 1954 1955 1959 1974 1982 1986 1991 1992 1995 1997 1999 2000 2007 2022 2037 2040 2051 2057 2058 2065 2067 2070 2076 2085 2086 2087 2091 2093 2106 2119 2121 2123 2128 2129 2140 2142 2157 2159]\n# step=0 row=90 minW=384 found cw of W=382: [7 10 11 14 17 28 34 37 40 53 69 76 79 84 91 94 104 106 127 140 141 143 144 148 154 156 162 164 165 170 174 179 183 186 188 189 196 206 213 216 226 236 238 239 253 257 258 275 278 280 287 288 295 305 313 314 317 325 327 330 349 350 359 364 365 371 377 378 386 387 400 404 405 407 414 426 427 435 443 452 455 457 459 462 463 469 474 485 489 492 498 500 506 513 515 521 522 534 535 541 549 550 552 560 564 572 579 585 591 595 601 602 605 610 612 614 615 616 618 621 624 626 627 634 636 638 640 647 648 652 668 675 682 703 705 720 726 727 729 741 743 753 754 759 766 774 778 779 788 790 792 798 799 801 816 819 823 829 836 840 841 844 845 848 851 857 862 875 876 888 902 907 908 920 922 930 933 948 951 956 965 974 984 986 990 991 992 996 1000 1006 1011 1017 1030 1032 1044 1047 1048 1050 1061 1064 1067 1071 1075 1078 1079 1089 1091 1101 1107 1112 1113 1116 1119 1123 1124 1128 1131 1132 1137 1152 1158 1160 1162 1167 1173 1175 1185 1201 1206 1224 1228 1244 1251 1260 1267 1273 1274 1278 1289 1294 1296 1299 1302 1305 1308 1315 1320 1336 1353 1355 1356 1362 1363 1365 1379 1386 1387 1397 1400 1407 1426 1429 1435 1447 1450 1465 1472 1478 1489 1497 1499 1500 1509 1512 1534 1538 1544 1545 1548 1552 1553 1554 1558 1559 1575 1583 1592 1604 1612 1646 1655 1660 1665 1677 1680 1681 1683 1686 1695 1697 1702 1703 1721 1722 1735 1737 1738 1739 1742 1745 1753 1754 1767 1772 1789 1801 1807 1812 1820 1823 1825 1830 1835 1845 1866 1868 1878 1879 1883 1884 1885 1902 1903 1911 1913 1920 1924 1927 1937 1945 1948 1954 1955 1960 1974 1978 1981 1982 1986 1989 1991 1992 1995 2007 2018 2025 2031 2036 2037 2040 2051 2064 2065 2067 2071 2079 2085 2086 2087 2091 2096 2103 2106 2121 2123 2125 2130 2132 2143 2156 2157 2159]\n# step=0 row=116 minW=382 found cw of W=366: [7 17 28 30 44 47 61 64 69 75 80 83 84 86 89 91 94 97 101 102 108 127 129 130 139 141 144 154 156 163 170 178 179 183 186 202 216 224 234 241 247 257 258 271 276 280 288 299 300 306 312 317 325 327 330 337 351 357 358 377 380 387 398 404 407 417 420 423 425 426 434 442 443 445 448 456 459 462 469 474 478 498 500 506 507 511 513 517 518 520 521 522 527 528 534 535 542 546 550 556 560 570 572 597 610 611 614 616 622 636 657 662 666 675 676 679 702 703 710 712 715 726 731 732 734 742 744 753 754 774 778 788 798 813 818 819 827 829 844 848 854 855 857 865 871 872 873 876 887 890 902 905 908 930 937 941 944 948 958 965 967 970 974 979 986 991 992 996 1020 1042 1048 1049 1056 1060 1061 1063 1067 1075 1085 1089 1091 1100 1107 1112 1113 1116 1123 1124 1132 1134 1147 1148 1152 1160 1167 1175 1177 1185 1188 1189 1195 1228 1231 1232 1233 1235 1243 1246 1249 1253 1254 1259 1267 1268 1271 1274 1281 1294 1296 1300 1304 1307 1314 1315 1318 1324 1332 1335 1337 1340 1346 1355 1363 1365 1368 1375 1380 1384 1387 1402 1416 1429 1432 1433 1435 1437 1455 1462 1465 1477 1487 1488 1497 1509 1512 1518 1520 1523 1529 1531 1532 1534 1538 1545 1549 1553 1559 1567 1568 1575 1588 1590 1592 1604 1611 1612 1613 1615 1620 1624 1635 1638 1644 1652 1657 1660 1665 1669 1676 1679 1681 1695 1696 1703 1712 1721 1731 1735 1737 1741 1742 1745 1756 1773 1775 1780 1798 1810 1824 1835 1837 1844 1845 1850 1864 1866 1868 1875 1879 1883 1884 1886 1909 1919 1940 1945 1955 1960 1978 1979 1982 1986 1991 1997 2000 2007 2008 2020 2025 2027 2030 2031 2033 2036 2040 2049 2057 2063 2065 2066 2067 2069 2070 2071 2076 2104 2107 2123 2125 2128 2130 2132 2133 2140 2143 2159]\n# step=0 row=127 minW=366 found cw of W=364: [7 15 17 18 28 40 47 53 54 58 62 69 79 80 84 86 90 97 102 104 108 129 143 148 154 156 157 161 162 163 170 173 174 177 178 183 186 188 213 216 226 234 244 246 270 276 284 287 295 299 300 327 330 344 357 359 363 371 377 378 380 387 393 394 398 406 413 414 417 420 423 425 427 434 436 441 442 448 455 456 457 459 460 469 471 478 484 506 507 511 513 517 527 542 550 557 560 564 583 585 593 595 602 616 618 621 628 641 666 668 675 688 701 710 721 729 731 732 734 742 743 744 746 760 764 772 775 779 786 788 792 813 824 827 829 834 836 854 855 865 866 871 872 873 875 881 887 905 908 922 926 927 930 937 948 951 956 958 960 965 970 979 986 990 991 1011 1017 1028 1030 1042 1044 1053 1056 1060 1062 1063 1085 1088 1091 1107 1111 1112 1116 1123 1125 1131 1136 1139 1142 1145 1147 1152 1160 1161 1177 1185 1197 1214 1224 1225 1228 1232 1244 1246 1254 1259 1260 1261 1267 1268 1269 1274 1278 1289 1294 1295 1299 1300 1301 1304 1308 1318 1319 1324 1325 1346 1362 1365 1375 1380 1384 1386 1395 1397 1400 1416 1426 1428 1433 1437 1443 1444 1447 1462 1466 1469 1488 1497 1502 1508 1511 1520 1531 1539 1541 1545 1553 1554 1558 1567 1578 1583 1584 1605 1620 1635 1641 1644 1645 1652 1655 1656 1657 1658 1665 1676 1679 1680 1694 1702 1711 1712 1727 1730 1737 1738 1745 1749 1771 1772 1780 1782 1792 1801 1803 1810 1823 1824 1830 1844 1866 1873 1874 1875 1878 1883 1884 1886 1893 1896 1902 1913 1919 1924 1925 1927 1945 1948 1954 1959 1974 1978 1979 1989 1991 1996 1997 1999 2000 2007 2010 2020 2025 2027 2031 2033 2040 2044 2049 2058 2063 2065 2067 2069 2070 2071 2076 2089 2096 2102 2106 2107 2121 2123 2125 2128 2130 2132 2138 2140 2142 2154 2156 2159]\n# step=0 row=407 minW=364 found cw of W=358: [7 8 10 11 15 30 37 61 69 75 79 80 81 84 89 91 97 100 101 104 124 127 129 138 144 154 166 170 174 177 202 206 216 236 247 257 271 288 295 299 300 305 313 314 342 344 351 357 359 363 371 378 379 387 394 399 404 421 426 427 430 434 441 448 456 457 459 460 462 463 469 474 478 489 492 511 521 541 542 546 550 552 557 560 562 566 569 582 585 591 595 597 605 610 612 614 616 618 619 622 628 636 641 647 652 682 688 702 703 710 722 723 729 731 736 742 743 744 766 774 776 778 779 790 793 805 815 834 836 840 841 844 848 855 862 865 866 871 876 887 900 902 905 907 908 922 926 927 930 956 970 990 993 999 1000 1017 1024 1027 1028 1030 1044 1049 1053 1061 1063 1064 1067 1075 1078 1085 1089 1091 1095 1100 1111 1117 1118 1124 1128 1131 1132 1134 1148 1157 1160 1161 1167 1173 1175 1177 1178 1188 1189 1195 1197 1210 1224 1225 1231 1232 1242 1244 1246 1254 1259 1260 1261 1265 1268 1269 1274 1281 1294 1295 1304 1308 1315 1324 1325 1337 1350 1355 1356 1360 1362 1363 1365 1375 1380 1397 1398 1416 1426 1428 1434 1437 1443 1444 1447 1449 1459 1462 1465 1469 1472 1477 1478 1483 1487 1499 1500 1503 1508 1509 1511 1512 1520 1523 1529 1538 1539 1541 1545 1548 1552 1553 1559 1584 1604 1605 1611 1615 1620 1624 1641 1645 1665 1676 1679 1680 1683 1692 1699 1702 1711 1730 1735 1742 1771 1772 1773 1780 1792 1794 1798 1801 1803 1810 1823 1824 1830 1835 1839 1844 1850 1857 1873 1875 1878 1886 1893 1902 1911 1913 1924 1925 1927 1928 1936 1940 1945 1954 1960 1974 1978 1982 1986 1996 2000 2008 2010 2018 2020 2025 2027 2036 2049 2057 2063 2065 2067 2070 2071 2076 2081 2085 2087 2091 2096 2098 2106 2119 2120 2121 2125 2128 2143 2156]\n# step=3 row=689 minW=358 found cw of W=356: [8 11 16 19 20 23 28 30 33 41 44 45 48 57 58 62 65 66 70 76 82 86 101 108 116 121 124 128 145 175 177 189 196 199 201 203 205 209 210 215 219 224 225 234 238 239 245 248 252 261 264 269 271 283 290 291 299 322 325 338 339 344 347 349 350 364 368 378 381 382 386 402 412 414 415 416 422 424 431 434 437 439 456 460 464 466 473 474 479 483 486 487 488 489 496 500 505 506 511 527 539 542 548 552 561 571 574 575 576 578 608 620 641 646 647 655 656 657 671 672 677 690 694 695 701 706 714 716 725 728 736 739 753 754 759 768 770 775 782 783 786 804 809 813 818 826 830 836 837 843 861 877 878 884 891 901 910 913 914 919 927 932 934 948 973 976 979 984 991 998 1008 1022 1023 1024 1027 1029 1030 1034 1039 1041 1044 1049 1052 1065 1066 1071 1082 1089 1091 1100 1122 1129 1130 1140 1142 1146 1147 1152 1153 1156 1158 1170 1179 1188 1191 1198 1202 1207 1222 1223 1228 1238 1245 1266 1274 1275 1276 1277 1278 1279 1295 1296 1304 1315 1317 1319 1331 1332 1335 1338 1345 1353 1355 1367 1381 1390 1396 1397 1406 1413 1417 1420 1424 1425 1434 1443 1449 1456 1460 1461 1469 1476 1494 1496 1499 1530 1531 1535 1537 1543 1566 1572 1573 1577 1584 1587 1591 1595 1600 1601 1609 1612 1624 1643 1648 1652 1654 1655 1660 1662 1679 1717 1719 1720 1738 1748 1753 1754 1756 1759 1762 1766 1770 1783 1784 1785 1792 1796 1799 1801 1805 1809 1812 1814 1820 1824 1834 1835 1838 1856 1870 1873 1885 1895 1906 1914 1920 1929 1932 1939 1947 1953 1956 1959 1961 1962 1966 1975 1983 1992 1995 1997 2001 2015 2026 2039 2055 2060 2068 2075 2085 2089 2099 2104 2107 2112 2115 2118 2125 2133 2136 2141 2145 2148 2150 2156]\n# step=4 row=765 minW=356 found cw of W=354: [10 12 17 25 26 28 29 49 60 63 68 76 81 82 83 89 90 91 92 93 94 95 97 121 128 136 139 146 151 152 158 160 166 168 169 171 179 184 193 194 198 201 204 212 218 222 226 227 235 237 249 251 252 253 261 262 263 267 271 275 288 290 291 303 321 329 337 348 354 358 359 377 383 385 388 390 403 411 420 426 436 444 467 476 477 483 489 490 492 500 507 511 514 517 520 529 531 533 554 560 566 570 577 589 602 605 611 614 616 618 623 629 630 633 640 647 659 660 663 674 677 683 686 692 694 708 720 724 726 733 740 747 753 771 772 782 785 804 805 815 818 819 828 836 858 867 871 872 876 885 889 895 900 906 920 921 928 933 938 939 940 947 961 962 964 965 969 979 986 989 991 993 999 1006 1020 1021 1035 1042 1043 1046 1053 1055 1056 1059 1060 1075 1081 1087 1091 1095 1096 1108 1110 1116 1130 1132 1138 1147 1149 1153 1163 1164 1166 1168 1174 1177 1178 1181 1193 1209 1216 1217 1222 1234 1235 1240 1244 1249 1254 1270 1288 1290 1291 1294 1305 1311 1320 1322 1324 1325 1340 1349 1357 1358 1360 1361 1367 1376 1381 1392 1396 1401 1404 1406 1413 1414 1423 1426 1427 1429 1434 1442 1447 1452 1456 1460 1461 1470 1473 1478 1491 1503 1509 1520 1525 1527 1537 1539 1542 1543 1548 1551 1560 1562 1567 1578 1579 1581 1582 1587 1590 1594 1595 1605 1615 1624 1635 1639 1640 1651 1653 1658 1659 1661 1666 1690 1692 1702 1716 1719 1727 1728 1745 1753 1758 1767 1771 1773 1787 1788 1798 1807 1813 1822 1824 1830 1831 1832 1834 1856 1876 1909 1914 1926 1934 1936 1948 1950 1965 1990 1992 1996 2005 2013 2014 2024 2026 2029 2034 2046 2049 2054 2070 2076 2077 2090 2095 2109 2113 2120 2138 2140 2155 2160]\n# step=4 row=790 minW=354 found cw of W=352: [11 13 15 17 26 45 73 76 77 86 91 93 94 95 99 104 112 121 146 151 158 165 168 169 171 179 182 183 184 194 203 204 209 214 219 223 235 237 238 240 241 250 251 252 254 259 262 263 270 278 287 288 291 292 295 304 306 321 329 343 350 352 363 377 383 385 388 397 403 417 420 423 428 429 431 440 442 454 463 467 471 491 500 503 513 521 526 531 540 544 547 550 557 561 562 566 569 570 574 577 588 589 612 613 618 623 629 636 644 686 687 692 693 694 701 704 740 745 751 753 754 769 771 772 779 793 797 798 804 805 818 819 828 829 834 838 842 845 848 852 853 856 859 870 872 873 876 885 886 900 916 921 936 940 957 964 979 980 991 1006 1010 1020 1021 1024 1028 1032 1035 1036 1042 1046 1055 1058 1059 1060 1061 1069 1075 1083 1085 1086 1087 1091 1095 1097 1108 1110 1120 1128 1130 1132 1136 1137 1142 1151 1153 1160 1163 1164 1165 1166 1174 1177 1182 1191 1204 1205 1207 1211 1214 1216 1222 1232 1234 1240 1244 1270 1275 1288 1290 1294 1312 1315 1320 1325 1340 1349 1352 1356 1361 1362 1363 1368 1381 1392 1394 1398 1401 1414 1420 1423 1426 1434 1436 1437 1445 1456 1461 1462 1463 1467 1470 1473 1477 1487 1494 1503 1507 1512 1523 1530 1533 1535 1537 1538 1544 1547 1551 1555 1560 1564 1567 1583 1584 1596 1605 1609 1615 1619 1622 1623 1624 1632 1640 1653 1658 1666 1672 1685 1690 1691 1695 1709 1711 1716 1721 1727 1728 1729 1730 1747 1753 1755 1762 1767 1771 1776 1787 1799 1813 1829 1832 1835 1837 1844 1853 1865 1867 1873 1881 1882 1903 1909 1912 1914 1915 1930 1934 1937 1948 1950 1959 1970 1996 2005 2014 2019 2024 2029 2034 2053 2054 2063 2072 2075 2102 2103 2108 2113 2119 2129 2138 2151]\n# step=11 row=160 minW=352 found cw of W=322: [1 3 5 22 25 34 36 57 58 72 76 80 86 100 113 116 126 127 141 152 154 158 159 167 173 174 176 177 186 192 194 198 203 206 208 210 212 218 224 239 240 248 256 260 265 268 270 275 282 287 291 296 298 301 303 312 323 331 332 335 347 349 362 364 368 371 375 384 390 402 403 411 416 421 438 450 451 465 466 467 474 482 486 503 509 517 522 530 553 557 559 582 594 596 603 605 607 612 619 633 637 640 641 643 648 649 661 669 683 691 696 713 714 715 736 754 758 768 772 776 802 807 809 811 812 823 826 831 845 853 855 876 883 888 889 909 910 916 919 924 926 930 931 938 948 952 954 961 970 982 986 998 1002 1005 1009 1016 1022 1024 1034 1043 1045 1050 1052 1056 1060 1063 1065 1077 1081 1087 1092 1103 1111 1119 1126 1127 1128 1141 1149 1161 1182 1184 1202 1210 1215 1222 1233 1234 1236 1250 1251 1255 1257 1262 1268 1274 1286 1287 1329 1330 1331 1333 1338 1344 1351 1361 1366 1367 1375 1381 1389 1405 1409 1417 1419 1431 1444 1446 1448 1452 1454 1455 1460 1476 1481 1491 1505 1509 1513 1518 1527 1528 1540 1570 1578 1580 1588 1599 1601 1606 1607 1635 1642 1652 1665 1667 1669 1674 1677 1678 1680 1688 1709 1724 1727 1735 1745 1746 1748 1761 1797 1798 1811 1812 1813 1814 1820 1821 1847 1848 1857 1861 1862 1863 1881 1883 1890 1891 1893 1899 1905 1909 1917 1923 1925 1926 1928 1936 1939 1961 1965 1966 1968 1972 1973 1982 1986 1993 2009 2014 2016 2028 2036 2040 2045 2052 2053 2072 2076 2083 2093 2094 2097 2104 2108 2112 2122 2126 2130 2135 2136 2152]\n# step=41 row=594 minW=322 found cw of W=308: [11 23 43 47 61 62 69 80 82 91 97 98 99 102 107 118 120 142 156 161 176 179 185 190 191 211 237 240 250 251 253 258 260 274 286 300 302 311 318 326 330 333 336 338 344 348 352 355 358 365 368 380 395 397 398 416 418 419 420 426 429 431 445 446 447 448 453 454 459 462 467 471 475 478 507 512 514 516 530 532 536 565 573 578 579 592 593 598 607 610 612 620 622 627 630 634 638 648 657 659 677 682 687 689 701 705 709 718 726 731 734 747 748 761 764 767 769 771 774 792 793 796 799 802 805 807 810 814 824 826 832 846 864 865 890 893 899 901 907 923 938 941 949 953 957 958 967 971 975 983 1002 1009 1015 1029 1030 1037 1038 1050 1054 1055 1059 1064 1065 1072 1073 1075 1088 1107 1112 1116 1120 1122 1124 1127 1128 1131 1144 1149 1153 1164 1177 1181 1188 1190 1203 1209 1212 1225 1232 1234 1237 1246 1261 1278 1290 1303 1305 1314 1320 1325 1327 1332 1334 1335 1347 1350 1360 1366 1376 1379 1384 1408 1415 1429 1449 1450 1467 1471 1485 1496 1501 1502 1503 1510 1513 1516 1524 1533 1546 1558 1567 1581 1595 1602 1614 1616 1617 1621 1648 1654 1663 1679 1686 1693 1697 1699 1707 1708 1711 1716 1722 1742 1743 1747 1749 1750 1755 1766 1778 1779 1788 1797 1799 1800 1839 1854 1859 1875 1876 1882 1884 1886 1895 1897 1898 1911 1931 1932 1941 1968 1980 1985 1990 1991 2001 2006 2013 2025 2028 2037 2042 2053 2065 2069 2072 2079 2086 2089 2100 2115 2124 2125 2129 2132 2139 2151 2157 2159]\n# step=56 row=22 minW=308 found cw of W=304: [2 9 11 16 24 25 32 42 46 47 55 56 60 61 62 75 81 84 90 96 99 105 106 124 126 127 145 149 155 170 178 188 213 223 229 243 244 280 289 292 293 301 315 316 317 323 328 331 332 335 338 340 345 367 375 384 393 396 410 420 421 422 429 432 433 439 443 447 453 464 472 479 486 491 493 499 500 506 507 508 512 513 519 521 522 528 529 533 535 542 543 544 548 555 564 566 568 572 576 578 579 586 588 590 593 597 598 604 629 630 633 637 644 658 673 682 689 690 691 697 705 710 711 713 724 730 732 733 734 745 747 748 759 761 804 813 819 826 838 845 863 888 899 900 924 930 944 951 953 965 975 992 999 1002 1009 1021 1024 1031 1033 1035 1036 1043 1050 1064 1075 1100 1108 1126 1144 1167 1181 1182 1187 1197 1208 1210 1215 1226 1229 1233 1240 1261 1262 1272 1280 1294 1307 1309 1323 1334 1344 1355 1357 1359 1362 1377 1379 1388 1391 1395 1401 1422 1423 1424 1429 1438 1442 1444 1451 1455 1471 1473 1477 1481 1485 1494 1505 1506 1509 1510 1513 1534 1535 1537 1547 1557 1560 1571 1574 1583 1591 1597 1602 1607 1611 1612 1617 1621 1626 1636 1646 1649 1653 1656 1662 1667 1672 1689 1696 1699 1700 1704 1713 1720 1740 1742 1749 1752 1768 1785 1789 1790 1793 1804 1807 1815 1832 1836 1843 1851 1853 1865 1872 1875 1879 1888 1890 1896 1897 1908 1922 1923 1929 1933 1940 1969 1970 1973 1976 2001 2006 2012 2027 2035 2037 2049 2057 2063 2071 2072 2073 2086 2144 2148]\n# step=56 row=44 minW=304 found cw of W=300: [2 9 11 16 24 25 32 42 46 55 56 60 62 75 81 83 84 90 96 99 105 106 124 126 127 145 149 155 170 178 188 213 223 229 243 289 292 293 301 315 316 317 323 328 331 332 335 338 340 367 375 384 393 396 410 420 421 422 429 432 433 439 443 447 453 464 472 479 486 491 492 493 499 500 506 507 508 512 513 519 521 522 529 533 535 542 543 544 548 555 564 566 568 572 576 578 579 586 588 590 593 597 598 604 629 630 633 637 644 658 673 682 689 690 691 697 705 710 711 713 724 730 732 733 734 745 747 748 759 761 804 813 819 826 838 845 863 888 899 900 924 930 944 951 953 965 975 980 992 994 999 1002 1009 1021 1024 1031 1033 1035 1036 1043 1050 1064 1075 1100 1108 1126 1144 1182 1187 1197 1208 1210 1215 1226 1229 1233 1240 1261 1262 1272 1280 1294 1307 1309 1323 1334 1344 1355 1357 1359 1362 1377 1379 1388 1391 1395 1401 1422 1423 1424 1429 1438 1442 1444 1451 1455 1471 1473 1477 1481 1485 1494 1505 1506 1509 1510 1513 1534 1535 1537 1547 1557 1560 1571 1574 1583 1591 1597 1602 1607 1611 1617 1621 1626 1636 1646 1649 1653 1656 1662 1667 1672 1689 1696 1699 1700 1704 1713 1720 1740 1742 1749 1752 1768 1785 1789 1790 1793 1804 1807 1815 1832 1836 1843 1851 1853 1860 1865 1872 1875 1879 1888 1890 1896 1897 1908 1922 1923 1929 1933 1940 1969 1970 1973 1976 2001 2006 2012 2027 2035 2037 2049 2057 2063 2071 2072 2073 2078 2144 2148]\n# step=56 row=281 minW=300 found cw of W=296: [2 9 16 24 25 42 46 55 56 60 62 68 75 81 84 90 96 99 105 106 124 126 127 145 149 155 170 178 188 213 223 229 243 289 292 293 294 301 315 316 317 323 328 331 332 335 338 340 345 367 375 384 393 396 410 420 421 422 429 432 433 439 443 447 453 464 472 479 486 491 493 499 500 506 507 508 512 519 521 522 528 529 533 542 543 544 548 549 555 564 566 568 572 576 578 579 586 590 593 597 598 604 629 630 633 637 644 658 673 689 690 691 697 705 710 711 713 718 724 730 733 734 745 747 748 759 761 804 813 819 826 838 845 863 888 899 900 924 930 951 953 975 992 994 999 1002 1009 1021 1024 1031 1033 1035 1036 1043 1050 1064 1075 1100 1108 1126 1144 1182 1187 1197 1208 1210 1215 1226 1229 1233 1240 1261 1262 1272 1280 1294 1307 1309 1323 1334 1344 1355 1357 1359 1362 1377 1378 1388 1391 1395 1401 1422 1423 1424 1438 1442 1444 1451 1455 1471 1473 1477 1481 1485 1494 1505 1506 1509 1510 1513 1525 1534 1535 1537 1557 1560 1561 1571 1574 1591 1602 1605 1607 1611 1617 1621 1626 1633 1636 1646 1649 1653 1655 1656 1662 1667 1672 1689 1696 1699 1700 1704 1713 1720 1740 1742 1749 1752 1768 1785 1789 1790 1793 1804 1807 1809 1815 1832 1836 1843 1851 1853 1865 1872 1875 1879 1888 1890 1896 1897 1908 1922 1923 1929 1933 1940 1956 1969 1970 1973 1976 1992 2001 2006 2012 2027 2037 2057 2063 2071 2072 2073 2078 2086 2144 2148]\n# step=80 row=826 minW=296 found cw of W=290: [3 13 14 27 35 40 42 48 61 99 112 117 118 120 131 136 140 151 156 172 177 187 199 204 211 219 222 224 235 254 257 260 267 279 282 308 313 314 324 337 351 364 365 366 367 385 399 407 408 413 422 427 430 444 445 448 449 453 458 459 463 467 475 484 492 497 521 530 542 549 553 562 564 567 581 586 590 592 606 612 626 633 634 670 676 688 691 704 725 733 761 764 768 772 786 796 798 805 815 819 827 830 832 833 837 839 848 851 852 855 858 873 879 881 890 895 898 902 903 906 908 915 916 922 925 937 945 948 955 958 969 973 979 981 984 993 995 998 1002 1014 1015 1016 1021 1031 1037 1065 1067 1071 1087 1090 1098 1112 1114 1118 1120 1123 1124 1139 1150 1160 1167 1169 1181 1190 1202 1210 1231 1233 1234 1237 1243 1245 1247 1250 1251 1268 1269 1272 1273 1287 1288 1290 1301 1305 1319 1322 1337 1344 1364 1373 1381 1385 1404 1407 1408 1415 1416 1417 1426 1451 1477 1488 1515 </t>
  </si>
  <si>
    <t>1519 1523 1527 1529 1543 1551 1556 1557 1559 1567 1573 1590 1599 1605 1609 1623 1624 1626 1627 1660 1665 1676 1682 1696 1712 1717 1718 1719 1720 1742 1752 1754 1760 1769 1770 1771 1792 1806 1810 1812 1817 1828 1831 1838 1842 1845 1864 1881 1885 1889 1895 1897 1904 1907 1932 1938 1939 1949 1951 1952 1954 1973 1987 1992 1993 2006 2007 2008 2017 2028 2029 2043 2044 2045 2047 2078 2080 2100 2101 2132 2139 2140 2148 2151 2153 2154 2156]\n# step=141 row=9 minW=290 found cw of W=256: [2 6 10 14 17 27 30 46 53 74 89 111 114 125 128 133 143 154 157 174 175 178 183 185 193 196 197 204 211 213 214 221 236 255 272 283 296 297 301 337 343 347 357 365 371 373 379 387 397 402 404 407 409 415 429 430 436 445 460 466 469 472 476 491 494 512 520 529 559 565 570 579 585 586 587 605 607 613 620 628 630 651 655 656 659 677 681 717 726 742 747 762 768 777 783 786 790 803 812 818 820 834 846 853 864 871 881 885 899 917 921 969 979 982 1004 1022 1031 1040 1043 1058 1061 1066 1072 1097 1098 1100 1101 1106 1109 1111 1112 1114 1130 1137 1161 1195 1197 1220 1221 1226 1231 1241 1255 1260 1262 1266 1274 1284 1291 1292 1294 1298 1305 1308 1313 1316 1320 1327 1339 1352 1353 1361 1368 1373 1381 1385 1388 1424 1442 1443 1449 1452 1460 1466 1478 1485 1501 1507 1514 1517 1521 1522 1525 1528 1530 1545 1553 1560 1582 1618 1622 1643 1663 1664 1669 1670 1671 1684 1685 1705 1707 1713 1714 1735 1739 1740 1747 1757 1762 1769 1770 1790 1798 1805 1818 1856 1858 1862 1870 1872 1880 1888 1897 1909 1919 1924 1930 1934 1944 1947 1953 1960 1973 1975 1977 1981 1983 1984 1988 2003 2006 2019 2041 2045 2055 2056 2077 2081 2106 2110 2115 2117 2128 2153 2158 2160]\n# step=141 row=338 minW=256 found cw of W=254: [2 6 10 14 27 30 46 89 111 114 125 128 133 143 157 174 175 178 183 185 193 196 197 204 211 213 214 236 255 257 272 283 296 297 343 347 357 365 371 373 379 387 394 397 402 404 407 409 415 429 430 436 445 460 466 472 476 491 494 512 520 529 541 559 565 570 579 585 586 587 605 607 613 616 620 628 630 651 655 656 659 677 681 688 717 726 742 747 762 768 777 783 786 790 812 818 820 834 846 853 864 871 881 885 899 917 921 969 979 982 986 1004 1022 1031 1040 1043 1058 1061 1066 1072 1097 1098 1100 1101 1106 1109 1111 1112 1114 1130 1137 1158 1161 1180 1195 1197 1220 1221 1226 1231 1241 1255 1262 1266 1274 1284 1291 1292 1294 1298 1305 1308 1313 1316 1320 1327 1339 1352 1353 1361 1368 1373 1381 1388 1424 1443 1449 1452 1460 1464 1466 1478 1485 1501 1507 1514 1517 1521 1522 1525 1528 1530 1545 1560 1575 1582 1611 1618 1622 1643 1663 1664 1670 1671 1684 1685 1705 1707 1713 1714 1735 1739 1740 1747 1757 1762 1769 1770 1790 1798 1805 1818 1856 1858 1862 1870 1872 1880 1887 1888 1897 1909 1919 1924 1930 1934 1944 1947 1953 1960 1973 1975 1977 1981 1983 1988 2003 2006 2019 2034 2041 2045 2055 2056 2077 2081 2106 2110 2115 2117 2128 2153 2158 2160]\n# step=409 row=359 minW=254 found cw of W=232: [17 18 21 28 29 31 42 43 46 49 53 57 68 71 75 82 93 99 110 118 144 146 165 172 178 189 196 214 236 240 246 272 286 319 322 348 368 380 384 390 401 415 429 430 440 448 451 459 465 474 483 484 519 520 541 549 552 566 570 573 581 585 602 634 642 670 677 681 685 703 710 720 727 728 746 756 771 778 781 792 803 839 850 867 868 900 904 907 926 940 964 979 986 997 1000 1021 1033 1065 1073 1076 1083 1088 1098 1101 1102 1112 1115 1120 1133 1145 1148 1155 1158 1159 1163 1183 1188 1191 1192 1214 1223 1224 1245 1252 1256 1267 1271 1273 1274 1281 1292 1295 1305 1320 1324 1328 1331 1341 1342 1346 1366 1371 1374 1389 1397 1406 1420 1457 1460 1467 1471 1489 1493 1503 1508 1525 1533 1550 1561 1564 1583 1597 1607 1608 1618 1621 1622 1623 1636 1640 1647 1650 1657 1661 1665 1669 1672 1676 1693 1694 1697 1712 1716 1718 1726 1730 1733 1740 1770 1773 1783 1787 1797 1801 1804 1805 1806 1808 1811 1826 1837 1840 1851 1852 1876 1883 1901 1905 1913 1917 1956 1958 1963 1994 1996 2009 2013 2020 2024 2030 2034 2046 2052 2059 2060 2063 2066 2091 2110 2135 2139 2156]\n# step=409 row=375 minW=232 found cw of W=230: [17 18 21 28 29 31 42 43 46 49 53 57 68 71 75 82 93 99 110 118 144 146 165 178 189 196 214 236 240 246 272 286 322 348 355 368 380 384 390 401 415 429 430 440 448 451 459 465 474 483 484 519 520 541 549 552 566 570 573 585 602 634 642 670 677 681 685 703 710 720 727 746 756 764 771 778 781 792 803 839 850 867 868 900 904 907 926 940 964 979 986 997 1000 1021 1033 1065 1073 1076 1083 1088 1098 1101 1102 1112 1115 1120 1133 1145 1148 1155 1158 1159 1163 1183 1188 1191 1192 1214 1223 1224 1242 1245 1252 1267 1271 1273 1274 1281 1292 1295 1305 1320 1324 1328 1331 1341 1342 1346 1366 1371 1374 1389 1397 1406 1420 1457 1460 1467 1471 1489 1493 1503 1508 1525 1533 1550 1561 1564 1583 1597 1607 1608 1618 1621 1622 1623 1636 1640 1647 1650 1657 1661 1669 1672 1676 1693 1694 1697 1712 1716 1718 1726 1730 1733 1740 1770 1773 1783 1787 1797 1801 1804 1805 1806 1808 1811 1826 1837 1840 1851 1852 1876 1883 1901 1905 1913 1917 1956 1958 1963 1994 1996 2009 2013 2020 2024 2030 2034 2046 2052 2059 2060 2063 2066 2091 2096 2110 2135 2139 2156]\n# round=1000 of 10000 minW=230\n# round=2000 of 10000 minW=230\n# round=3000 of 10000 minW=230\n# round=4000 of 10000 minW=230\n# round=5000 of 10000 minW=230\n# step=5433 row=307 minW=230 found cw of W=226: [1 8 23 24 33 91 92 95 121 157 163 178 207 226 231 238 252 262 267 289 297 305 353 361 363 364 375 389 397 407 411 421 443 446 474 490 493 496 500 511 515 526 533 537 544 565 568 605 623 626 698 709 728 733 738 741 750 751 755 763 766 805 813 827 830 856 874 877 885 892 913 921 938 940 942 946 948 952 954 960 962 963 966 967 968 999 1003 1014 1021 1024 1032 1039 1046 1052 1053 1054 1067 1071 1074 1075 1083 1086 1094 1103 1117 1122 1143 1154 1161 1163 1165 1168 1173 1179 1185 1193 1219 1230 1240 1250 1264 1265 1266 1286 1290 1305 1309 1327 1340 1344 1362 1366 1376 1383 1398 1401 1411 1412 1434 1438 1452 1459 1470 1481 1489 1491 1492 1495 1502 1503 1505 1506 1523 1538 1539 1549 1560 1563 1570 1574 1577 1585 1594 1596 1603 1639 1657 1664 1670 1674 1688 1693 1706 1717 1724 1731 1750 1757 1760 1793 1808 1850 1857 1864 1868 1869 1872 1879 1883 1890 1897 1900 1912 1922 1933 1940 1943 1947 1962 1969 1980 1989 2004 2008 2016 2018 2019 2026 2040 2041 2044 2047 2050 2054 2062 2066 2080 2083 2090 2095 2098 2102 2108 2116 2144 2160]\n# round=6000 of 10000 minW=226\n# step=6007 row=300 minW=226 found cw of W=214: [8 18 57 69 97 98 112 130 154 162 216 230 262 266 270 287 295 312 324 331 341 348 349 363 373 392 395 398 399 428 448 449 453 457 467 493 496 506 507 524 543 545 564 567 575 582 585 589 600 603 604 631 643 647 650 653 667 676 693 697 700 704 718 726 732 733 736 761 779 790 843 844 851 869 890 901 905 915 916 937 958 976 991 998 1012 1019 1034 1041 1048 1066 1070 1085 1106 1113 1117 1127 1131 1142 1163 1182 1218 1224 1235 1236 1238 1246 1249 1260 1268 1274 1279 1296 1304 1329 1351 1354 1357 1368 1379 1383 1385 1394 1425 1429 1437 1443 1454 1465 1476 1479 1482 1487 1518 1519 1526 1527 1530 1534 1537 1540 1562 1563 1568 1576 1580 1587 1591 1594 1601 1620 1649 1659 1662 1673 1681 1691 1702 1720 1731 1738 1741 1748 1756 1760 1763 1777 1785 1796 1799 1809 1816 1817 1827 1828 1842 1846 1860 1895 1914 1927 1928 1931 1932 1935 1939 1943 1953 1956 1972 1979 1986 1992 1993 2008 2010 2011 2022 2025 2028 2029 2039 2058 2068 2074 2086 2096 2110 2114 2122 2132 2133 2146 2150 2157]\n# step=6007 row=769 minW=214 found cw of W=210: [4 8 18 57 69 97 105 112 130 154 162 170 187 209 216 223 230 262 270 295 312 313 317 324 331 341 348 349 353 363 373 392 395 398 413 446 448 453 456 467 468 470 471 492 524 545 557 564 567 571 575 582 585 589 600 611 615 629 631 650 653 654 667 675 693 700 726 732 736 761 762 779 790 843 851 869 890 891 905 915 937 958 976 991 998 1012 1019 1034 1041 1048 1066 1073 1074 1085 1106 1113 1117 1124 1127 1131 1142 1163 1210 1218 1235 1236 1238 1240 1249 1254 1268 1274 1279 1296 1304 1326 1329 1350 1354 1357 1365 1368 1379 1385 1394 1397 1407 1425 1437 1443 1454 1465 1473 1476 1479 1482 1487 1508 1518 1519 1530 1537 1538 1541 1544 1548 1555 1568 1580 1587 1594 1601 1620 1656 1659 1662 1673 1681 1691 1702 1720 1731 1738 1741 1748 1756 1760 1763 1777 1785 1799 1809 1816 1827 1842 1860 1895 1914 1927 1928 1931 1932 1935 1939 1943 1947 1953 1956 1971 1986 1992 2010 2011 2021 2025 2028 2039 2068 2072 2074 2094 2096 2110 2114 2122 2132 2133 2143 2146 2150]\n# round=7000 of 10000 minW=210\n# round=8000 of 10000 minW=210\n# round=9000 of 10000 minW=210\n# round=10000 of 10000 minW=210\nRW algorithm upper bound for the distance d=210\n</t>
  </si>
  <si>
    <t># step=0 row=0 minW=2521 found cw of W=278: [1 4 12 13 19 23 24 40 89 90 99 102 121 124 172 175 177 187 188 189 191 199 204 209 255 256 263 266 267 271 273 282 283 284 287 288 290 293 337 341 342 354 355 356 421 423 425 426 432 438 440 452 455 460 462 507 515 520 529 532 540 595 601 604 614 618 619 620 630 675 677 678 680 682 686 696 698 699 701 706 709 762 763 767 769 776 779 781 785 845 851 854 856 857 859 860 868 871 880 882 931 954 956 963 966 1014 1016 1020 1027 1034 1035 1040 1046 1050 1098 1104 1111 1112 1119 1120 1121 1126 1130 1178 1179 1182 1183 1186 1191 1193 1198 1205 1213 1217 1267 1274 1278 1283 1284 1291 1295 1301 1302 1349 1357 1363 1374 1379 1386 1438 1440 1443 1446 1452 1456 1458 1463 1464 1467 1469 1513 1516 1523 1525 1527 1528 1530 1531 1542 1547 1552 1553 1554 1598 1601 1602 1604 1605 1606 1607 1613 1626 1635 1681 1682 1685 1699 1700 1711 1714 1768 1772 1776 1781 1783 1789 1790 1791 1796 1802 1806 1858 1860 1863 1864 1877 1882 1884 1885 1887 1890 1937 1942 1943 1945 1951 1969 1972 2024 2025 2027 2033 2036 2044 2046 2051 2056 2101 2103 2107 2108 2111 2116 2117 2119 2120 2122 2136 2186 2187 2195 2196 2201 2204 2210 2216 2218 2219 2222 2226 2279 2286 2289 2292 2293 2295 2296 2310 2360 2361 2364 2365 2371 2374 2375 2381 2382 2383 2388 2390 2438 2448 2450 2451 2457 2463 2473 2477]\n# step=0 row=3 minW=278 found cw of W=268: [4 5 10 12 15 21 26 27 28 39 40 89 90 99 100 110 119 126 170 172 175 183 209 253 254 255 256 263 265 266 279 280 283 293 341 344 351 354 355 363 364 376 421 423 425 426 432 438 440 443 446 452 455 460 462 520 532 537 540 594 595 599 601 604 618 619 627 630 675 680 683 689 690 696 699 705 706 711 757 760 763 779 780 781 784 845 846 850 851 855 856 859 868 869 874 882 931 945 949 955 956 962 966 1010 1015 1020 1021 1022 1027 1035 1039 1040 1044 1046 1095 1099 1110 1111 1114 1119 1120 1121 1124 1128 1129 1130 1178 1179 1183 1193 1197 1198 1205 1207 1210 1212 1214 1274 1283 1291 1294 1301 1302 1345 1348 1353 1357 1360 1361 1363 1364 1367 1378 1386 1436 1438 1440 1456 1463 1466 1467 1469 1517 1523 1524 1525 1527 1532 1538 1541 1546 1552 1554 1597 1598 1604 1607 1609 1619 1631 1633 1638 1685 1691 1698 1707 1711 1714 1721 1765 1768 1781 1782 1785 1789 1791 1795 1800 1801 1850 1855 1856 1858 1864 1869 1874 1882 1883 1885 1887 1890 1934 1936 1937 1951 1961 1968 1972 1973 2017 2036 2051 2056 2103 2111 2112 2115 2116 2117 2121 2122 2128 2136 2194 2195 2196 2198 2204 2207 2208 2209 2210 2215 2218 2219 2222 2226 2276 2279 2280 2298 2360 2363 2364 2365 2374 2388 2391 2393 2447 2451 2461 2463 2467 2471 2472 2473 2477]\n# step=0 row=7 minW=268 found cw of W=244: [9 13 15 19 21 23 24 27 28 29 34 40 90 91 99 110 111 169 170 172 191 206 253 255 256 263 266 269 273 280 283 290 293 337 351 355 361 363 372 376 438 440 441 452 455 518 526 529 540 589 594 595 619 626 630 673 675 680 686 689 694 698 701 711 714 760 761 762 763 780 781 785 787 845 850 851 854 856 871 874 945 954 956 961 963 1010 1014 1015 1021 1022 1040 1046 1098 1104 1110 1111 1113 1119 1124 1129 1130 1134 1178 1179 1183 1186 1197 1201 1205 1210 1211 1214 1217 1261 1264 1278 1291 1293 1295 1301 1345 1357 1360 1361 1362 1364 1374 1375 1379 1382 1386 1436 1438 1440 1443 1450 1455 1456 1458 1463 1469 1513 1522 1524 1530 1538 1541 1553 1554 1598 1602 1609 1623 1631 1635 1638 1682 1685 1698 1699 1707 1765 1768 1772 1781 1785 1789 1790 1791 1795 1796 1802 1806 1850 1852 1856 1858 1860 1863 1864 1865 1874 1883 1937 1942 1951 1955 1959 1961 1969 1973 2024 2030 2031 2035 2036 2037 2051 2054 2056 2057 2103 2104 2112 2115 2119 2121 2133 2136 2201 2208 2210 2218 2219 2226 2276 2278 2279 2280 2282 2289 2291 2293 2296 2298 2353 2354 2359 2360 2364 2365 2373 2374 2381 2393 2438 2442 2447 2448 2450 2463 2467 2471 2472]\n# step=0 row=17 minW=244 found cw of W=236: [11 13 19 27 28 29 32 34 37 39 87 99 100 110 121 122 126 170 172 175 183 203 266 271 273 282 287 290 350 351 355 356 360 364 376 421 432 436 440 441 446 450 507 518 520 523 529 537 540 599 614 618 620 630 675 680 699 702 706 709 711 714 757 758 760 762 763 769 776 778 783 784 785 794 845 850 857 865 869 875 880 882 945 949 961 962 966 1014 1017 1020 1022 1034 1039 1044 1095 1099 1110 1112 1113 1120 1124 1126 1129 1183 1193 1197 1205 1210 1214 1267 1278 1293 1294 1295 1345 1348 1350 1360 1362 1363 1364 1378 1379 1386 1437 1438 1440 1452 1458 1469 1516 1517 1521 1522 1523 1525 1527 1528 1532 1548 1552 1553 1554 1597 1598 1604 1609 1613 1619 1620 1631 1633 1635 1682 1698 1699 1700 1707 1714 1721 1765 1768 1772 1776 1777 1781 1782 1789 1790 1795 1801 1850 1858 1864 1872 1874 1884 1885 1886 1890 1935 1936 1943 1945 1961 1969 1973 2017 2027 2028 2033 2035 2037 2044 2046 2054 2101 2107 2117 2119 2120 2121 2122 2128 2133 2188 2196 2201 2207 2208 2210 2215 2219 2271 2278 2282 2289 2292 2310 2354 2364 2365 2367 2369 2373 2374 2381 2382 2390 2391 2438 2461 2463 2467 2471 2472]\n# step=0 row=24 minW=236 found cw of W=230: [44 48 49 57 64 68 73 145 152 155 160 215 218 219 227 233 240 242 245 250 307 318 325 328 329 332 333 380 397 400 401 402 410 417 418 468 476 483 484 500 550 552 556 560 566 569 571 636 645 653 666 670 715 724 733 735 736 742 744 747 752 804 823 826 829 839 884 891 892 902 908 913 918 920 968 974 987 994 996 999 1059 1062 1073 1085 1152 1153 1160 1168 1172 1223 1228 1233 1238 1246 1250 1260 1308 1313 1322 1324 1326 1333 1338 1339 1341 1342 1394 1395 1401 1407 1411 1422 1428 1471 1482 1485 1494 1497 1498 1499 1506 1510 1556 1560 1561 1562 1566 1569 1574 1584 1585 1593 1594 1648 1649 1653 1671 1675 1676 1679 1735 1737 1749 1750 1758 1759 1760 1761 1808 1811 1812 1814 1819 1821 1824 1826 1829 1836 1837 1844 1845 1891 1895 1899 1906 1908 1911 1920 1922 1923 1924 1975 1980 1989 1990 1991 1994 1999 2060 2064 2068 2073 2074 2085 2086 2091 2095 2098 2099 2148 2151 2157 2161 2166 2169 2173 2178 2237 2239 2243 2246 2260 2264 2268 2311 2315 2316 2331 2334 2337 2343 2344 2346 2398 2414 2417 2428 2479 2486 2491 2493 2495 2499 2503 2506 2509 2510 2517 2519 2520]\n# step=0 row=30 minW=230 found cw of W=188: [43 48 54 57 59 128 133 136 145 214 215 227 230 239 240 244 296 297 308 323 329 332 334 389 394 398 406 411 419 468 482 487 500 504 550 552 556 559 564 565 566 569 573 576 581 631 647 653 664 671 728 732 742 747 809 814 818 824 826 829 839 883 892 913 920 968 970 987 991 992 993 994 1007 1059 1065 1085 1172 1219 1225 1228 1233 1246 1251 1257 1311 1313 1322 1324 1326 1329 1340 1342 1343 1387 1388 1394 1396 1401 1477 1485 1489 1497 1503 1505 1510 1556 1558 1561 1571 1572 1579 1589 1593 1646 1647 1649 1658 1659 1671 1672 1676 1677 1723 1726 1731 1738 1746 1748 1750 1808 1814 1821 1828 1829 1831 1832 1836 1837 1844 1848 1892 1898 1901 1906 1909 1911 1923 1929 1975 1999 2002 2014 2060 2064 2066 2067 2085 2087 2089 2091 2099 2146 2157 2164 2166 2168 2234 2243 2264 2268 2322 2331 2335 2337 2340 2397 2398 2401 2417 2487 2489 2490 2495 2499 2505 2509 2512 2517]\n# step=0 row=380 minW=188 found cw of W=178: [15 19 23 24 28 89 99 100 103 119 126 170 177 189 204 206 253 255 279 280 282 284 287 288 290 337 354 356 361 364 374 423 437 438 444 446 455 460 508 520 526 589 594 597 599 604 626 630 673 683 689 699 702 707 709 711 758 769 776 779 784 785 854 855 857 860 869 874 875 938 941 949 1010 1014 1015 1034 1044 1050 1095 1104 1114 1119 1121 1130 1134 1178 1201 1205 1206 1214 1261 1267 1278 1295 1353 1363 1364 1374 1375 1432 1438 1440 1450 1452 1458 1464 1516 1517 1524 1525 1528 1548 1553 1554 1597 1598 1602 1607 1619 1626 1631 1638 1682 1700 1714 1721 1768 1777 1778 1781 1782 1789 1795 1796 1801 1858 1864 1865 1872 1936 1937 1942 1945 1969 1973 2017 2028 2039 2044 2046 2051 2107 2108 2120 2128 2134 2136 2188 2204 2207 2208 2211 2216 2280 2289 2292 2298 2354 2368 2374 2388 2390 2391 2393 2438 2448 2463 2473]\n# step=2 row=882 minW=178 found cw of W=170: [43 48 52 53 70 79 132 149 162 212 222 225 228 243 248 249 296 304 312 317 383 391 392 393 408 472 477 478 496 499 548 553 558 564 567 568 573 580 585 632 643 648 654 658 659 668 716 717 723 732 738 803 807 824 893 903 910 913 973 977 978 990 1002 1062 1065 1068 1088 1089 1144 1148 1153 1157 1164 1169 1250 1258 1259 1313 1316 1323 1327 1328 1338 1340 1387 1471 1477 1483 1489 1491 1502 1512 1569 1573 1583 1587 1592 1594 1652 1656 1658 1666 1668 1678 1680 1724 1729 1732 1741 1748 1752 1758 1760 1808 1821 1823 1834 1837 1844 1891 1902 1909 1913 1917 1922 1923 1926 1986 1987 1992 1993 1994 1998 2073 2076 2077 2100 2146 2147 2151 2168 2227 2231 2237 2241 2260 2262 2263 2265 2312 2322 2332 2337 2342 2344 2347 2352 2396 2402 2413 2414 2427 2480 2482 2487 2491 2501 2512 2514 2520]\n# step=4 row=228 minW=170 found cw of W=164: [19 37 88 94 99 100 114 125 177 195 204 254 255 274 281 337 338 339 360 365 371 433 444 507 512 515 526 531 539 540 544 545 546 605 624 625 626 689 699 701 704 705 706 710 758 763 767 777 794 843 844 853 860 864 870 871 875 880 928 934 937 939 940 945 959 965 1014 1017 1028 1032 1037 1094 1095 1100 1103 1121 1177 1183 1184 1189 1195 1199 1208 1210 1214 1261 1264 1290 1295 1348 1353 1358 1378 1437 1441 1450 1458 1464 1519 1521 1524 1535 1548 1551 1603 1613 1618 1625 1628 1629 1635 1688 1714 1773 1777 1778 1783 1784 1785 1792 1796 1798 1800 1806 1852 1854 1857 1870 1873 1874 1880 1885 1943 1968 1971 2018 2039 2048 2054 2114 2141 2204 2210 2218 2279 2283 2289 2293 2295 2299 2303 2357 2361 2363 2368 2391 2394 2441 2447 2449 2464 2470 2475 2478]\n# step=5 row=12 minW=164 found cw of W=138: [2 3 7 13 18 19 20 29 93 98 104 113 169 173 174 194 205 269 278 290 369 370 423 428 433 439 440 444 445 450 455 459 524 529 604 629 673 688 699 705 758 789 795 842 847 860 870 879 938 944 953 960 1014 1029 1034 1044 1045 1049 1093 1094 1113 1124 1130 1131 1193 1205 1209 1266 1268 1277 1283 1290 1295 1352 1357 1368 1379 1383 1439 1444 1454 1457 1464 1468 1522 1528 1538 1549 1598 1603 1623 1629 1698 1704 1719 1720 1771 1778 1783 1784 1789 1852 1857 1859 1862 1888 1943 1957 1959 1963 1964 1969 2022 2049 2055 2103 2106 2133 2134 2135 2186 2188 2193 2214 2219 2278 2279 2293 2297 2308 2359 2363 2369 2377 2389 2438 2442 2443]\n# step=5 row=55 minW=138 found cw of W=136: [2 3 7 13 18 19 20 93 98 109 113 169 173 174 178 184 189 194 205 269 278 290 370 423 428 433 439 440 444 445 450 455 459 524 529 609 629 673 678 688 699 705 789 842 847 860 870 879 938 953 960 1014 1029 1034 1044 1045 1049 1093 1094 1113 1124 1130 1131 1193 1205 1266 1268 1277 1283 1290 1295 1352 1357 1368 1379 1383 1439 1444 1457 1468 1522 1533 1538 1549 1598 1613 1623 1629 1682 1698 1704 1720 1771 1778 1783 1784 1789 1793 1852 1857 1859 1862 1874 1884 1888 1943 1957 1959 1963 1964 1969 2022 2049 2055 2103 2106 2134 2135 2186 2188 2193 2214 2224 2278 2279 2293 2297 2308 2359 2362 2363 2369 2377 2389 2438 2443]\n# step=9 row=694 minW=136 found cw of W=114: [6 86 87 102 117 172 197 203 208 272 277 283 346 352 368 426 438 442 453 457 458 592 608 628 629 682 686 698 708 713 783 841 846 858 862 863 868 877 926 937 1028 1048 1049 1102 1108 1112 1113 1117 1186 1197 1276 1282 1346 1356 1357 1366 1381 1382 1441 1447 1467 1526 1531 1532 1536 1601 1610 1622 1632 1637 1687 1691 1708 1713 1765 1770 1771 1776 1781 1782 1856 1867 1882 1883 1946 1951 1956 2031 2032 2042 2053 2107 2110 2111 2122 2128 2196 2207 2217 2222 2223 2271 2281 2302 2303 2307 2356 2361 2371 2372 2378 2451 2452 2472]\n# step=9 row=856 minW=114 found cw of W=106: [1 6 38 87 97 102 117 123 172 197 203 208 283 352 438 442 453 537 592 607 608 613 618 623 629 682 698 708 713 762 767 783 841 846 858 862 863 868 926 1028 1048 1049 1102 1107 1108 1112 1113 1117 1186 1197 1266 1282 1302 1346 1356 1357 1366 1441 1447 1467 1526 1532 1612 1622 1637 1638 1687 1690 1696 1708 1713 1722 1765 1770 1776 1782 1856 1867 1882 1946 1951 2031 2053 2107 2116 2122 2128 2142 2196 2207 2217 2222 2223 2271 2281 2301 2302 2303 2307 2356 2361 2372 2377 2378 2392 2451]\n# step=40 row=130 minW=106 found cw of W=84: [8 24 29 35 98 120 124 253 274 279 353 449 460 598 604 620 624 694 767 778 789 858 864 958 964 1024 1109 1113 1118 1194 1199 1204 1263 1288 1299 1368 1437 1448 1468 1523 1533 1539 1554 1602 1611 1613 1617 1618 1619 1622 1623 1624 1682 1688 1698 1719 1768 1772 1788 1853 1890 1937 1969 2031 2038 2048 2102 2108 2117 2123 2193 2213 2224 2271 2277 2282 2293 2302 2309 2357 2384 2451 2459 2468]\n# step=40 row=642 minW=84 found cw of W=76: [8 29 98 120 124 274 279 353 449 460 598 620 624 694 767 778 789 858 958 964 1109 1113 1118 1194 1199 1204 1268 1288 1299 1368 1437 1448 1468 1533 1539 1554 1602 1611 1613 1617 1618 1619 1622 1623 1624 1682 1688 1698 1719 1768 1772 1853 1890 1937 1969 2031 2038 2048 2102 2108 2117 2123 2193 2213 2224 2271 2277 2282 2293 2302 2309 2357 2384 2451 2459 2468]\n# round=1000 of 10000 minW=76\n# round=2000 of 10000 minW=76\n# step=2193 row=1059 minW=76 found cw of W=72: [43 48 53 63 68 79 217 234 244 314 319 324 393 473 579 643 648 654 813 883 903 978 1074 1243 1254 1259 1317 1332 1397 1413 1476 1477 1503 1504 1556 1561 1572 1578 1583 1584 1588 1642 1658 1668 1743 1747 1752 1807 1827 1896 1913 1924 1976 1977 1982 1998 2078 2152 2158 2167 2172 2227 2247 2248 2312 2316 2344 2349 2402 2428 2508 2518]\n# round=3000 of 10000 minW=72\n# round=4000 of 10000 minW=72\n# round=5000 of 10000 minW=72\n# round=6000 of 10000 minW=72\n# round=7000 of 10000 minW=72\n# round=8000 of 10000 minW=72\n# round=9000 of 10000 minW=72\n# round=10000 of 10000 minW=72\nRW algorithm upper bound for the distance d=72\n</t>
  </si>
  <si>
    <t># step=0 row=1 minW=2593 found cw of W=272: [3 4 5 10 11 20 21 23 28 30 31 76 88 90 96 99 100 104 106 155 156 157 158 162 169 217 233 234 240 242 243 245 248 296 302 303 315 316 317 324 363 369 380 381 383 385 387 395 434 435 440 443 451 456 508 512 516 517 525 530 537 539 579 586 592 593 596 604 611 649 651 652 659 667 673 674 677 681 684 721 727 734 735 749 752 756 793 807 809 810 812 818 821 868 873 874 881 891 896 944 948 950 959 962 972 1010 1012 1014 1017 1027 1084 1092 1093 1094 1095 1097 1100 1103 1104 1106 1108 1109 1110 1155 1165 1167 1170 1173 1175 1176 1180 1230 1238 1239 1242 1243 1244 1247 1297 1299 1300 1302 1307 1308 1311 1316 1322 1323 1332 1370 1376 1383 1386 1396 1397 1402 1442 1454 1464 1471 1473 1516 1522 1535 1540 1545 1591 1598 1607 1608 1610 1657 1661 1672 1673 1680 1684 1691 1731 1733 1739 1742 1745 1747 1749 1753 1759 1762 1801 1803 1804 1810 1811 1826 1832 1836 1878 1888 1889 1892 1896 1897 1902 1903 1904 1907 1945 1947 1951 1953 1955 1959 1965 1966 1972 2017 2019 2030 2050 2091 2092 2095 2097 2103 2113 2116 2121 2161 2168 2169 2173 2186 2194 2233 2234 2236 2242 2252 2260 2261 2263 2265 2305 2306 2309 2322 2328 2330 2340 2380 2381 2383 2387 2389 2391 2397 2400 2405 2463 2467 2473 2474 2477 2480 2483 2533 2535 2541 2549 2550 2551 2555]\n# step=0 row=4 minW=272 found cw of W=260: [6 9 11 14 15 20 23 30 31 35 76 84 85 88 99 100 106 107 146 155 156 157 158 159 169 234 240 242 243 245 293 298 306 322 362 368 375 380 387 392 434 435 436 440 443 444 451 458 512 513 515 525 528 538 539 581 582 589 591 595 611 649 651 654 661 667 674 677 681 683 721 722 729 734 735 749 751 756 802 807 809 810 812 818 821 823 824 828 868 881 891 896 940 948 959 961 967 972 1012 1017 1023 1026 1027 1032 1082 1086 1094 1095 1097 1098 1101 1103 1104 1110 1155 1162 1165 1166 1167 1175 1235 1238 1239 1242 1244 1248 1260 1316 1322 1323 1330 1371 1376 1383 1386 1388 1392 1396 1454 1464 1471 1473 1516 1518 1522 1535 1536 1545 1588 1596 1607 1610 1612 1657 1660 1661 1662 1669 1672 1675 1677 1691 1731 1733 1737 1738 1739 1740 1742 1745 1749 1752 1759 1761 1801 1804 1807 1810 1811 1817 1830 1831 1836 1880 1884 1887 1888 1889 1893 1896 1897 1905 1907 1947 1955 1956 1959 1964 1966 1968 1970 1971 2017 2019 2030 2040 2045 2091 2094 2097 2101 2113 2117 2121 2123 2161 2168 2172 2194 2233 2234 2236 2239 2249 2260 2261 2265 2305 2306 2308 2311 2318 2322 2328 2330 2380 2381 2383 2387 2389 2390 2391 2402 2411 2463 2467 2472 2473 2474 2477 2480 2481 2483 2531 2533 2535 2537 2541 2546 2549]\n# step=0 row=5 minW=260 found cw of W=252: [3 4 16 17 22 25 28 30 31 85 86 88 90 106 108 151 165 170 173 220 226 227 233 234 240 243 249 289 293 310 311 315 316 320 321 363 369 375 383 385 387 434 440 456 467 510 512 513 517 534 536 537 538 579 586 589 593 595 596 601 604 611 652 655 666 667 673 677 681 683 684 722 737 749 751 752 809 813 818 821 823 828 867 868 870 872 873 881 891 896 937 938 940 942 944 948 958 959 962 972 1022 1023 1032 1082 1086 1089 1098 1103 1104 1108 1113 1114 1153 1154 1157 1165 1167 1172 1175 1181 1227 1235 1239 1244 1260 1299 1300 1302 1310 1316 1330 1375 1376 1381 1391 1392 1400 1441 1442 1452 1464 1468 1471 1473 1474 1513 1516 1520 1529 1535 1536 1540 1545 1548 1589 1591 1608 1610 1619 1669 1672 1673 1680 1684 1686 1691 1734 1740 1742 1745 1747 1749 1753 1762 1764 1802 1804 1807 1810 1822 1830 1831 1875 1878 1880 1882 1884 1892 1893 1896 1907 1950 1951 1953 1955 1959 1968 1971 1972 2018 2019 2026 2034 2039 2050 2091 2092 2094 2095 2114 2116 2117 2120 2123 2161 2168 2174 2186 2192 2194 2236 2239 2240 2263 2265 2306 2311 2321 2328 2330 2379 2380 2383 2387 2389 2397 2400 2402 2405 2463 2467 2474 2478 2533 2536 2537 2541 2542 2546 2549 2550 2551]\n# step=0 row=6 minW=252 found cw of W=240: [1 4 5 8 11 18 21 31 35 85 86 87 88 90 99 106 107 151 157 158 165 173 217 220 221 226 233 234 243 298 303 317 367 369 375 381 385 387 392 434 436 440 443 455 456 513 515 516 520 525 528 530 533 577 586 589 591 604 611 649 654 656 666 670 674 677 684 721 727 735 754 793 795 796 802 810 824 867 868 876 890 896 898 940 941 942 944 950 961 962 972 1010 1012 1017 1023 1032 1082 1092 1093 1094 1100 1101 1106 1113 1153 1155 1162 1166 1167 1170 1172 1175 1180 1181 1227 1230 1233 1240 1243 1247 1248 1297 1310 1311 1323 1330 1332 1370 1375 1376 1383 1384 1386 1392 1396 1400 1402 1441 1442 1460 1466 1471 1473 1516 1518 1520 1522 1535 1548 1589 1591 1596 1598 1599 1610 1664 1669 1671 1675 1677 1691 1729 1736 1740 1742 1745 1752 1760 1801 1804 1808 1811 1817 1822 1826 1875 1880 1882 1887 1888 1892 1893 1902 1903 1907 1945 1947 1951 1956 1964 1966 1968 2019 2027 2039 2095 2114 2119 2120 2161 2172 2173 2194 2233 2236 2239 2240 2249 2252 2260 2263 2306 2311 2317 2318 2321 2328 2330 2380 2381 2382 2383 2387 2396 2397 2398 2402 2405 2463 2474 2478 2521 2523 2528 2533 2535 2542 2546 2555 2556]\n# step=0 row=7 minW=240 found cw of W=230: [5 6 8 9 11 17 19 25 29 30 31 35 82 84 86 96 99 155 159 162 169 217 220 221 226 233 240 242 293 296 298 302 303 305 307 310 317 324 361 368 381 383 385 395 436 440 444 458 508 512 513 516 530 537 539 577 581 584 589 591 593 595 601 603 604 649 652 661 673 683 684 727 734 737 752 756 793 807 867 868 870 874 890 891 898 937 940 944 948 950 958 959 961 967 1010 1014 1022 1026 1110 1113 1153 1162 1165 1166 1167 1172 1173 1175 1176 1226 1235 1236 1238 1239 1240 1244 1297 1300 1307 1311 1319 1321 1323 1330 1332 1370 1371 1372 1383 1384 1397 1442 1460 1474 1516 1540 1545 1548 1588 1589 1591 1596 1598 1599 1600 1607 1612 1664 1669 1670 1671 1683 1686 1733 1738 1740 1742 1753 1760 1764 1801 1803 1807 1809 1810 1830 1831 1832 1836 1881 1882 1884 1886 1887 1892 1896 1897 1907 1908 1947 1950 1953 1966 1970 1971 1972 2017 2027 2040 2091 2095 2103 2113 2116 2117 2121 2168 2172 2186 2194 2233 2234 2236 2239 2241 2242 2252 2260 2265 2305 2308 2318 2326 2340 2379 2390 2407 2467 2472 2473 2478 2480 2523 2529 2535 2537 2540 2546 2549 2556]\n# step=0 row=9 minW=230 found cw of W=218: [4 5 15 17 22 25 26 28 30 31 35 76 82 84 96 101 107 151 152 156 159 165 170 179 226 233 240 242 289 293 296 298 302 306 311 320 321 324 369 375 383 392 395 436 438 444 451 458 510 516 517 520 530 536 538 539 577 578 581 584 591 592 593 595 651 654 656 659 670 677 678 683 793 802 807 809 813 818 821 823 824 828 870 872 873 876 881 898 937 940 942 949 958 959 967 972 1010 1023 1086 1092 1093 1098 1101 1103 1106 1109 1113 1153 1162 1166 1170 1172 1175 1180 1227 1235 1236 1240 1243 1244 1247 1248 1260 1299 1307 1309 1310 1316 1319 1322 1370 1399 1444 1466 1476 1513 1522 1591 1599 1600 1607 1610 1612 1661 1673 1681 1684 1686 1729 1731 1736 1739 1740 1745 1760 1761 1762 1801 1802 1804 1808 1809 1822 1830 1875 1878 1881 1882 1886 1893 1896 1902 1905 1908 1945 1947 1950 1956 1959 1966 1970 1971 1972 2017 2026 2094 2119 2161 2172 2173 2174 2192 2194 2233 2237 2263 2305 2311 2321 2330 2380 2382 2389 2391 2463 2474 2478 2481 2483 2521 2523 2529 2531 2537 2542 2546 2549 2550]\n# step=0 row=182 minW=218 found cw of W=206: [4 20 21 23 30 35 82 86 88 96 99 104 108 155 156 157 162 169 220 221 227 233 242 243 245 249 293 298 306 307 320 361 362 380 383 384 385 387 395 434 440 456 508 534 537 577 578 582 586 593 596 601 611 652 656 659 661 666 670 678 683 737 751 752 818 823 828 867 868 874 876 891 896 898 937 942 944 950 958 961 962 1017 1022 1086 1092 1094 1100 1103 1104 1106 1108 1113 1154 1162 1166 1167 1172 1173 1176 1226 1227 1230 1235 1236 1240 1242 1260 1299 1308 1310 1319 1322 1323 1375 1376 1383 1402 1441 1452 1464 1473 1522 1529 1535 1540 1548 1589 1598 1600 1607 1608 1662 1671 1675 1681 1686 1691 1729 1736 1738 1740 1742 1749 1752 1759 1760 1764 1801 1804 1807 1811 1822 1826 1831 1832 1836 1878 1880 1881 1884 1887 1888 1907 1945 1951 1964 1971 1972 2019 2039 2040 2045 2094 2097 2103 2116 2186 2233 2249 2252 2260 2261 2305 2306 2318 2321 2322 2328 2380 2382 2383 2387 2391 2397 2398 2405 2474 2478 2483 2521 2531 2537 2542 2551 2555 2556]\n# step=0 row=367 minW=206 found cw of W=200: [1 5 6 11 15 17 20 21 25 29 76 84 86 88 90 106 156 157 170 217 226 240 248 293 296 302 306 310 320 324 361 367 369 381 387 434 438 456 458 510 516 517 528 530 533 537 539 577 578 581 582 589 592 593 595 596 603 611 649 656 659 666 670 673 678 721 727 735 743 793 796 802 807 824 867 870 872 876 891 896 898 944 948 949 959 962 1010 1014 1017 1093 1095 1101 1109 1153 1154 1166 1170 1175 1176 1180 1226 1233 1236 1243 1244 1248 1297 1299 1309 1311 1319 1322 1330 1332 1370 1372 1376 1384 1386 1388 1396 1402 1441 1471 1473 1513 1522 1540 1548 1589 1598 1599 1608 1657 1661 1662 1669 1671 1681 1683 1691 1736 1738 1740 1742 1753 1762 1803 1811 1830 1875 1881 1882 1887 1888 1889 1893 1896 1897 1902 1904 1950 1966 1972 2017 2019 2027 2045 2097 2114 2116 2173 2174 2186 2194 2237 2239 2242 2249 2261 2305 2306 2318 2326 2328 2379 2383 2387 2395 2397 2473 2474 2480 2521 2535 2540 2541 2546 2549 2551]\n# step=0 row=724 minW=200 found cw of W=172: [1 11 20 21 23 31 76 84 90 96 100 101 104 106 146 155 157 165 169 170 173 217 220 226 234 242 245 248 316 363 381 383 395 434 440 444 455 456 458 508 510 513 515 516 525 530 536 538 579 591 593 654 656 670 674 678 722 727 729 737 751 754 795 802 810 812 813 818 828 873 890 940 948 950 962 1014 1022 1095 1097 1101 1103 1109 1162 1166 1170 1175 1230 1233 1235 1242 1248 1297 1299 1300 1308 1322 1386 1388 1396 1400 1444 1447 1466 1471 1473 1513 1518 1522 1530 1599 1610 1657 1671 1673 1681 1736 1738 1742 1752 1762 1801 1802 1807 1817 1831 1880 1882 1884 1887 1889 1893 1897 1903 1904 1953 1956 1966 1972 2039 2092 2094 2097 2101 2119 2120 2123 2169 2186 2192 2233 2252 2263 2322 2328 2330 2340 2379 2381 2391 2396 2397 2405 2473 2474 2477 2521 2533 2535 2537 2540 2546 2550]\n# step=14 row=264 minW=172 found cw of W=162: [39 45 53 59 67 69 112 118 120 124 126 130 134 138 140 181 183 185 193 199 215 265 270 287 337 351 360 399 405 409 413 419 425 480 484 488 494 551 555 558 569 572 628 635 636 688 692 706 710 720 761 767 769 781 832 834 848 850 852 858 914 927 936 977 985 989 990 994 997 1046 1056 1072 1119 1121 1127 1143 1145 1147 1151 1194 1198 1199 1213 1220 1267 1268 1270 1271 1274 1282 1284 1289 1293 1296 1347 1354 1357 1416 1418 1424 1481 1487 1495 1497 1501 1505 1509 1580 1631 1638 1639 1644 1721 1770 1774 1782 1786 1837 1841 1845 1851 1871 1915 1923 1938 1988 1992 1993 1994 2014 2055 2063 2071 2075 2134 2138 2144 2160 2197 2215 2270 2278 2279 2301 2348 2358 2364 2368 2429 2435 2437 2443 2447 2488 2492 2494 2496 2498 2508 2564 2577 2592]\n# step=14 row=304 minW=162 found cw of W=134: [46 56 118 120 124 136 138 140 181 183 193 199 205 215 254 278 343 345 347 351 355 409 417 419 478 480 484 492 496 500 551 559 563 614 622 628 630 632 636 638 640 642 644 690 704 718 767 769 783 832 834 836 842 844 848 850 852 858 901 905 909 913 931 974 990 996 1072 1121 1131 1143 1145 1147 1192 1206 1214 1216 1271 1289 1334 1350 1354 1481 1501 1505 1550 1558 1623 1641 1702 1770 1774 1782 1788 1796 1837 1845 1851 1871 1912 1916 1926 1928 1932 1942 1997 1999 2055 2061 2126 2134 2138 2146 2152 2197 2199 2203 2207 2209 2211 2215 2217 2231 2274 2276 2302 2355 2415 2437 2488 2492 2502 2571 2575 2585]\n# step=25 row=312 minW=134 found cw of W=122: [52 68 183 193 197 269 273 284 333 337 341 346 347 351 401 406 415 426 429 481 482 491 495 496 504 573 618 625 630 636 640 685 689 699 703 705 776 790 839 921 926 935 982 989 998 1002 1004 1053 1057 1121 1134 1135 1148 1201 1265 1271 1278 1279 1281 1334 1336 1349 1350 1362 1407 1419 1421 1429 1481 1495 1498 1509 1550 1551 1561 1562 1571 1628 1634 1638 1639 1649 1694 1695 1725 1775 1852 1929 1983 1995 2005 2009 2015 2060 2062 2072 2127 2214 2228 2229 2271 2278 2282 2286 2291 2341 2351 2355 2359 2367 2414 2415 2422 2445 2492 2495 2514 2559 2566 2573 2580 2591]\n# step=25 row=1142 minW=122 found cw of W=118: [52 68 183 193 197 269 273 284 333 337 341 346 347 351 401 406 415 426 429 481 482 491 495 496 504 573 618 630 636 640 685 689 699 703 705 776 790 839 921 926 935 982 989 998 1002 1004 1053 1057 1121 1134 1135 1148 1265 1271 1279 1281 1334 1336 1349 1350 1362 1407 1419 1421 1429 1481 1495 1498 1509 1550 1551 1561 1562 1571 1628 1634 1638 1639 1649 1694 1695 1725 1775 1852 1929 1983 1995 2005 2009 2015 2060 2062 2072 2127 2214 2228 2229 2271 2278 2281 2282 2286 2291 2341 2351 2355 2359 2367 2414 2415 2422 2445 2492 2495 2514 2559 2573 2591]\n# step=139 row=10 minW=118 found cw of W=98: [16 82 88 92 97 106 147 174 224 228 232 234 242 251 311 319 373 387 395 455 514 517 519 582 604 650 654 658 735 802 803 816 817 818 889 939 949 1031 1090 1103 1112 1158 1172 1238 1248 1249 1303 1304 1314 1318 1331 1372 1447 1448 1457 1458 1475 1526 1534 1548 1613 1616 1620 1657 1738 1757 1816 1879 1883 1884 1888 1897 1956 1975 2024 2034 2037 2038 2052 2092 2093 2100 2101 2115 2161 2169 2196 2237 2252 2333 2336 2392 2396 2464 2536 2541 2550 2551]\n# step=345 row=698 minW=98 found cw of W=76: [3 27 76 81 85 90 153 158 167 172 222 226 240 308 361 371 516 521 538 656 657 684 806 815 870 897 942 956 1028 1086 1087 1100 1114 1164 1169 1246 1255 1258 1306 1320 1329 1374 1383 1388 1397 1446 1465 1474 1542 1596 1687 1731 1737 1814 1881 1891 1900 1903 1950 1958 1968 1980 2026 2040 2045 2094 2122 2163 2167 2194 2307 2316 2326 2338 2384 2457]\n# round=1000 of 10000 minW=76\n# step=1157 row=205 minW=76 found cw of W=72: [42 64 110 124 128 142 341 405 413 422 431 473 491 545 554 622 640 685 695 707 713 845 917 922 976 980 989 1066 1075 1121 1148 1189 1193 1211 1216 1261 1265 1344 1349 1352 1426 1553 1571 1630 1652 1693 1707 1775 1793 1838 1856 1910 1924 1925 1928 1942 1997 2078 2201 2210 2224 2228 2278 2282 2350 2354 2368 2372 2491 2495 2504 2518]\n# step=1157 row=495 minW=72 found cw of W=64: [110 124 128 142 341 405 413 431 473 491 545 554 622 640 695 713 845 917 922 976 980 989 998 1066 1121 1148 1189 1193 1211 1216 1265 1283 1349 1426 1553 1571 1630 1652 1693 1707 1775 1793 1838 1856 1910 1924 1925 1928 1942 1997 2201 2210 2224 2228 2278 2282 2350 2354 2368 2372 2491 2495 2504 2518]\n# round=2000 of 10000 minW=64\n# round=3000 of 10000 minW=64\n# round=4000 of 10000 minW=64\n# round=5000 of 10000 minW=64\n# round=6000 of 10000 minW=64\n# round=7000 of 10000 minW=64\n# round=8000 of 10000 minW=64\n# round=9000 of 10000 minW=64\n# round=10000 of 10000 minW=64\nRW algorithm upper bound for the distance d=64\n</t>
  </si>
  <si>
    <t xml:space="preserve"># step=0 row=1 minW=3025 found cw of W=552: [3 4 7 17 19 22 29 30 34 37 38 39 41 43 45 51 59 61 76 89 95 109 115 119 124 137 143 147 150 158 162 212 216 219 222 223 226 236 238 262 272 277 283 285 286 288 289 290 299 309 323 327 335 338 348 371 373 400 405 407 412 414 417 419 423 424 425 427 428 431 434 444 454 461 466 473 475 487 493 505 522 533 538 540 547 550 563 566 569 571 574 575 578 580 583 585 586 593 610 615 619 630 641 645 648 651 662 665 669 673 675 688 689 696 699 710 720 725 726 730 737 738 739 752 756 758 761 763 765 783 793 794 796 799 804 806 807 818 832 847 848 854 862 868 869 873 874 877 882 886 888 894 902 904 910 914 917 918 919 925 926 928 935 939 941 953 958 960 961 965 972 976 979 986 991 1013 1018 1019 1025 1033 1042 1043 1045 1046 1051 1067 1077 1079 1088 1092 1095 1103 1109 1113 1118 1124 1125 1135 1158 1166 1173 1174 1183 1186 1188 1194 1200 1203 1206 1207 1212 1223 1224 1232 1239 1250 1251 1257 1259 1273 1282 1287 1294 1301 1304 1310 1312 1313 1317 1328 1330 1332 1346 1350 1351 1352 1353 1358 1362 1367 1372 1378 1379 1384 1387 1390 1404 1405 1409 1412 1425 1430 1431 1444 1446 1448 1457 1467 1473 1478 1481 1494 1502 1504 1506 1511 1520 1522 1523 1524 1527 1530 1531 1533 1538 1547 1548 1550 1553 1555 1557 1559 1562 1573 1574 1575 1578 1596 1601 1609 1615 1621 1622 1630 1636 1637 1650 1651 1655 1658 1662 1681 1684 1686 1692 1695 1703 1713 1715 1721 1726 1737 1741 1745 1757 1759 1762 1766 1767 1768 1782 1786 1802 1803 1805 1806 1807 1813 1815 1816 1819 1822 1826 1830 1831 1833 1843 1844 1850 1864 1866 1869 1871 1885 1891 1893 1901 1902 1912 1914 1917 1919 1938 1942 1949 1963 1964 1966 1970 1973 1975 1980 1998 2001 2006 2008 2014 2023 2027 2028 2033 2034 2037 2039 2040 2043 2046 2047 2058 2060 2066 2079 2090 2092 2095 2098 2100 2105 2112 2114 2122 2134 2141 2144 2147 2148 2153 2159 2176 2202 2204 2217 2218 2221 2225 2248 2252 2254 2255 2262 2268 2269 2274 2276 2281 2290 2294 2297 2301 2302 2305 2307 2314 2321 2324 2332 2333 2338 2341 2349 2356 2360 2365 2382 2386 2388 2389 2390 2391 2403 2407 2408 2412 2414 2419 2420 2423 2425 2428 2435 2437 2439 2442 2444 2446 2449 2453 2455 2462 2472 2476 2482 2502 2503 2507 2509 2514 2516 2522 2534 2541 2542 2544 2545 2546 2557 2558 2564 2568 2581 2584 2588 2595 2601 2602 2615 2617 2624 2629 2630 2640 2653 2659 2672 2680 2714 2721 2727 2735 2737 2745 2746 2749 2757 2762 2766 2767 2777 2780 2781 2786 2799 2802 2822 2842 2845 2846 2848 2850 2852 2853 2857 2865 2870 2871 2878 2887 2903 2918 2919 2920 2923 2927 2930 2934 2937 2938 2955 2962 2964 2965 2967 2974 2982 2990 2993 3000 3003 3004 3013 3016 3021]\n# step=0 row=17 minW=552 found cw of W=530: [15 22 29 34 41 43 44 45 51 52 53 55 61 62 88 95 109 123 124 128 130 143 150 154 158 163 169 176 184 186 197 207 215 222 224 226 231 233 251 254 261 263 265 277 283 289 290 297 303 309 323 324 327 335 351 354 356 366 368 370 371 379 382 389 396 411 414 415 417 419 423 425 427 428 443 446 448 449 454 461 468 473 475 476 482 485 487 502 525 533 538 540 548 552 555 562 563 566 569 571 576 578 602 609 615 640 641 645 651 656 665 666 668 669 673 681 688 694 695 699 720 732 738 739 752 761 768 783 788 793 794 796 799 804 806 811 812 818 823 832 860 862 869 872 874 877 888 891 902 910 914 917 923 925 926 928 935 939 941 958 965 972 975 979 981 982 986 988 991 993 995 1023 1034 1035 1043 1045 1050 1051 1071 1072 1075 1077 1088 1103 1109 1113 1124 1130 1135 1138 1142 1145 1158 1163 1164 1174 1178 1194 1196 1203 1207 1212 1224 1230 1235 1242 1251 1252 1265 1270 1273 1280 1282 1304 1308 1310 1317 1318 1319 1330 1332 1336 1337 1351 1352 1353 1356 1357 1358 1363 1366 1372 1375 1379 1392 1404 1405 1409 1413 1431 1441 1446 1448 1464 1467 1468 1473 1474 1475 1476 1481 1482 1496 1502 1509 1530 1542 1543 1548 1550 1552 1562 1572 1573 1574 1578 1592 1604 1609 1611 1630 1636 1641 1651 1652 1655 1657 1658 1662 1681 1686 1690 1692 1695 1696 1697 1714 1715 1716 1721 1726 1734 1735 1737 1750 1752 1766 1767 1768 1770 1782 1787 1805 1806 1807 1815 1816 1822 1826 1830 1831 1833 1844 1850 1864 1870 1872 1874 1877 1885 1890 1891 1901 1902 1904 1912 1917 1921 1925 1927 1929 1931 1934 1938 1942 1949 1950 1957 1964 1973 1978 1984 1988 2003 2016 2019 2022 2028 2033 2046 2047 2053 2066 2067 2074 2075 2077 2082 2085 2095 2097 2105 2123 2134 2143 2144 2147 2148 2159 2167 2170 2172 2176 2189 2208 2218 2246 2247 2248 2252 2253 2255 2268 2269 2272 2274 2278 2281 2283 2295 2297 2300 2301 2302 2305 2307 2314 2316 2321 2332 2335 2337 2338 2341 2349 2356 2367 2374 2388 2389 2391 2393 2397 2404 2407 2408 2412 2415 2419 2420 2422 2423 2428 2439 2442 2443 2444 2446 2455 2457 2462 2472 2475 2476 2482 2484 2500 2502 2506 2508 2529 2530 2542 2555 2557 2558 2562 2575 2578 2584 2589 2591 2605 2606 2624 2629 2634 2641 2651 2652 2653 2654 2655 2656 2663 2672 2678 2679 2685 2692 2722 2735 2740 2744 2745 2746 2747 2749 2750 2762 2767 2777 2778 2780 2786 2791 2796 2799 2801 2802 2804 2822 2834 2836 2837 2839 2844 2845 2848 2850 2851 2853 2865 2869 2878 2880 2911 2915 2920 2923 2926 2934 2937 2938 2940 2954 2958 2974 2977 2979 2981 2990 2993 3002 3003 3004 3013 3018 3021 3024]\n# step=0 row=22 minW=530 found cw of W=528: [7 15 17 21 29 30 36 37 43 44 45 54 59 66 88 89 95 108 119 123 127 128 143 147 158 159 170 173 177 179 184 186 190 207 222 223 231 238 251 259 265 272 277 284 288 289 292 297 299 307 309 315 323 328 338 343 348 351 356 363 370 371 373 382 389 396 400 404 411 412 417 419 422 423 425 428 434 443 446 447 448 454 468 471 473 476 482 502 512 513 514 522 547 548 550 552 553 556 562 563 569 576 578 583 585 602 606 608 609 610 615 617 619 620 621 624 640 648 651 656 668 669 681 689 695 696 704 721 726 738 739 748 755 761 768 783 784 793 794 796 807 811 812 814 817 820 823 827 832 851 858 860 862 868 872 874 882 901 910 912 917 918 928 933 937 939 953 960 972 979 982 988 989 995 1002 1007 1012 1015 1018 1019 1023 1025 1034 1051 1066 1071 1072 1075 1077 1079 1081 1086 1088 1090 1095 1107 1109 1124 1125 1136 1138 1145 1164 1166 1173 1174 1177 1178 1183 1188 1194 1200 1206 1212 1224 1225 1232 1235 1239 1251 1252 1270 1273 1282 1285 1306 1308 1312 1317 1326 1332 1336 1342 1346 1351 1352 1356 1357 1358 1362 1363 1366 1367 1372 1374 1379 1381 1387 1390 1405 1409 1413 1425 1430 1436 1442 1448 1459 1468 1473 1476 1496 1498 1504 1509 1511 1523 1537 1538 1541 1543 1547 1552 1562 1568 1573 1592 1604 1609 1622 1630 1636 1652 1657 1665 1671 1681 1686 1694 1695 1712 1715 1724 1730 1734 1737 1750 1752 1757 1762 1767 1768 1787 1802 1806 1807 1815 1819 1828 1844 1848 1850 1864 1869 1872 1873 1874 1890 1891 1893 1901 1904 1914 1927 1934 1942 1953 1963 1968 1969 1973 1976 1978 1980 1994 1998 2003 2006 2008 2016 2022 2023 2028 2034 2037 2039 2048 2053 2055 2060 2074 2075 2077 2079 2092 2097 2105 2106 2133 2134 2141 2147 2148 2156 2160 2167 2170 2172 2174 2183 2192 2197 2202 2216 2217 2218 2246 2252 2253 2254 2255 2262 2265 2268 2269 2272 2273 2281 2283 2288 2289 2290 2294 2297 2301 2302 2305 2307 2316 2324 2331 2337 2341 2347 2348 2360 2365 2367 2382 2383 2388 2389 2397 2403 2404 2408 2411 2412 2419 2422 2435 2439 2442 2443 2444 2446 2454 2455 2462 2475 2482 2484 2503 2508 2509 2516 2529 2530 2531 2541 2544 2545 2546 2554 2555 2571 2578 2584 2589 2595 2606 2621 2624 2628 2629 2634 2640 2650 2651 2653 2654 2659 2673 2678 2679 2684 2685 2687 2697 2704 2717 2722 2727 2735 2745 2748 2750 2753 2760 2777 2778 2786 2791 2799 2801 2806 2820 2822 2827 2834 2837 2839 2842 2844 2851 2853 2865 2869 2871 2878 2898 2905 2911 2913 2915 2919 2921 2923 2926 2929 2930 2933 2937 2940 2954 2956 2973 2977 2986 3000 3002 3003 3013 3015 3019 3020 3021 3023]\n# step=0 row=37 minW=528 found cw of W=514: [15 19 21 33 44 45 50 51 53 64 71 88 91 95 97 99 123 124 127 128 130 137 143 147 150 154 157 177 186 190 231 233 239 246 248 251 254 261 265 272 285 288 289 297 309 311 319 327 335 351 353 363 379 382 384 389 396 404 405 407 410 412 415 417 425 426 445 446 447 454 461 466 468 475 476 500 502 522 538 542 547 568 569 571 578 586 587 602 606 608 609 617 624 630 642 645 648 649 651 662 665 668 675 676 688 689 696 712 720 725 726 730 731 737 738 747 748 755 756 763 765 768 773 775 784 793 795 804 811 812 814 817 819 848 851 858 860 868 869 872 873 874 875 877 891 894 897 912 914 919 924 925 935 937 941 958 962 965 971 975 988 991 993 1007 1012 1013 1042 1050 1051 1071 1081 1083 1086 1090 1095 1107 1135 1142 1163 1166 1170 1174 1177 1178 1186 1196 1200 1203 1206 1212 1223 1235 1242 1250 1252 1270 1282 1287 1294 1301 1310 1312 1313 1326 1328 1330 1336 1337 1346 1351 1352 1353 1356 1357 1362 1363 1367 1384 1387 1391 1392 1398 1412 1436 1438 1441 1453 1462 1464 1467 1468 1474 1475 1500 1502 1506 1511 1527 1533 1541 1552 1557 1559 1571 1572 1574 1596 1601 1604 1611 1612 1615 1621 1630 1641 1658 1671 1681 1684 1691 1703 1714 1715 1716 1724 1729 1734 1735 1745 1747 1750 1752 1759 1762 1766 1767 1770 1805 1806 1807 1813 1816 1819 1822 1826 1830 1831 1839 1848 1853 1866 1870 1872 1873 1876 1890 1891 1902 1904 1914 1917 1919 1925 1927 1931 1934 1938 1953 1963 1966 1975 1984 1988 1994 1998 2001 2006 2014 2023 2027 2028 2033 2034 2037 2046 2053 2058 2060 2075 2082 2085 2100 2106 2114 2119 2133 2134 2141 2143 2147 2153 2159 2167 2170 2172 2189 2197 2202 2209 2216 2217 2218 2221 2225 2247 2248 2268 2269 2272 2273 2274 2278 2281 2294 2307 2331 2332 2335 2337 2341 2349 2356 2360 2369 2371 2374 2382 2383 2385 2386 2388 2391 2393 2394 2397 2400 2404 2405 2409 2411 2414 2416 2418 2420 2422 2423 2428 2437 2439 2443 2449 2453 2457 2464 2472 2482 2492 2496 2502 2506 2507 2508 2516 2522 2529 2530 2534 2542 2546 2558 2562 2575 2584 2591 2593 2601 2605 2606 2615 2616 2617 2621 2622 2628 2632 2634 2640 2651 2652 2653 2654 2659 2663 2684 2687 2691 2692 2697 2704 2707 2714 2731 2735 2737 2746 2748 2750 2757 2764 2767 2779 2791 2796 2799 2802 2805 2812 2815 2820 2827 2831 2836 2844 2846 2848 2852 2855 2865 2869 2871 2876 2898 2899 2911 2914 2915 2918 2920 2921 2923 2927 2930 2933 2934 2938 2940 2954 2955 2959 2962 2967 2974 2977 2981 2982 2990 2992 3000 3004 3007 3013 3016 3023 3024]\n# step=0 row=181 minW=514 found cw of W=510: [4 8 15 17 22 23 30 34 36 39 41 45 50 51 54 76 95 99 108 109 123 124 130 143 157 158 162 165 177 212 216 219 224 226 231 233 236 248 251 259 262 265 272 277 283 285 289 290 292 303 307 309 315 324 327 343 348 351 356 358 363 365 366 375 391 399 407 414 419 422 424 425 431 443 448 457 461 466 471 473 485 493 500 514 525 526 538 540 541 542 548 555 562 566 568 571 574 575 578 580 593 600 607 615 617 620 621 624 630 640 642 645 648 649 656 662 663 669 673 677 681 682 695 710 721 725 726 730 732 737 738 739 748 752 756 761 765 784 788 794 814 817 819 823 827 832 848 860 868 873 874 888 891 894 897 902 909 912 919 923 926 928 939 941 953 958 960 965 972 975 979 986 988 1002 1012 1018 1025 1030 1033 1037 1042 1043 1045 1046 1051 1067 1072 1077 1081 1088 1090 1092 1095 1103 1110 1113 1124 1135 1145 1146 1158 1173 1200 1206 1207 1212 1223 1224 1235 1242 1252 1257 1259 1273 1280 1293 1312 1318 1328 1332 1336 1350 1351 1352 1358 1362 1374 1378 1381 1384 1392 1393 1400 1405 1412 1425 1459 1462 1464 1467 1474 1511 1520 1527 1530 1531 1538 1548 1550 1552 1553 1555 1557 1559 1562 1568 1571 1572 1574 1575 1578 1592 1601 1609 1615 1621 1628 1630 1651 1655 1662 1673 1681 1684 1686 1692 1696 1703 1713 1714 1716 1724 1726 1729 1735 1741 1747 1750 1752 1759 1762 1768 1770 1784 1786 1799 1803 1805 1807 1813 1828 1830 1833 1856 1864 1866 1869 1870 1871 1872 1873 1885 1891 1893 1901 1914 1929 1931 1949 1953 1957 1964 1971 1973 1975 1980 1994 2001 2014 2019 2027 2028 2034 2040 2043 2047 2060 2066 2067 2075 2082 2092 2095 2104 2120 2122 2123 2133 2134 2147 2148 2153 2159 2160 2178 2189 2198 2202 2204 2205 2209 2221 2225 2246 2247 2248 2252 2255 2269 2274 2283 2294 2295 2300 2301 2324 2325 2333 2335 2337 2338 2341 2365 2369 2386 2388 2389 2397 2403 2404 2405 2408 2409 2414 2415 2419 2423 2428 2437 2442 2446 2449 2472 2475 2482 2496 2507 2514 2522 2530 2542 2545 2546 2557 2558 2564 2567 2568 2571 2575 2578 2581 2584 2588 2593 2601 2602 2615 2616 2617 2622 2624 2629 2640 2641 2652 2654 2655 2659 2660 2672 2678 2679 2687 2692 2697 2700 2704 2707 2714 2717 2721 2735 2745 2749 2750 2753 2757 2760 2762 2764 2777 2779 2793 2799 2801 2804 2822 2824 2831 2834 2836 2842 2846 2848 2850 2853 2858 2865 2869 2870 2871 2876 2899 2904 2908 2913 2914 2919 2927 2929 2930 2933 2934 2937 2955 2958 2965 2967 2973 2979 2981 2982 2990 2992 2993 3004 3020 3021 3023]\n# step=0 row=205 minW=510 found cw of W=500: [4 15 17 21 22 34 37 39 41 43 45 53 54 55 62 89 109 124 127 157 158 162 163 169 170 179 190 197 212 215 216 219 223 236 238 251 257 259 262 263 265 284 285 307 309 315 319 327 338 343 351 363 368 370 373 379 396 404 406 407 412 415 417 422 424 425 426 427 428 431 447 449 454 461 466 473 485 493 505 512 513 525 526 533 542 552 553 555 559 563 568 569 574 576 578 580 593 608 617 621 624 630 640 641 642 648 649 651 663 666 669 675 677 694 695 704 712 721 725 726 730 737 738 747 758 763 775 784 788 793 794 804 814 817 827 832 848 851 858 868 872 873 874 877 882 886 888 891 894 897 901 902 912 914 919 924 925 933 937 939 941 953 958 960 961 965 975 981 982 988 989 993 995 1007 1012 1015 1018 1025 1033 1035 1042 1046 1050 1051 1066 1067 1086 1088 1090 1092 1103 1107 1125 1136 1138 1142 1145 1146 1163 1166 1177 1186 1188 1194 1196 1225 1226 1232 1242 1265 1280 1285 1287 1294 1301 1306 1319 1326 1328 1332 1336 1337 1342 1352 1353 1358 1375 1381 1384 1392 1404 1405 1412 1442 1444 1448 1459 1474 1475 1482 1498 1500 1502 1506 1520 1523 1527 1531 1537 1538 1541 1542 1548 1552 1553 1557 1559 1568 1575 1604 1611 1621 1622 1630 1641 1652 1657 1665 1671 1673 1681 1684 1712 1713 1716 1724 1726 1730 1735 1737 1741 1745 1754 1759 1770 1782 1786 1803 1806 1813 1815 1828 1848 1864 1866 1871 1872 1873 1891 1893 1901 1914 1919 1925 1929 1931 1942 1950 1953 1957 1966 1968 1969 1970 1973 1975 1976 1978 1994 2001 2006 2014 2019 2027 2028 2034 2040 2043 2048 2055 2082 2085 2114 2119 2122 2133 2143 2147 2148 2153 2160 2170 2174 2183 2189 2197 2198 2205 2208 2225 2247 2248 2252 2254 2262 2265 2268 2273 2274 2279 2281 2288 2289 2301 2307 2314 2321 2331 2333 2341 2347 2348 2356 2360 2367 2369 2386 2388 2389 2391 2393 2397 2404 2408 2412 2414 2415 2419 2423 2428 2435 2437 2439 2444 2446 2453 2454 2457 2472 2502 2503 2507 2514 2522 2531 2542 2546 2554 2564 2567 2568 2571 2575 2581 2588 2591 2595 2601 2602 2605 2615 2616 2621 2628 2650 2654 2656 2660 2663 2673 2679 2680 2684 2687 2692 2704 2714 2717 2721 2722 2727 2731 2735 2737 2748 2753 2757 2760 2762 2767 2777 2780 2799 2806 2815 2820 2822 2827 2831 2839 2846 2848 2850 2855 2858 2870 2878 2880 2898 2905 2908 2918 2920 2923 2927 2929 2933 2934 2937 2955 2956 2958 2964 2965 2973 2979 2981 2982 2986 2993 3000 3003 3004 3013 3015 3016 3018 3019 3021 3023]\n# step=0 row=435 minW=500 found cw of W=456: [4 22 30 34 36 39 41 43 45 50 53 55 61 62 76 88 99 123 127 137 150 154 157 169 176 190 197 248 251 254 261 265 272 283 285 288 290 291 292 299 307 319 323 324 338 351 354 356 363 370 373 375 384 399 405 407 410 411 412 414 415 417 423 424 425 426 431 445 447 448 454 461 466 473 493 500 513 525 526 541 542 547 548 550 552 555 562 563 566 569 575 580 585 587 593 600 606 607 608 610 640 641 642 649 651 666 673 675 681 682 688 689 690 694 696 699 710 726 731 732 748 752 753 755 756 758 761 763 784 793 794 799 806 807 811 812 814 817 823 848 853 860 862 868 872 874 877 880 891 894 897 902 909 914 923 925 935 937 958 961 965 972 975 979 988 991 1023 1033 1043 1083 1086 1090 1095 1107 1113 1124 1135 1138 1142 1158 1163 1166 1174 1177 1183 1186 1188 1193 1200 1207 1212 1224 1229 1249 1250 1308 1317 1318 1319 1326 1346 1350 1353 1356 1357 1366 1367 1374 1375 1378 1381 1387 1390 1392 1405 1413 1430 1431 1436 1448 1453 1457 1462 1464 1467 1473 1475 1482 1502 1504 1506 1520 1541 1543 1548 1550 1552 1553 1555 1557 1571 1572 1575 1578 1609 1630 1641 1651 1652 1655 1657 1662 1690 1692 1695 1696 1697 1703 1713 1714 1715 1716 1724 1726 1745 1747 1750 1752 1754 1770 1784 1786 1799 1806 1807 1819 1826 1828 1831 1844 1856 1864 1870 1871 1873 1877 1901 1902 1914 1917 1919 1921 1925 1938 1947 1963 1964 1966 1975 1978 1984 1988 1998 2006 2014 2028 2033 2034 2043 2047 2060 2077 2085 2090 2095 2106 2122 2141 2170 2176 2178 2189 2208 2209 2211 2217 2221 2230 2246 2248 2253 2268 2269 2273 2274 2281 2283 2295 2300 2301 2307 2325 2335 2349 2356 2367 2369 2383 2388 2389 2391 2393 2400 2405 2411 2412 2418 2419 2420 2423 2435 2437 2439 2453 2455 2457 2462 2472 2476 2482 2496 2502 2506 2516 2522 2542 2546 2554 2557 2558 2562 2575 2584 2593 2616 2617 2624 2628 2643 2651 2652 2653 2654 2656 2659 2663 2672 2673 2679 2684 2700 2704 2707 2722 2740 2744 2745 2747 2748 2749 2762 2767 2777 2793 2801 2815 2827 2831 2834 2836 2839 2844 2845 2848 2850 2858 2865 2870 2871 2876 2877 2880 2899 2904 2914 2918 2921 2926 2927 2934 2937 2938 2955 2958 2962 2974 2992 3000 3003 3004 3007 3013 3016 3018 3023 3024]\n# step=0 row=1391 minW=456 found cw of W=454: [4 22 30 34 36 39 41 43 45 50 53 55 61 62 76 88 99 123 127 137 150 154 157 169 176 190 197 248 251 254 261 265 272 283 285 288 290 291 292 299 307 319 323 324 338 351 354 356 363 370 373 375 384 399 405 407 410 411 412 414 415 417 418 423 424 425 426 431 445 447 448 454 461 466 473 493 500 513 525 526 541 542 547 548 550 552 555 562 563 566 569 575 580 585 587 593 600 606 607 608 610 640 641 642 649 651 666 673 675 681 682 688 689 690 694 696 699 710 726 731 732 748 752 753 755 756 758 761 763 784 793 794 799 806 807 811 812 814 817 823 848 853 860 862 868 872 874 877 891 894 897 902 909 914 923 925 935 937 958 961 965 972 975 979 988 991 1023 1033 1043 1083 1086 1090 1095 1107 1113 1124 1135 1138 1142 1158 1163 1166 1174 1177 1183 1186 1188 1193 1200 1207 1212 1224 1229 1249 1250 1308 1317 1318 1319 1326 1346 1350 1353 1357 1366 1367 1374 1375 1378 1381 1387 1390 1392 1405 1413 1430 1431 1436 1448 1453 1457 1462 1464 1467 1473 1475 1482 1502 1504 1506 1520 1541 1543 1548 1550 1552 1553 1555 1557 1571 1572 1575 1578 1609 1630 1641 1651 1652 1655 1657 1662 1690 1692 1695 1696 1697 1703 1713 1714 1715 1716 1724 1726 1745 1747 1750 1752 1754 1770 1784 1786 1799 1806 1807 1819 1826 1828 1831 1844 1856 1864 1870 1871 1873 1877 1901 1902 1914 1917 1919 1921 1925 1938 1947 1963 1964 1966 1975 1978 1984 1988 1998 2006 2014 2028 2033 2034 2043 2047 2060 2077 2085 2090 2095 2106 2122 2141 2170 2176 2178 2189 2208 2209 2211 2217 2221 2230 2246 2248 2253 2268 2269 2273 2274 2281 2283 2295 2300 2301 2307 2325 2335 2349 2356 2367 2369 2383 2388 2389 2391 2393 2400 2405 2411 2412 2418 2419 2420 2423 2435 2437 2439 2453 2455 2457 2462 2472 2476 2482 2496 2502 2506 2516 2522 2542 2546 2554 2557 2558 2562 2575 2584 2593 2616 2617 2624 2628 2643 2651 2652 2653 2654 2656 2659 2663 2672 2673 2679 2684 2700 2704 2707 2722 2740 2744 2745 2747 2748 2749 2762 2767 2770 2777 2793 2801 2815 2827 2831 2834 2836 2839 2844 2845 2848 2850 2858 2865 2871 2876 2880 2899 2904 2914 2918 2921 2926 2927 2934 2937 2938 2955 2958 2962 2974 2992 3000 3003 3004 3007 3013 3016 3018 3023 3024]\n# step=9 row=1064 minW=454 found cw of W=342: [25 38 80 90 104 108 125 145 150 159 160 175 189 195 202 211 221 232 246 252 257 259 261 268 275 277 287 294 295 302 307 310 314 324 339 359 363 366 370 378 380 382 384 394 395 401 406 407 418 421 429 431 449 456 457 458 463 471 473 478 485 501 504 519 522 526 533 535 551 557 564 571 574 607 608 612 613 614 622 643 649 661 671 677 678 691 693 699 700 707 719 721 722 729 743 754 761 798 826 833 840 841 855 857 861 862 868 875 881 900 903 917 934 940 947 950 956 961 982 988 998 1025 1031 1040 1046 1069 1088 1092 1097 1119 1124 1131 1138 1146 1148 1160 1166 1173 1175 1200 1204 1210 1217 1218 1219 1224 1226 1231 1266 1268 1288 1295 1303 1307 1318 1323 1366 1395 1401 1412 1423 1428 1443 1456 1457 1467 1499 1502 1531 1552 1570 1577 1579 1589 1612 1616 1646 1659 1665 1668 1675 1701 1703 1710 1715 1716 1740 1745 1746 1750 1751 1758 1760 1761 1766 1768 1773 1779 1780 1790 1795 1796 1801 1802 1816 1820 1823 1830 1838 1843 1876 1880 1885 1886 1897 1901 1906 1908 1913 1922 1928 1935 1942 1945 1952 1987 1988 2006 2040 2044 2050 2057 2079 2088 2095 2097 2115 2122 2129 2130 2134 2142 2150 2157 2164 2177 2182 2197 2207 2234 2237 2248 2250 2255 2258 2270 2282 2283 2286 2289 2292 2327 2347 2371 2378 2390 2396 2403 2414 2421 2424 2427 2431 2434 2439 2455 2468 2484 2506 2532 2539 2547 2554 2567 2573 2602 2606 2618 2620 2627 2629 2645 2653 2661 2662 2666 2681 2689 2704 2710 2717 2718 2725 2733 2734 2740 2744 2745 2747 2754 2755 2771 2796 2800 2804 2808 2811 2818 2824 2829 2852 2859 2870 2871 2887 2903 2910 2915 2926 2946 2953 2956 2957 2959 2963 2966 2987 2988 2992 3009 3020 3024]\n# step=51 row=41 minW=342 found cw of W=336: [1 7 20 21 27 35 42 45 50 52 57 59 76 86 101 127 129 142 143 150 165 186 198 205 208 227 247 255 262 269 271 285 305 312 313 321 347 354 361 368 385 389 396 398 399 404 405 412 418 420 421 433 442 453 469 470 475 476 489 490 491 505 538 539 546 553 559 563 567 570 591 596 611 617 619 631 638 641 652 661 688 694 695 697 701 708 719 731 732 740 753 759 761 768 773 788 796 802 815 816 823 846 853 860 861 868 873 880 889 901 909 914 917 923 928 929 931 938 957 963 964 974 980 984 1000 1009 1014 1016 1022 1023 1029 1030 1036 1044 1053 1071 1077 1078 1079 1093 1108 1126 1150 1156 1179 1180 1202 1221 1222 1236 1237 1242 1248 1249 1250 1257 1265 1285 1293 1299 1300 1306 1315 1321 1334 1341 1356 1357 1364 1379 1386 1425 1428 1436 1442 1446 1449 1455 1457 1471 1478 1491 1499 1522 1528 1541 1542 1559 1564 1572 1585 1600 1615 1627 1628 1634 1663 1676 1687 1706 1707 1722 1742 1748 1762 1768 1769 1770 1771 1791 1798 1803 1806 1814 1820 1824 1827 1842 1848 1861 1876 1883 1890 1892 1897 1903 1906 1911 1948 1973 1977 1984 2017 2024 2040 2053 2055 2061 2066 2073 2076 2088 2090 2103 2105 2132 2133 2140 2147 2155 2162 2168 2174 2188 2195 2203 2211 2218 2224 2260 2274 2303 2316 2338 2352 2360 2379 2380 2381 2394 2395 2396 2403 2409 2439 2445 2451 2474 2479 2481 2487 2494 2514 2557 2558 2566 2567 2572 2579 2587 2594 2595 2599 2607 2628 2700 2713 2720 2721 2756 2757 2764 2771 2778 2785 2786 2799 2804 2805 2813 2863 2865 2870 2890 2892 2893 2897 2907 2912 2913 2919 2927 2928 2934 2942 2943 2950 2956 2957 2977 2983 2999 3005 3006 3013 3019]\n# step=51 row=289 minW=336 found cw of W=330: [1 7 20 21 27 35 42 45 50 52 57 59 86 101 127 129 142 143 150 165 186 198 205 208 227 247 255 262 269 271 285 305 312 313 321 347 354 361 368 385 389 396 398 399 404 405 412 418 420 421 433 442 452 453 469 470 475 476 489 490 491 505 538 539 546 552 553 559 563 567 570 591 596 611 617 619 631 638 641 652 661 688 694 695 697 701 708 719 731 732 740 753 759 761 768 773 788 796 802 815 816 823 846 853 860 861 868 873 880 889 901 909 914 917 923 928 929 931 938 957 963 964 974 980 1000 1009 1014 1016 1022 1023 1029 1030 1036 1044 1053 1071 1077 1078 1079 1093 1108 1150 1156 1179 1180 1202 1221 1222 1236 1237 1242 1248 1249 1250 1257 1265 1285 1293 1299 1300 1306 1315 1321 1334 1341 1356 1357 1364 1379 1386 1425 1428 1436 1442 1449 1455 1457 1471 1478 1491 1499 1522 1528 1541 1542 1559 1564 1572 1585 1600 1615 1627 1628 1634 1663 1676 1687 1706 1707 1722 1742 1748 1762 1768 1769 1770 1771 1791 1798 1803 1806 1814 1820 1827 1842 1848 1861 1876 1883 1890 1892 1897 1903 1906 1911 1948 1977 1984 2017 2024 2040 2053 2055 2061 2076 2088 2090 2103 2105 2132 2133 2140 2147 2155 2162 2168 2174 2188 2195 2203 2211 2218 2224 2260 2274 2303 2316 2338 2352 2360 2379 2380 2381 2394 2395 2396 2403 2409 2439 2445 2451 2474 2479 2481 2487 2494 2514 2557 2558 2566 2567 2572 2579 2587 2594 2595 2599 2607 2628 2700 2713 2720 2721 2756 2757 2764 2771 2778 2785 2786 2799 2804 2805 2813 2863 2865 2870 2890 2892 2893 2897 2907 2912 2913 2919 2927 2928 2934 2942 2943 2950 2956 2957 2977 2983 2999 3005 3006 3013 3019]\n# step=51 row=301 minW=330 found cw of W=310: [1 2 23 27 30 35 57 64 66 72 80 81 86 101 107 108 115 120 150 151 172 179 190 199 206 208 213 220 221 265 271 285 300 313 314 355 369 386 399 400 404 405 407 412 413 414 433 434 463 469 470 490 505 527 533 542 546 557 559 563 576 604 611 612 613 619 633 640 641 652 661 662 668 691 697 718 719 731 732 740 745 760 762 788 804 811 817 818 831 845 852 853 860 861 868 873 880 888 889 901 909 911 917 922 923 932 939 946 952 967 974 980 1009 1016 1018 1022 1023 1029 1031 1036 1038 1043 1044 1059 1060 1077 1081 1108 1123 1133 1151 1152 1163 1187 1202 1209 1221 1222 1237 1250 1257 1265 1266 1272 1294 1301 1336 1343 1350 1357 1364 1370 1379 1386 1398 1415 1436 1442 1469 1471 1483 1491 1492 1512 1529 1551 1572 1586 1600 1609 1615 1628 1629 1657 1665 1693 1694 1722 1736 1741 1742 1743 1762 1763 1771 1772 1785 1791 1792 1814 1820 1828 1841 1848 1861 1864 1876 1877 1885 1890 1891 1892 1893 1900 1917 1935 1956 1969 1971 1973 1985 1990 2004 2012 2017 2024 2034 2055 2061 2063 2071 2073 2078 2080 2090 2103 2105 2112 2117 2127 2133 2140 2147 2155 2190 2205 2211 2212 2238 2254 2261 2275 2276 2303 2310 2311 2317 2338 2339 2352 2360 2361 2380 2382 2425 2435 2465 2474 2487 2494 2495 2509 2524 2532 2535 2539 2558 2573 2587 2595 2601 2602 2610 2623 2644 2649 2651 2680 2684 2701 2715 2721 2744 2756 2757 2764 2771 2772 2785 2807 2841 2849 2858 2863 2865 2879 2885 2893 2907 2934 2935 2950 2964 2971 2998 2999 3005 3006 3013 3021]\n# step=51 row=370 minW=310 found cw of W=304: [2 27 35 42 51 57 64 80 81 86 101 102 120 127 134 135 136 143 149 150 151 165 186 198 199 206 214 265 269 314 321 326 349 356 369 385 386 400 405 407 411 412 413 414 420 433 456 463 470 471 489 505 506 513 533 542 557 561 567 585 589 596 613 619 633 640 641 661 668 697 703 704 709 710 731 732 739 745 762 775 788 796 802 804 809 817 839 845 852 873 881 888 909 911 923 924 932 953 967 989 1009 1016 1018 1031 1036 1038 1043 1044 1050 1061 1072 1096 1108 1117 1145 1151 1152 1157 1165 1166 1179 1180 1187 1214 1221 1222 1236 1243 1248 1264 1265 1266 1272 1279 1285 1292 1294 1299 1301 1314 1315 1334 1336 1356 1370 1376 1393 1415 1427 1428 1442 1443 1449 1456 1469 1470 1471 1478 1483 1499 1522 1529 1551 1572 1585 1600 1602 1609 1616 1623 1628 1629 1637 1643 1651 1663 1665 1693 1707 1721 1742 1763 1772 1785 1798 1820 1827 1841 1842 1847 1864 1869 1876 1877 1883 1885 1890 1891 1893 1900 1906 1912 1935 1948 1956 1971 1976 1984 1992 2027 2034 2040 2055 2071 2078 2083 2088 2105 2127 2132 2133 2140 2147 2162 2168 2169 2174 2188 2195 2203 2216 2218 2260 2274 2275 2276 2281 2310 2316 2317 2338 2353 2360 2367 2379 2381 2382 2394 2417 2425 2446 2465 2474 2475 2488 2495 2502 2509 2532 2538 2539 2558 2572 2575 2579 2582 2587 2594 2608 2610 2623 2629 2635 2651 2659 2666 2715 2721 2743 2757 2764 2770 2785 2807 2829 2849 2858 2863 2870 2879 2885 2892 2913 2919 2928 2934 2950 2956 2971 2999 3006 3007 3013 3020]\n# step=51 row=622 minW=304 found cw of W=286: [23 27 30 35 36 44 45 51 52 59 64 102 107 127 128 134 135 136 142 143 150 172 186 198 199 205 206 208 227 234 269 270 271 298 300 305 312 385 392 398 405 411 412 413 420 421 442 456 469 471 476 489 490 506 510 513 527 560 561 563 567 569 570 585 589 591 596 611 641 652 659 661 662 668 703 710 719 731 740 745 775 788 789 796 811 817 818 823 839 845 846 852 861 868 873 888 909 923 924 939 946 952 953 972 989 1009 1016 1022 1043 1050 1053 1061 1072 1073 1096 1114 1117 1121 1145 1157 1165 1166 1179 1202 1214 1221 1229 1236 1237 1248 1264 1265 1272 1279 1292 1299 1314 1321 1343 1348 1350 1356 1357 1364 1370 1379 1386 1393 1399 1427 1443 1449 1456 1457 1469 1470 1492 1499 1522 1529 1542 1559 1585 1602 1606 1615 1616 1623 1628 1629 1634 1637 1651 1687 1707 1721 1722 1742 1770 1785 1792 1806 1827 1828 1841 1847 1848 1869 1883 1890 1912 1935 1969 1970 1977 1984 1985 1992 2011 2027 2040 2055 2076 2088 2090 2132 2147 2168 2169 2190 2195 2203 2211 2260 2275 2303 2310 2311 2317 2337 2339 2361 2367 2379 2380 2396 2403 2409 2417 2439 2445 2459 2473 2474 2475 2502 2509 2524 2538 2551 2557 2567 2572 2575 2579 2582 2594 2595 2601 2623 2635 2643 2651 2659 2666 2680 2693 2721 2757 2770 2771 2785 2786 2792 2799 2807 2813 2829 2849 2862 2863 2865 2870 2893 2912 2913 2919 2935 2942 2943 2957 2971 2977 3007 3019 3021]\n# step=51 row=1250 minW=286 found cw of W=284: [23 27 30 35 36 44 51 64 66 102 107 108 115 120 127 128 134 135 136 142 143 172 186 198 205 208 227 234 269 270 285 298 300 305 312 328 385 392 405 411 412 413 420 456 469 471 476 489 490 491 505 506 513 527 560 567 569 585 589 596 611 612 619 633 640 641 662 691 731 740 745 753 788 796 804 811 817 818 845 846 852 860 873 888 897 917 923 939 946 952 974 989 1016 1022 1023 1043 1050 1060 1061 1072 1073 1096 1117 1123 1145 1157 1166 1179 1202 1207 1209 1214 1221 1236 1248 1264 1272 1279 1285 1292 1293 1299 1300 1315 1321 1343 1348 1350 1356 1357 1364 1370 1399 1415 1427 1436 1443 1449 1469 1470 1471 1490 1492 1497 1499 1522 1536 1542 1585 1602 1616 1623 1628 1629 1637 1643 1651 1657 1663 1693 1694 1707 1721 1722 1736 1742 1785 1792 1806 1814 1827 1828 1841 1842 1847 1848 1857 1864 1869 1883 1890 1935 1949 1969 1985 1992 2011 2012 2027 2040 2054 2055 2063 2076 2088 2090 2105 2112 2132 2140 2168 2169 2190 2195 2203 2205 2212 2218 2254 2260 2275 2310 2317 2339 2361 2367 2375 2379 2380 2381 2382 2409 2417 2444 2445 2446 2459 2473 2474 2475 2524 2538 2557 2558 2572 2575 2582 2586 2594 2601 2623 2635 2644 2659 2665 2666 2680 2693 2721 2737 2744 2757 2770 2771 2772 2785 2786 2787 2792 2807 2813 2829 2849 2858 2863 2870 2893 2906 2912 2919 2929 2935 2936 2942 2943 2964 2971 2977 2985 2999 3006 3007 3019 3021]\n# step=89 row=159 minW=284 found cw of W=264: [10 17 24 25 30 60 67 68 75 76 102 109 124 130 131 144 146 180 188 202 209 223 224 230 237 244 258 259 267 279 280 288 308 316 322 323 345 373 387 399 407 415 444 480 499 506 507 514 536 550 551 556 557 559 564 566 585 599 614 636 648 671 677 678 699 713 720 729 750 756 762 790 805 806 811 813 818 819 825 842 848 868 876 883 890 897 898 904 911 912 975 976 983 997 1012 1025 1033 1054 1062 1068 1070 1077 1084 1097 1104 1110 1118 1126 1131 1139 1166 1174 1181 1187 1189 1195 1196 1217 1225 1226 1230 1231 1247 1253 1259 1260 1267 1280 1287 1303 1337 1338 1345 1353 1372 1380 1395 1422 1438 1444 1465 1472 1481 1488 1495 1517 1518 1545 1569 1581 1590 1596 1638 1645 1651 1658 1665 1666 1681 1701 1702 1708 1709 1716 1723 1724 1759 1766 1772 1787 1793 1830 1843 1859 1866 1880 1887 1894 1908 1950 1957 1966 1971 1973 1994 2001 2006 2008 2015 2021 2027 2029 2035 2043 2057 2064 2070 2073 2087 2100 2106 2128 2143 2157 2169 2176 2184 2199 2213 2242 2255 2256 2270 2320 2334 2356 2382 2405 2426 2442 2456 2468 2476 2484 2491 2496 2504 2505 2540 2575 2576 2582 2583 2589 2590 2610 2611 2624 2638 2660 2688 2738 2740 2746 2747 2751 2753 2760 2761 2768 2774 2802 2809 2844 2851 2881 2893 2902 2908 2916 2944 2967 3002 3009]\n# step=89 row=379 minW=264 found cw of W=258: [9 10 17 24 60 67 68 75 96 109 121 123 132 138 145 180 194 202 224 231 237 238 244 258 259 279 280 322 345 387 394 399 406 407 408 415 444 464 478 480 494 507 513 514 550 551 556 557 566 585 613 649 650 656 678 684 699 713 722 729 749 762 790 796 805 806 811 813 818 819 825 842 848 849 876 883 884 890 896 897 898 904 911 933 940 954 961 976 983 997 1012 1025 1033 1038 1054 1059 1062 1068 1075 1084 1097 1104 1110 1124 1131 1189 1195 1196 1217 1225 1230 1231 1240 1244 1247 1253 1258 1259 1260 1267 1273 1287 1295 1303 1309 1330 1338 1345 1353 1372 1380 1422 1437 1438 1444 1451 1465 1472 1481 1495 1518 1523 1530 1545 1552 1562 1569 1596 1602 1630 1636 1645 1651 1658 1665 1695 1701 1708 1716 1723 1732 1743 1760 1772 1773 1787 1793 1830 1843 1859 1880 1950 1957 1966 1971 1978 1992 1994 2001 2015 2035 2042 2064 2070 2080 2084 2087 2100 2120 2128 2135 2163 2164 2171 2177 2184 2191 2198 2199 2213 2227 2236 2250 2256 2270 2320 2334 2356 2370 2398 2412 2419 2433 2442 2456 2473 2476 2484 2498 2573 2574 2575 2576 2580 2582 2583 2589 2590 2596 2603 2610 2611 2638 2639 2645 2660 2723 2738 2746 2751 2758 2774 2782 2810 2816 2830 2893 2902 2908 2930 2935 2960 2979 3002 3007 3008 3014 3022]\n# step=89 row=706 minW=258 found cw of W=180: [10 24 60 67 110 123 132 152 180 188 208 237 244 258 272 315 322 350 399 406 407 443 457 464 478 499 513 514 536 550 556 557 563 564 599 628 649 650 677 678 684 713 762 790 819 832 855 862 883 890 897 904 911 917 924 926 939 954 961 997 1002 1010 1012 1017 1038 1068 1075 1081 1088 1089 1102 1109 1110 1124 1139 1153 1166 1174 1189 1196 1231 1273 1280 1286 1294 1330 1358 1372 1373 1380 1401 1408 1415 1465 1473 1507 1517 1539 1546 1581 1594 1602 1630 1666 1672 1673 1681 1694 1702 1708 1723 1757 1764 1772 1842 1843 1850 1871 1878 1894 1950 1957 1978 1985 1992 1993 2021 2035 2057 2084 2092 2098 2099 2106 2107 2120 2126 2142 2164 2171 2185 2198 2199 2212 2227 2233 2268 </t>
  </si>
  <si>
    <t>2304 2333 2412 2426 2511 2518 2526 2540 2546 2575 2582 2588 2589 2596 2624 2681 2688 2730 2731 2751 2758 2780 2844 2851 2859 2893 2908 2915 2930 2958 2979 3007 3014]\n# step=371 row=203 minW=180 found cw of W=174: [7 34 70 169 183 211 226 283 296 311 318 325 339 347 353 382 408 410 417 425 445 489 495 502 508 515 531 538 565 566 574 595 608 609 650 672 674 681 707 709 714 716 723 737 744 750 757 758 759 772 779 792 793 807 809 814 821 822 864 870 878 886 900 914 921 929 972 1006 1007 1035 1042 1043 1071 1078 1084 1085 1106 1134 1140 1184 1185 1192 1199 1233 1234 1248 1282 1319 1327 1340 1368 1382 1390 1425 1433 1490 1510 1521 1528 1548 1563 1591 1598 1633 1641 1704 1718 1732 1733 1746 1747 1761 1768 1789 1804 1810 1817 1818 1825 1867 1868 1924 1953 1966 1975 1980 2010 2017 2060 2073 2081 2129 2159 2173 2186 2194 2215 2229 2251 2264 2272 2273 2279 2315 2322 2379 2385 2386 2428 2457 2479 2493 2521 2563 2571 2591 2677 2720 2741 2748 2760 2762 2797 2798 2833 2840 2841 2848 2917 2918 2933 2939 3016 3024]\n# step=371 row=316 minW=174 found cw of W=172: [21 28 34 76 77 119 133 169 183 196 262 283 296 382 390 397 404 411 417 432 445 511 517 518 525 531 532 565 567 574 588 637 666 708 709 714 716 728 737 744 759 766 779 786 787 793 794 807 809 814 815 821 864 865 870 886 893 901 921 943 950 964 1006 1021 1027 1042 1049 1057 1071 1106 1140 1142 1149 1163 1177 1185 1190 1191 1227 1248 1282 1284 1291 1327 1340 1382 1390 1398 1425 1426 1440 1489 1541 1547 1548 1555 1556 1568 1584 1598 1633 1641 1647 1676 1690 1697 1704 1717 1726 1727 1733 1768 1783 1789 1810 1817 1939 1953 1980 2016 2017 2025 2031 2053 2060 2067 2109 2129 2159 2172 2173 2222 2229 2245 2251 2264 2272 2273 2279 2287 2322 2379 2385 2386 2401 2415 2442 2457 2521 2528 2535 2571 2591 2663 2684 2691 2706 2726 2741 2748 2763 2797 2841 2847 2848 2917 2919 2939 2940 2954 2960 2989]\n# step=513 row=156 minW=172 found cw of W=164: [27 55 62 63 69 90 119 126 127 133 134 169 170 176 183 191 211 212 267 276 304 317 318 325 332 346 352 360 381 383 410 432 453 459 460 467 494 495 501 502 553 567 601 631 644 645 659 674 695 702 707 715 729 743 758 765 779 785 793 808 850 864 892 893 914 921 950 956 957 999 1014 1021 1028 1042 1099 1134 1140 1142 1156 1163 1199 1227 1234 1270 1333 1361 1419 1466 1496 1503 1547 1563 1577 1605 1625 1626 1647 1697 1718 1725 1732 1790 1796 1811 1818 1846 1868 1904 1974 1980 2009 2109 2122 2129 2137 2159 2166 2172 2173 2188 2194 2202 2209 2223 2244 2258 2306 2386 2406 2407 2413 2415 2450 2464 2521 2535 2549 2599 2619 2656 2663 2669 2670 2698 2704 2712 2713 2720 2733 2734 2761 2762 2776 2840 2862 2868 2882 2911 2918 2933 2946 2953 2968 2996]\n# step=513 row=706 minW=164 found cw of W=162: [27 55 62 63 69 90 119 126 127 133 134 169 170 176 183 191 211 212 261 267 276 304 318 325 332 346 352 360 381 383 410 432 453 460 467 494 495 501 502 553 567 601 631 644 645 659 674 695 702 707 715 729 743 758 765 785 793 808 835 850 864 892 893 914 950 956 957 999 1014 1021 1028 1042 1099 1134 1140 1142 1156 1163 1199 1227 1234 1270 1333 1361 1397 1419 1466 1496 1503 1547 1563 1577 1605 1625 1626 1647 1675 1697 1718 1725 1732 1775 1782 1790 1796 1811 1818 1846 1868 1904 1974 1980 2009 2109 2122 2129 2137 2159 2166 2172 2173 2188 2194 2202 2209 2223 2244 2258 2306 2386 2406 2407 2413 2415 2450 2464 2521 2535 2549 2599 2619 2656 2663 2670 2698 2704 2712 2713 2720 2733 2734 2761 2762 2840 2862 2868 2882 2933 2946 2953 2968 2996]\n# round=1000 of 10000 minW=162\n# round=2000 of 10000 minW=162\n# round=3000 of 10000 minW=162\n# round=4000 of 10000 minW=162\n# round=5000 of 10000 minW=162\n# round=6000 of 10000 minW=162\n# round=7000 of 10000 minW=162\n# round=8000 of 10000 minW=162\n# round=9000 of 10000 minW=162\n# round=10000 of 10000 minW=162\nRW algorithm upper bound for the distance d=162\n</t>
  </si>
  <si>
    <t>method: GraphLikeErrorStim</t>
  </si>
  <si>
    <t>outfile: /home/ucapmwe/dist-benchmark/results/bivariate_bicycle-GraphLikeErrorStim-20260105_135844.024980_85062422.txt</t>
  </si>
  <si>
    <t>dont_explore_detection_event_sets_with_size_above=2,dont_explore_edges_with_degree_above=2; no lo found</t>
  </si>
  <si>
    <t>method: GurobiDist</t>
  </si>
  <si>
    <t>outfile: /home/ucapmwe/dist-benchmark/results/bivariate_bicycle-GurobiDist-20251224_094242.120726_85062422.txt</t>
  </si>
  <si>
    <t>method: MIPDist</t>
  </si>
  <si>
    <t>MIP_solver: SCIP</t>
  </si>
  <si>
    <t>outfile: /home/ucapmwe/dist-benchmark/results/bivariate_bicycle-MIPDist-SCIP-20251224_094241.791285_85062422.txt</t>
  </si>
  <si>
    <t>w:6; T:635ms; iterations:4844</t>
  </si>
  <si>
    <t>w:10; T:20700ms; iterations:212840</t>
  </si>
  <si>
    <t>w:10; T:32478ms; iterations:350572</t>
  </si>
  <si>
    <t>w:12; T:215876ms; iterations:1791103</t>
  </si>
  <si>
    <t>w:18; T:28800100ms; iterations:157272284</t>
  </si>
  <si>
    <t>w:24; T:28800219ms; iterations:141866195</t>
  </si>
  <si>
    <t>w:38; T:28800548ms; iterations:136013983</t>
  </si>
  <si>
    <t>w:10; T:64205ms; iterations:374155</t>
  </si>
  <si>
    <t>w:24; T:28800253ms; iterations:141999124</t>
  </si>
  <si>
    <t>w:42; T:28800086ms; iterations:94279158</t>
  </si>
  <si>
    <t>w:32; T:28800769ms; iterations:124058599</t>
  </si>
  <si>
    <t>w:64; T:28800456ms; iterations:71627807</t>
  </si>
  <si>
    <t>w:36; T:28800312ms; iterations:61032373</t>
  </si>
  <si>
    <t>w:36; T:28800289ms; iterations:71162717</t>
  </si>
  <si>
    <t>w:76; T:28800369ms; iterations:46110265</t>
  </si>
  <si>
    <t>w:54; T:28800198ms; iterations:34154138</t>
  </si>
  <si>
    <t>w:204; T:28800180ms; iterations:28376352</t>
  </si>
  <si>
    <t>w:64; T:28800175ms; iterations:17317674</t>
  </si>
  <si>
    <t>w:48; T:28800154ms; iterations:23377719</t>
  </si>
  <si>
    <t>w:238; T:28800137ms; iterations:23656565</t>
  </si>
  <si>
    <t>bposd-order1</t>
  </si>
  <si>
    <t>bposd-maxiter100</t>
  </si>
  <si>
    <t>Distance Found</t>
  </si>
  <si>
    <t>Processing Time</t>
  </si>
  <si>
    <t>Success Rate</t>
  </si>
  <si>
    <t>Time - Completed Trials</t>
  </si>
  <si>
    <t>Time - Successful Trials</t>
  </si>
  <si>
    <t>BPOSD</t>
  </si>
  <si>
    <t>bplsd</t>
  </si>
  <si>
    <t>bposd-serial</t>
  </si>
  <si>
    <t>bposd-order8</t>
  </si>
  <si>
    <t>bposd-order0</t>
  </si>
  <si>
    <t>bposd-addstabs</t>
  </si>
  <si>
    <t>bposd-maxiter0</t>
  </si>
  <si>
    <t>bposd-maxiter10</t>
  </si>
  <si>
    <t>bposd-maxiter1000</t>
  </si>
  <si>
    <t>decoder: bplsd</t>
  </si>
  <si>
    <t>outfile: /home/ucapmwe/dist-benchmark/results/bivariate_bicycle-decoderDist-bplsd-20251224_093902.736546_85062422.txt</t>
  </si>
  <si>
    <t>Trial:0 w:10; Trial:3 w:6; pErr:0.0337, weight 6 CW found:2949</t>
  </si>
  <si>
    <t>Trial:0 w:10; pErr:0.0147, weight 10 CW found:2371</t>
  </si>
  <si>
    <t>Trial:0 w:14; Trial:12 w:12; Trial:23 w:10; pErr:0.0396, weight 10 CW found:3090</t>
  </si>
  <si>
    <t>Trial:0 w:30; Trial:1 w:14; Trial:36 w:12; pErr:0.2516, weight 12 CW found:7221</t>
  </si>
  <si>
    <t>Trial:0 w:28; Trial:2 w:26; Trial:18 w:24; Trial:86 w:18; pErr:0.3399, weight 18 CW found:9187</t>
  </si>
  <si>
    <t>Trial:0 w:80; Trial:1 w:66; Trial:4 w:64; Trial:5 w:54; Trial:6 w:40; Trial:39 w:38; Trial:42 w:36; Trial:114 w:28; Trial:3157 w:26; pErr:0.3673, weight 26 CW found:6833</t>
  </si>
  <si>
    <t>Trial:0 w:136; Trial:1 w:122; Trial:45 w:112; Trial:125 w:98; Trial:228 w:96; Trial:260 w:92; Trial:613 w:78; Trial:944 w:68; Trial:4094 w:60; Trial:8959 w:58; pErr:0.3679, weight 58 CW found:1041</t>
  </si>
  <si>
    <t>Trial:0 w:22; Trial:2 w:12; Trial:32 w:10; pErr:0.3343, weight 10 CW found:9097</t>
  </si>
  <si>
    <t>Trial:0 w:118; Trial:1 w:88; Trial:13 w:74; Trial:39 w:60; Trial:84 w:58; Trial:191 w:50; Trial:304 w:44; Trial:380 w:40; Trial:423 w:38; Trial:433 w:36; Trial:3273 w:30; pErr:0.3679, weight 30 CW found:6727</t>
  </si>
  <si>
    <t>Trial:0 w:180; Trial:1 w:160; Trial:3 w:150; Trial:15 w:148; Trial:30 w:142; Trial:40 w:130; Trial:122 w:128; Trial:126 w:120; Trial:167 w:116; Trial:1780 w:114; Trial:2063 w:98; Trial:8099 w:68; pErr:0.3679, weight 68 CW found:1901</t>
  </si>
  <si>
    <t>Trial:0 w:116; Trial:1 w:106; Trial:4 w:96; Trial:6 w:76; Trial:568 w:72; Trial:1613 w:58; pErr:0.3679, weight 58 CW found:8387</t>
  </si>
  <si>
    <t>Trial:0 w:238; Trial:1 w:184; Trial:5 w:182; Trial:32 w:176; Trial:87 w:174; Trial:133 w:166; Trial:321 w:160; Trial:336 w:144; Trial:1711 w:104; pErr:0.3679, weight 104 CW found:8289</t>
  </si>
  <si>
    <t>Trial:0 w:272; Trial:1 w:254; Trial:3 w:202; Trial:112 w:198; Trial:247 w:188; Trial:1735 w:180; pErr:0.3679, weight 180 CW found:8265</t>
  </si>
  <si>
    <t>Trial:0 w:194; Trial:13 w:184; Trial:151 w:168; Trial:174 w:158; Trial:5909 w:138; pErr:0.3679, weight 138 CW found:4091</t>
  </si>
  <si>
    <t>Trial:0 w:346; Trial:2 w:318; Trial:16 w:304; Trial:43 w:280; Trial:276 w:270; Trial:331 w:252; Trial:3037 w:190; pErr:0.3679, weight 190 CW found:6963</t>
  </si>
  <si>
    <t>Trial:0 w:212; Trial:1 w:182; Trial:3 w:170; Trial:6 w:164; Trial:8 w:102; Trial:9542 w:94; pErr:0.3679, weight 94 CW found:458</t>
  </si>
  <si>
    <t>Trial:0 w:444; Trial:3 w:438; Trial:4 w:384; Trial:26 w:374; Trial:89 w:372; Trial:218 w:366; Trial:286 w:358; Trial:513 w:356; Trial:1260 w:350; Trial:1543 w:348; Trial:1836 w:340; Trial:2369 w:332; Trial:2943 w:330; Trial:4066 w:322; Trial:4797 w:292; pErr:0.3679, weight 292 CW found:5203</t>
  </si>
  <si>
    <t>Trial:0 w:248; Trial:2 w:222; Trial:6 w:188; Trial:19 w:152; Trial:158 w:140; Trial:542 w:96; Trial:4153 w:92; pErr:0.3679, weight 92 CW found:5847</t>
  </si>
  <si>
    <t>Trial:0 w:262; Trial:4 w:254; Trial:6 w:246; Trial:7 w:226; Trial:11 w:224; Trial:33 w:222; Trial:39 w:218; Trial:53 w:198; Trial:101 w:166; Trial:511 w:88; pErr:0.3679, weight 88 CW found:9489</t>
  </si>
  <si>
    <t>Trial:0 w:608; Trial:1 w:580; Trial:3 w:532; Trial:9 w:468; Trial:16 w:294; Trial:474 w:264; Trial:2223 w:242; Trial:8767 w:230; pErr:0.3679, weight 230 CW found:1233</t>
  </si>
  <si>
    <t>bp_schedule: serial</t>
  </si>
  <si>
    <t>outfile: /home/ucapmwe/dist-benchmark/results/bivariate_bicycle-decoderDist-bposd-20251224_093902.736469_85062422.txt</t>
  </si>
  <si>
    <t>Trial:0 w:6; pErr:0.0000, weight 6 CW found:699</t>
  </si>
  <si>
    <t>Trial:0 w:10; pErr:0.0368, weight 10 CW found:3029</t>
  </si>
  <si>
    <t>Trial:0 w:12; Trial:3 w:10; pErr:0.1224, weight 10 CW found:4759</t>
  </si>
  <si>
    <t>Trial:0 w:12; pErr:0.1576, weight 12 CW found:5412</t>
  </si>
  <si>
    <t>Trial:0 w:26; Trial:28 w:24; Trial:94 w:22; Trial:143 w:18; pErr:0.3677, weight 18 CW found:9852</t>
  </si>
  <si>
    <t>Trial:0 w:26; Trial:204 w:24; pErr:0.3679, weight 24 CW found:9796</t>
  </si>
  <si>
    <t>Trial:0 w:106; Trial:1 w:68; Trial:39 w:66; Trial:106 w:58; Trial:320 w:50; Trial:350 w:46; Trial:4418 w:44; Trial:6854 w:40; pErr:0.3679, weight 40 CW found:3146</t>
  </si>
  <si>
    <t>Trial:0 w:14; Trial:1 w:10; pErr:0.0790, weight 10 CW found:3940</t>
  </si>
  <si>
    <t>Trial:0 w:82; Trial:1 w:74; Trial:4 w:42; Trial:13 w:40; Trial:27 w:36; Trial:48 w:32; Trial:201 w:28; Trial:1139 w:26; Trial:5475 w:24; pErr:0.3679, weight 24 CW found:4525</t>
  </si>
  <si>
    <t>Trial:0 w:150; Trial:1 w:140; Trial:2 w:130; Trial:8 w:128; Trial:9 w:122; Trial:19 w:116; Trial:39 w:94; Trial:800 w:88; Trial:1080 w:76; Trial:5853 w:62; pErr:0.3679, weight 62 CW found:4147</t>
  </si>
  <si>
    <t>Trial:0 w:102; Trial:1 w:100; Trial:2 w:96; Trial:3 w:82; Trial:8 w:74; Trial:38 w:50; Trial:65 w:48; Trial:655 w:46; Trial:1249 w:42; pErr:0.3679, weight 42 CW found:8751</t>
  </si>
  <si>
    <t>Trial:0 w:162; Trial:3 w:152; Trial:5 w:146; Trial:25 w:134; Trial:44 w:120; Trial:468 w:110; Trial:949 w:92; Trial:1555 w:86; pErr:0.3679, weight 86 CW found:8445</t>
  </si>
  <si>
    <t>Trial:0 w:198; Trial:6 w:190; Trial:10 w:188; Trial:24 w:182; Trial:51 w:178; Trial:205 w:176; Trial:227 w:172; Trial:283 w:168; Trial:289 w:160; Trial:450 w:156; Trial:951 w:112; pErr:0.3679, weight 112 CW found:9049</t>
  </si>
  <si>
    <t>Trial:0 w:186; Trial:1 w:182; Trial:3 w:162; Trial:11 w:146; Trial:438 w:82; Trial:3148 w:74; pErr:0.3679, weight 74 CW found:6852</t>
  </si>
  <si>
    <t>Trial:0 w:292; Trial:1 w:284; Trial:2 w:268; Trial:18 w:260; Trial:24 w:256; Trial:42 w:244; Trial:123 w:238; Trial:255 w:232; Trial:1024 w:190; pErr:0.3679, weight 190 CW found:8976</t>
  </si>
  <si>
    <t>Trial:0 w:164; Trial:1 w:136; Trial:4 w:124; Trial:15 w:116; Trial:16 w:106; Trial:26 w:96; Trial:250 w:88; Trial:287 w:86; Trial:975 w:78; Trial:5920 w:74; Trial:7297 w:68; pErr:0.3679, weight 68 CW found:2703</t>
  </si>
  <si>
    <t>Trial:0 w:372; Trial:2 w:352; Trial:6 w:340; Trial:9 w:330; Trial:14 w:314; Trial:49 w:256; Trial:5931 w:228; Trial:6533 w:210; pErr:0.3679, weight 210 CW found:3467</t>
  </si>
  <si>
    <t>Trial:0 w:194; Trial:1 w:120; Trial:54 w:116; Trial:65 w:102; Trial:94 w:90; Trial:177 w:78; Trial:2986 w:72; Trial:3468 w:70; pErr:0.3679, weight 70 CW found:6532</t>
  </si>
  <si>
    <t>Trial:0 w:208; Trial:1 w:188; Trial:3 w:186; Trial:5 w:164; Trial:75 w:152; Trial:93 w:148; Trial:114 w:124; Trial:138 w:68; Trial:4192 w:66; pErr:0.3679, weight 66 CW found:5808</t>
  </si>
  <si>
    <t>Trial:0 w:448; Trial:7 w:372; Trial:35 w:278; Trial:54 w:260; Trial:151 w:246; Trial:305 w:192; Trial:607 w:180; Trial:6013 w:178; pErr:0.3679, weight 178 CW found:3987</t>
  </si>
  <si>
    <t>outfile: /home/ucapmwe/dist-benchmark/results/bivariate_bicycle-decoderDist-bposd-20251224_093902.736544_85062422.txt</t>
  </si>
  <si>
    <t>Trial:0 w:6; pErr:0.0000, weight 6 CW found:330</t>
  </si>
  <si>
    <t>Trial:0 w:10; pErr:0.0003, weight 10 CW found:1208</t>
  </si>
  <si>
    <t>Trial:0 w:14; Trial:2 w:12; Trial:4 w:10; pErr:0.0117, weight 10 CW found:2248</t>
  </si>
  <si>
    <t>Trial:0 w:12; pErr:0.0874, weight 12 CW found:4103</t>
  </si>
  <si>
    <t>Trial:0 w:24; Trial:8 w:18; pErr:0.3344, weight 18 CW found:9121</t>
  </si>
  <si>
    <t>Trial:0 w:52; Trial:1 w:32; Trial:51 w:30; Trial:112 w:28; Trial:116 w:26; Trial:396 w:24; pErr:0.3676, weight 24 CW found:9597</t>
  </si>
  <si>
    <t>Trial:0 w:106; Trial:2 w:104; Trial:3 w:98; Trial:5 w:70; Trial:252 w:68; Trial:515 w:64; Trial:737 w:60; Trial:1147 w:58; Trial:1340 w:54; Trial:2308 w:50; Trial:4105 w:46; Trial:8685 w:38; pErr:0.3679, weight 38 CW found:1315</t>
  </si>
  <si>
    <t>Trial:0 w:14; Trial:1 w:10; pErr:0.0852, weight 10 CW found:4061</t>
  </si>
  <si>
    <t>Trial:0 w:74; Trial:4 w:72; Trial:8 w:62; Trial:9 w:56; Trial:13 w:50; Trial:15 w:48; Trial:16 w:46; Trial:34 w:34; Trial:128 w:32; Trial:159 w:28; Trial:2826 w:24; pErr:0.3679, weight 24 CW found:7174</t>
  </si>
  <si>
    <t>Trial:0 w:130; Trial:8 w:110; Trial:62 w:102; Trial:258 w:70; Trial:1924 w:58; pErr:0.3679, weight 58 CW found:8076</t>
  </si>
  <si>
    <t>Trial:0 w:94; Trial:4 w:88; Trial:10 w:82; Trial:19 w:80; Trial:58 w:70; Trial:162 w:52; Trial:528 w:48; Trial:1470 w:42; Trial:3076 w:40; Trial:5591 w:36; pErr:0.3679, weight 36 CW found:4409</t>
  </si>
  <si>
    <t>Trial:0 w:172; Trial:3 w:160; Trial:4 w:158; Trial:17 w:154; Trial:45 w:144; Trial:50 w:116; Trial:244 w:94; Trial:1568 w:90; pErr:0.3679, weight 90 CW found:8432</t>
  </si>
  <si>
    <t>Trial:0 w:218; Trial:2 w:212; Trial:3 w:202; Trial:5 w:198; Trial:9 w:182; Trial:20 w:168; Trial:244 w:148; Trial:2662 w:146; Trial:2765 w:132; pErr:0.3679, weight 132 CW found:7235</t>
  </si>
  <si>
    <t>Trial:0 w:164; Trial:5 w:160; Trial:23 w:156; Trial:90 w:132; Trial:100 w:130; Trial:847 w:128; Trial:1213 w:102; Trial:1637 w:80; Trial:3365 w:74; pErr:0.3679, weight 74 CW found:6635</t>
  </si>
  <si>
    <t>Trial:0 w:288; Trial:7 w:272; Trial:13 w:270; Trial:25 w:268; Trial:46 w:258; Trial:81 w:244; Trial:294 w:240; Trial:570 w:218; Trial:1335 w:206; Trial:8379 w:164; Trial:9174 w:160; pErr:0.3679, weight 160 CW found:826</t>
  </si>
  <si>
    <t>Trial:0 w:140; Trial:4 w:100; Trial:635 w:96; Trial:691 w:84; Trial:1187 w:80; Trial:3536 w:68; pErr:0.3679, weight 68 CW found:6464</t>
  </si>
  <si>
    <t>Trial:0 w:360; Trial:1 w:358; Trial:2 w:316; Trial:51 w:308; Trial:130 w:300; Trial:316 w:256; Trial:3569 w:210; Trial:6767 w:140; pErr:0.3679, weight 140 CW found:3233</t>
  </si>
  <si>
    <t>Trial:0 w:128; Trial:1 w:86; Trial:291 w:78; Trial:1293 w:74; pErr:0.3679, weight 74 CW found:8707</t>
  </si>
  <si>
    <t>Trial:0 w:202; Trial:3 w:198; Trial:7 w:142; Trial:76 w:140; Trial:97 w:136; Trial:205 w:98; Trial:579 w:68; pErr:0.3679, weight 68 CW found:9421</t>
  </si>
  <si>
    <t>Trial:0 w:508; Trial:1 w:502; Trial:8 w:396; Trial:16 w:386; Trial:19 w:312; Trial:53 w:300; Trial:66 w:214; Trial:284 w:212; Trial:667 w:198; Trial:1133 w:174; Trial:7858 w:162; pErr:0.3679, weight 162 CW found:2142</t>
  </si>
  <si>
    <t>osd_method: OSD_0</t>
  </si>
  <si>
    <t>osd_order: 0</t>
  </si>
  <si>
    <t>outfile: /home/ucapmwe/dist-benchmark/results/bivariate_bicycle-decoderDist-bposd-20251226_112317.879492_85062422.txt</t>
  </si>
  <si>
    <t>Trial:0 w:6; pErr:0.0478, weight 6 CW found:3288</t>
  </si>
  <si>
    <t>Trial:0 w:10; pErr:0.0158, weight 10 CW found:2412</t>
  </si>
  <si>
    <t>Trial:0 w:30; Trial:1 w:20; Trial:3 w:16; Trial:5 w:14; Trial:21 w:12; Trial:939 w:10; pErr:0.0475, weight 10 CW found:2973</t>
  </si>
  <si>
    <t>Trial:0 w:18; Trial:9 w:14; Trial:11 w:12; pErr:0.2607, weight 12 CW found:7430</t>
  </si>
  <si>
    <t>Trial:0 w:72; Trial:1 w:28; Trial:98 w:26; Trial:143 w:22; Trial:160 w:18; pErr:0.3415, weight 18 CW found:9158</t>
  </si>
  <si>
    <t>Trial:0 w:70; Trial:1 w:66; Trial:6 w:58; Trial:11 w:44; Trial:20 w:30; Trial:1604 w:28; Trial:4803 w:24; pErr:0.3675, weight 24 CW found:5192</t>
  </si>
  <si>
    <t>Trial:0 w:156; Trial:3 w:152; Trial:5 w:124; Trial:15 w:114; Trial:37 w:112; Trial:89 w:88; Trial:849 w:66; Trial:5091 w:64; Trial:9700 w:62; pErr:0.3679, weight 62 CW found:300</t>
  </si>
  <si>
    <t>Trial:0 w:18; Trial:4 w:14; Trial:31 w:12; Trial:88 w:10; pErr:0.3378, weight 10 CW found:9132</t>
  </si>
  <si>
    <t>Trial:0 w:124; Trial:1 w:70; Trial:185 w:28; pErr:0.3679, weight 28 CW found:9815</t>
  </si>
  <si>
    <t>Trial:0 w:178; Trial:1 w:176; Trial:2 w:170; Trial:3 w:154; Trial:7 w:150; Trial:17 w:128; Trial:47 w:94; pErr:0.3679, weight 94 CW found:9953</t>
  </si>
  <si>
    <t>Trial:0 w:152; Trial:1 w:138; Trial:2 w:124; Trial:3 w:120; Trial:4 w:102; Trial:25 w:100; Trial:45 w:98; Trial:54 w:88; Trial:299 w:80; Trial:890 w:52; pErr:0.3679, weight 52 CW found:9110</t>
  </si>
  <si>
    <t>Trial:0 w:222; Trial:1 w:214; Trial:2 w:208; Trial:6 w:196; Trial:19 w:178; Trial:213 w:174; Trial:371 w:166; Trial:687 w:160; Trial:696 w:156; Trial:2279 w:144; Trial:2618 w:130; Trial:4863 w:126; pErr:0.3679, weight 126 CW found:5137</t>
  </si>
  <si>
    <t>Trial:0 w:270; Trial:2 w:234; Trial:9 w:222; Trial:39 w:216; Trial:63 w:212; Trial:162 w:194; Trial:1813 w:192; Trial:2177 w:182; Trial:8885 w:146; pErr:0.3679, weight 146 CW found:1115</t>
  </si>
  <si>
    <t>Trial:0 w:230; Trial:2 w:206; Trial:4 w:202; Trial:16 w:200; Trial:25 w:114; pErr:0.3679, weight 114 CW found:9975</t>
  </si>
  <si>
    <t>Trial:0 w:340; Trial:6 w:328; Trial:30 w:280; Trial:761 w:274; Trial:1634 w:268; Trial:2826 w:258; Trial:3893 w:254; pErr:0.3679, weight 254 CW found:6107</t>
  </si>
  <si>
    <t>Trial:0 w:208; Trial:2 w:186; Trial:5 w:164; Trial:179 w:158; Trial:299 w:148; Trial:647 w:144; Trial:785 w:138; Trial:800 w:126; Trial:841 w:114; Trial:6640 w:96; pErr:0.3679, weight 96 CW found:3360</t>
  </si>
  <si>
    <t>Trial:0 w:460; Trial:1 w:440; Trial:2 w:428; Trial:6 w:418; Trial:7 w:376; Trial:16 w:368; Trial:50 w:350; Trial:114 w:338; Trial:217 w:306; pErr:0.3679, weight 306 CW found:9783</t>
  </si>
  <si>
    <t>Trial:0 w:256; Trial:3 w:202; Trial:7 w:198; Trial:39 w:184; Trial:51 w:124; Trial:2381 w:106; Trial:2966 w:104; Trial:5413 w:88; pErr:0.3679, weight 88 CW found:4587</t>
  </si>
  <si>
    <t>Trial:0 w:274; Trial:1 w:248; Trial:8 w:244; Trial:17 w:238; Trial:24 w:200; Trial:142 w:196; Trial:176 w:192; Trial:292 w:170; Trial:3597 w:150; Trial:4614 w:140; Trial:5506 w:98; pErr:0.3679, weight 98 CW found:4494</t>
  </si>
  <si>
    <t>Trial:0 w:616; Trial:2 w:596; Trial:4 w:530; Trial:13 w:402; Trial:338 w:368; Trial:830 w:318; Trial:980 w:278; Trial:3015 w:276; Trial:6572 w:210; pErr:0.3679, weight 210 CW found:3428</t>
  </si>
  <si>
    <t>addStabs: 1</t>
  </si>
  <si>
    <t>outfile: /home/ucapmwe/dist-benchmark/results/bivariate_bicycle-decoderDist-bposd-20251224_093902.736576_85062422.txt</t>
  </si>
  <si>
    <t>Trial:0 w:8; Trial:1 w:6; pErr:0.0000, weight 6 CW found:672</t>
  </si>
  <si>
    <t>Trial:0 w:12; Trial:2 w:10; pErr:0.0474, weight 10 CW found:3279</t>
  </si>
  <si>
    <t>Trial:0 w:14; Trial:1 w:12; Trial:9 w:10; pErr:0.1278, weight 10 CW found:4856</t>
  </si>
  <si>
    <t>Trial:0 w:12; pErr:0.1765, weight 12 CW found:5765</t>
  </si>
  <si>
    <t>Trial:0 w:30; Trial:8 w:28; Trial:15 w:26; Trial:28 w:24; Trial:60 w:22; Trial:120 w:20; Trial:393 w:18; pErr:0.3678, weight 18 CW found:9606</t>
  </si>
  <si>
    <t>Trial:0 w:50; Trial:1 w:32; Trial:9 w:30; Trial:33 w:28; Trial:213 w:26; Trial:285 w:24; pErr:0.3679, weight 24 CW found:9715</t>
  </si>
  <si>
    <t>Trial:0 w:114; Trial:1 w:106; Trial:3 w:98; Trial:4 w:90; Trial:9 w:76; Trial:22 w:58; Trial:233 w:48; Trial:5778 w:46; pErr:0.3679, weight 46 CW found:4222</t>
  </si>
  <si>
    <t>Trial:0 w:10; pErr:0.0755, weight 10 CW found:3871</t>
  </si>
  <si>
    <t>Trial:0 w:56; Trial:1 w:54; Trial:8 w:50; Trial:10 w:48; Trial:14 w:34; Trial:51 w:30; Trial:215 w:28; Trial:1268 w:26; Trial:2866 w:24; pErr:0.3679, weight 24 CW found:7134</t>
  </si>
  <si>
    <t>Trial:0 w:124; Trial:5 w:122; Trial:8 w:120; Trial:9 w:100; Trial:100 w:98; Trial:139 w:84; Trial:679 w:74; Trial:2282 w:72; Trial:6669 w:64; pErr:0.3679, weight 64 CW found:3331</t>
  </si>
  <si>
    <t>Trial:0 w:96; Trial:2 w:84; Trial:7 w:76; Trial:10 w:72; Trial:24 w:66; Trial:51 w:54; Trial:86 w:48; Trial:1097 w:44; Trial:1901 w:36; pErr:0.3679, weight 36 CW found:8099</t>
  </si>
  <si>
    <t>Trial:0 w:154; Trial:20 w:114; Trial:279 w:110; Trial:630 w:98; Trial:665 w:96; Trial:9690 w:90; pErr:0.3679, weight 90 CW found:310</t>
  </si>
  <si>
    <t>Trial:0 w:216; Trial:1 w:202; Trial:5 w:174; Trial:47 w:160; Trial:125 w:94; pErr:0.3679, weight 94 CW found:9875</t>
  </si>
  <si>
    <t>Trial:0 w:190; Trial:1 w:180; Trial:4 w:174; Trial:6 w:172; Trial:15 w:170; Trial:17 w:168; Trial:19 w:166; Trial:42 w:148; Trial:58 w:140; Trial:79 w:138; Trial:308 w:126; Trial:642 w:92; pErr:0.3679, weight 92 CW found:9358</t>
  </si>
  <si>
    <t>Trial:0 w:282; Trial:3 w:278; Trial:11 w:266; Trial:12 w:238; Trial:566 w:228; Trial:620 w:210; Trial:3114 w:178; pErr:0.3679, weight 178 CW found:6886</t>
  </si>
  <si>
    <t>Trial:0 w:162; Trial:1 w:156; Trial:2 w:132; Trial:4 w:102; Trial:107 w:100; Trial:246 w:72; Trial:2386 w:68; pErr:0.3679, weight 68 CW found:7614</t>
  </si>
  <si>
    <t>Trial:0 w:366; Trial:1 w:356; Trial:3 w:354; Trial:4 w:346; Trial:9 w:324; Trial:104 w:316; Trial:119 w:298; Trial:130 w:288; Trial:540 w:260; Trial:3681 w:258; Trial:8398 w:210; pErr:0.3679, weight 210 CW found:1602</t>
  </si>
  <si>
    <t>Trial:0 w:170; Trial:2 w:166; Trial:3 w:162; Trial:11 w:108; Trial:127 w:106; Trial:140 w:104; Trial:141 w:102; Trial:313 w:92; Trial:386 w:90; Trial:1272 w:86; Trial:3260 w:84; Trial:3796 w:82; Trial:5741 w:74; Trial:7930 w:72; pErr:0.3679, weight 72 CW found:2070</t>
  </si>
  <si>
    <t>Trial:0 w:196; Trial:4 w:184; Trial:6 w:154; Trial:62 w:148; Trial:167 w:142; Trial:174 w:130; Trial:472 w:120; Trial:560 w:98; Trial:932 w:62; Trial:2649 w:54; pErr:0.3679, weight 54 CW found:7351</t>
  </si>
  <si>
    <t>bp_max_iter: 0</t>
  </si>
  <si>
    <t>outfile: /home/ucapmwe/dist-benchmark/results/bivariate_bicycle-decoderDist-bposd-20251224_093902.736555_85062422.txt</t>
  </si>
  <si>
    <t>Trial:0 w:6; pErr:0.0000, weight 6 CW found:322</t>
  </si>
  <si>
    <t>Trial:0 w:10; pErr:0.0001, weight 10 CW found:1112</t>
  </si>
  <si>
    <t>Trial:0 w:12; Trial:2 w:10; pErr:0.0374, weight 10 CW found:3042</t>
  </si>
  <si>
    <t>Trial:0 w:12; pErr:0.1433, weight 12 CW found:5147</t>
  </si>
  <si>
    <t>Trial:0 w:36; Trial:1 w:34; Trial:2 w:32; Trial:3 w:28; Trial:15 w:26; Trial:27 w:24; Trial:62 w:22; Trial:211 w:18; pErr:0.3677, weight 18 CW found:9783</t>
  </si>
  <si>
    <t>Trial:0 w:48; Trial:1 w:42; Trial:2 w:40; Trial:3 w:36; Trial:6 w:32; Trial:7 w:30; Trial:27 w:28; Trial:231 w:26; Trial:245 w:24; pErr:0.3679, weight 24 CW found:9755</t>
  </si>
  <si>
    <t>Trial:0 w:96; Trial:3 w:92; Trial:17 w:88; Trial:18 w:82; Trial:92 w:70; Trial:146 w:66; Trial:355 w:48; Trial:4398 w:38; pErr:0.3679, weight 38 CW found:5602</t>
  </si>
  <si>
    <t>Trial:0 w:12; Trial:1 w:10; pErr:0.0975, weight 10 CW found:4296</t>
  </si>
  <si>
    <t>Trial:0 w:50; Trial:20 w:40; Trial:30 w:36; Trial:55 w:32; Trial:323 w:30; Trial:489 w:28; Trial:1558 w:26; pErr:0.3679, weight 26 CW found:8442</t>
  </si>
  <si>
    <t>Trial:0 w:106; Trial:278 w:102; Trial:453 w:100; Trial:467 w:94; Trial:598 w:86; Trial:1607 w:82; Trial:1862 w:72; Trial:7185 w:60; pErr:0.3679, weight 60 CW found:2815</t>
  </si>
  <si>
    <t>Trial:0 w:88; Trial:14 w:82; Trial:40 w:76; Trial:72 w:64; Trial:82 w:60; Trial:147 w:54; Trial:561 w:48; Trial:1516 w:46; Trial:1717 w:44; Trial:1886 w:38; Trial:4105 w:34; pErr:0.3679, weight 34 CW found:5895</t>
  </si>
  <si>
    <t>Trial:0 w:176; Trial:1 w:156; Trial:11 w:146; Trial:15 w:144; Trial:35 w:134; Trial:37 w:116; Trial:378 w:108; Trial:878 w:104; Trial:1087 w:82; pErr:0.3679, weight 82 CW found:8913</t>
  </si>
  <si>
    <t>Trial:0 w:206; Trial:1 w:200; Trial:8 w:192; Trial:9 w:180; Trial:43 w:148; Trial:227 w:136; Trial:2231 w:134; Trial:3333 w:130; Trial:3705 w:102; pErr:0.3679, weight 102 CW found:6295</t>
  </si>
  <si>
    <t>Trial:0 w:182; Trial:1 w:178; Trial:4 w:158; Trial:19 w:152; Trial:266 w:140; Trial:374 w:126; Trial:946 w:116; Trial:1697 w:106; Trial:2858 w:84; Trial:5284 w:82; Trial:8523 w:60; pErr:0.3679, weight 60 CW found:1477</t>
  </si>
  <si>
    <t>Trial:0 w:290; Trial:3 w:288; Trial:6 w:286; Trial:7 w:274; Trial:8 w:244; Trial:160 w:242; Trial:536 w:236; Trial:673 w:234; Trial:866 w:232; Trial:1157 w:212; Trial:4033 w:190; Trial:7860 w:180; pErr:0.3679, weight 180 CW found:2140</t>
  </si>
  <si>
    <t>Trial:0 w:124; Trial:11 w:118; Trial:67 w:116; Trial:76 w:114; Trial:91 w:106; Trial:113 w:104; Trial:180 w:102; Trial:349 w:100; Trial:447 w:86; Trial:820 w:84; Trial:1041 w:74; Trial:2321 w:66; pErr:0.3679, weight 66 CW found:7679</t>
  </si>
  <si>
    <t>Trial:0 w:370; Trial:1 w:346; Trial:6 w:338; Trial:9 w:306; Trial:141 w:294; Trial:171 w:280; Trial:679 w:262; Trial:1222 w:256; Trial:1767 w:228; pErr:0.3679, weight 228 CW found:8233</t>
  </si>
  <si>
    <t>Trial:0 w:184; Trial:1 w:182; Trial:2 w:138; Trial:7 w:124; Trial:30 w:98; Trial:154 w:94; Trial:169 w:92; Trial:874 w:86; Trial:3509 w:84; Trial:5217 w:78; Trial:8724 w:72; pErr:0.3679, weight 72 CW found:1276</t>
  </si>
  <si>
    <t>Trial:0 w:192; Trial:2 w:84; Trial:582 w:80; Trial:2877 w:78; Trial:5705 w:70; pErr:0.3679, weight 70 CW found:4295</t>
  </si>
  <si>
    <t>Trial:0 w:470; Trial:1 w:200; Trial:965 w:196; Trial:1177 w:178; Trial:1669 w:174; Trial:5204 w:158; pErr:0.3679, weight 158 CW found:4796</t>
  </si>
  <si>
    <t>outfile: /home/ucapmwe/dist-benchmark/results/bivariate_bicycle-decoderDist-bposd-20251224_093902.736645_85062422.txt</t>
  </si>
  <si>
    <t>Trial:0 w:6; pErr:0.0000, weight 6 CW found:232</t>
  </si>
  <si>
    <t>Trial:0 w:10; pErr:0.0000, weight 10 CW found:200</t>
  </si>
  <si>
    <t>Trial:0 w:12; Trial:4 w:10; pErr:0.0000, weight 10 CW found:631</t>
  </si>
  <si>
    <t>Trial:0 w:12; pErr:0.0026, weight 12 CW found:1675</t>
  </si>
  <si>
    <t>Trial:0 w:30; Trial:2 w:28; Trial:3 w:24; Trial:5 w:22; Trial:43 w:18; pErr:0.0734, weight 18 CW found:3813</t>
  </si>
  <si>
    <t>Trial:0 w:44; Trial:1 w:28; Trial:3 w:26; Trial:17 w:24; pErr:0.1778, weight 24 CW found:5781</t>
  </si>
  <si>
    <t>Trial:0 w:88; Trial:5 w:72; Trial:7 w:68; Trial:15 w:58; Trial:22 w:54; Trial:50 w:50; Trial:92 w:42; Trial:3651 w:36; pErr:0.3615, weight 36 CW found:6240</t>
  </si>
  <si>
    <t>Trial:0 w:14; Trial:1 w:10; pErr:0.0057, weight 10 CW found:1938</t>
  </si>
  <si>
    <t>Trial:0 w:64; Trial:3 w:56; Trial:6 w:32; Trial:7 w:28; Trial:87 w:26; Trial:9419 w:24; pErr:0.2598, weight 24 CW found:431</t>
  </si>
  <si>
    <t>Trial:0 w:102; Trial:2 w:58; pErr:0.1440, weight 58 CW found:5159</t>
  </si>
  <si>
    <t>Trial:0 w:96; Trial:1 w:74; Trial:7 w:66; Trial:77 w:62; Trial:553 w:60; Trial:621 w:46; Trial:2038 w:44; Trial:3031 w:38; pErr:0.3014, weight 38 CW found:5811</t>
  </si>
  <si>
    <t>Trial:0 w:184; Trial:1 w:166; Trial:2 w:164; Trial:3 w:156; Trial:4 w:152; Trial:11 w:150; Trial:24 w:122; Trial:600 w:114; Trial:1840 w:86; Trial:4369 w:84; pErr:0.3679, weight 84 CW found:5631</t>
  </si>
  <si>
    <t>Trial:0 w:208; Trial:1 w:126; Trial:3 w:116; Trial:1393 w:94; pErr:0.2632, weight 94 CW found:6448</t>
  </si>
  <si>
    <t>Trial:0 w:192; Trial:2 w:176; Trial:5 w:174; Trial:8 w:162; Trial:14 w:144; Trial:37 w:130; Trial:315 w:78; Trial:891 w:66; pErr:0.3679, weight 66 CW found:9109</t>
  </si>
  <si>
    <t>Trial:0 w:244; Trial:375 w:198; Trial:3178 w:174; Trial:6233 w:166; pErr:0.3679, weight 166 CW found:3767</t>
  </si>
  <si>
    <t>Trial:0 w:136; Trial:5 w:132; Trial:11 w:116; Trial:28 w:110; Trial:56 w:106; Trial:61 w:102; Trial:66 w:92; Trial:80 w:80; Trial:108 w:74; pErr:0.3588, weight 74 CW found:9651</t>
  </si>
  <si>
    <t>Trial:0 w:340; Trial:8 w:324; Trial:32 w:308; Trial:52 w:298; Trial:85 w:262; Trial:3773 w:250; Trial:4318 w:202; pErr:0.3679, weight 202 CW found:5682</t>
  </si>
  <si>
    <t>Trial:0 w:168; Trial:11 w:166; Trial:14 w:122; Trial:23 w:96; Trial:148 w:92; Trial:403 w:84; Trial:1865 w:80; Trial:4524 w:76; Trial:9385 w:74; pErr:0.3679, weight 74 CW found:615</t>
  </si>
  <si>
    <t>Trial:0 w:200; Trial:1 w:178; Trial:30 w:158; Trial:68 w:152; Trial:93 w:150; Trial:147 w:144; Trial:198 w:126; Trial:221 w:98; Trial:837 w:92; Trial:1644 w:78; Trial:2091 w:76; Trial:2447 w:66; Trial:5829 w:50; pErr:0.3659, weight 50 CW found:4149</t>
  </si>
  <si>
    <t>Trial:0 w:434; Trial:1 w:412; Trial:3 w:324; Trial:26 w:318; Trial:58 w:316; Trial:72 w:304; Trial:76 w:272; Trial:99 w:250; Trial:122 w:148; pErr:0.3679, weight 148 CW found:9878</t>
  </si>
  <si>
    <t>bp_max_iter: 1000</t>
  </si>
  <si>
    <t>outfile: /home/ucapmwe/dist-benchmark/results/bivariate_bicycle-decoderDist-bposd-20251224_093902.736651_85062422.txt</t>
  </si>
  <si>
    <t>Trial:0 w:6; pErr:0.0000, weight 6 CW found:631</t>
  </si>
  <si>
    <t>Trial:0 w:10; pErr:0.0350, weight 10 CW found:2982</t>
  </si>
  <si>
    <t>Trial:0 w:12; Trial:18 w:10; pErr:0.1386, weight 10 CW found:5051</t>
  </si>
  <si>
    <t>Trial:0 w:14; Trial:2 w:12; pErr:0.1935, weight 12 CW found:6087</t>
  </si>
  <si>
    <t>Trial:0 w:28; Trial:4 w:26; Trial:46 w:22; Trial:102 w:18; pErr:0.3678, weight 18 CW found:9895</t>
  </si>
  <si>
    <t>Trial:0 w:34; Trial:15 w:30; Trial:60 w:28; Trial:136 w:26; Trial:1043 w:24; pErr:0.3679, weight 24 CW found:8957</t>
  </si>
  <si>
    <t>Trial:0 w:98; Trial:1 w:72; Trial:69 w:68; Trial:77 w:54; Trial:2153 w:52; Trial:2941 w:50; pErr:0.3679, weight 50 CW found:7059</t>
  </si>
  <si>
    <t>Trial:0 w:18; Trial:1 w:10; pErr:0.0970, weight 10 CW found:4285</t>
  </si>
  <si>
    <t>Trial:0 w:92; Trial:1 w:84; Trial:3 w:64; Trial:5 w:52; Trial:11 w:46; Trial:23 w:44; Trial:42 w:40; Trial:126 w:30; Trial:641 w:28; Trial:2153 w:26; Trial:2657 w:24; pErr:0.3679, weight 24 CW found:7343</t>
  </si>
  <si>
    <t>Trial:0 w:122; Trial:5 w:104; Trial:14 w:84; Trial:1912 w:78; Trial:3248 w:76; Trial:8330 w:74; Trial:8959 w:70; pErr:0.3679, weight 70 CW found:1041</t>
  </si>
  <si>
    <t>Trial:0 w:96; Trial:4 w:88; Trial:13 w:80; Trial:18 w:48; Trial:2067 w:46; Trial:3189 w:38; pErr:0.3679, weight 38 CW found:6811</t>
  </si>
  <si>
    <t>Trial:0 w:182; Trial:1 w:178; Trial:2 w:174; Trial:3 w:158; Trial:9 w:156; Trial:25 w:150; Trial:45 w:146; Trial:57 w:144; Trial:94 w:136; Trial:155 w:134; Trial:206 w:106; Trial:875 w:98; Trial:4450 w:96; Trial:9097 w:94; pErr:0.3679, weight 94 CW found:903</t>
  </si>
  <si>
    <t>Trial:0 w:204; Trial:4 w:202; Trial:6 w:198; Trial:10 w:194; Trial:22 w:178; Trial:23 w:174; Trial:161 w:170; Trial:230 w:160; Trial:327 w:158; Trial:1013 w:148; Trial:3241 w:146; Trial:4066 w:126; pErr:0.3679, weight 126 CW found:5934</t>
  </si>
  <si>
    <t>Trial:0 w:168; Trial:3 w:164; Trial:20 w:150; Trial:129 w:144; Trial:247 w:130; Trial:606 w:120; Trial:1409 w:110; Trial:1832 w:78; Trial:6307 w:76; pErr:0.3679, weight 76 CW found:3693</t>
  </si>
  <si>
    <t>Trial:0 w:296; Trial:1 w:292; Trial:2 w:290; Trial:3 w:260; Trial:24 w:258; Trial:103 w:250; Trial:183 w:244; Trial:188 w:234; Trial:982 w:224; Trial:1474 w:156; Trial:1634 w:148; Trial:7957 w:146; pErr:0.3679, weight 146 CW found:2043</t>
  </si>
  <si>
    <t>Trial:0 w:156; Trial:1 w:132; Trial:3 w:130; Trial:4 w:112; Trial:11 w:94; Trial:64 w:68; Trial:1838 w:66; pErr:0.3679, weight 66 CW found:8162</t>
  </si>
  <si>
    <t>Trial:0 w:362; Trial:1 w:336; Trial:9 w:308; Trial:95 w:306; Trial:208 w:302; Trial:715 w:300; Trial:1338 w:298; Trial:1709 w:264; Trial:4186 w:244; Trial:5552 w:156; pErr:0.3679, weight 156 CW found:4448</t>
  </si>
  <si>
    <t>Trial:0 w:190; Trial:1 w:186; Trial:3 w:184; Trial:6 w:164; Trial:8 w:162; Trial:10 w:130; Trial:25 w:128; Trial:29 w:118; Trial:38 w:116; Trial:65 w:108; Trial:69 w:96; Trial:135 w:92; Trial:1436 w:78; Trial:2520 w:76; Trial:4686 w:74; pErr:0.3679, weight 74 CW found:5314</t>
  </si>
  <si>
    <t>Trial:0 w:160; Trial:3 w:158; Trial:15 w:150; Trial:29 w:128; Trial:238 w:58; pErr:0.3679, weight 58 CW found:9762</t>
  </si>
  <si>
    <t>Trial:0 w:520; Trial:1 w:484; Trial:4 w:394; Trial:6 w:252; Trial:90 w:210; Trial:618 w:200; Trial:1363 w:192; Trial:2182 w:184; Trial:2944 w:166; Trial:8837 w:160; pErr:0.3679, weight 160 CW found:1163</t>
  </si>
  <si>
    <t>outfile: /home/ucapmwe/dist-benchmark/results/bivariate_bicycle-QDistEvol-20251221_140932.787685_85062422.txt</t>
  </si>
  <si>
    <t>Gen:0 Trial:0 w:6; pErr:0.0000, weight 6 CW found:111</t>
  </si>
  <si>
    <t>Gen:0 Trial:0 w:12; Trial:1 w:10; pErr:0.0000, weight 10 CW found:623</t>
  </si>
  <si>
    <t>Gen:0 Trial:0 w:14; Trial:1 w:12; Trial:3 w:10; pErr:0.0000, weight 10 CW found:697</t>
  </si>
  <si>
    <t>Gen:0 Trial:0 w:14; Trial:2 w:12; pErr:0.0000, weight 12 CW found:1021</t>
  </si>
  <si>
    <t>Gen:0 Trial:0 w:32; Trial:1 w:24; Trial:21 w:22; Gen:2 Trial:211 w:18; pErr:0.0014, weight 18 CW found:2284</t>
  </si>
  <si>
    <t>Gen:0 Trial:0 w:40; Trial:3 w:38; Trial:5 w:32; Trial:18 w:30; Trial:20 w:26; Gen:2 Trial:226 w:24; pErr:0.0670, weight 24 CW found:5316</t>
  </si>
  <si>
    <t>Gen:0 Trial:0 w:98; Trial:14 w:88; Trial:18 w:86; Trial:22 w:76; Trial:34 w:68; Trial:59 w:60; Gen:1 Trial:182 w:58; Gen:2 Trial:241 w:56; Gen:3 Trial:328 w:52; Trial:353 w:46; Gen:6 Trial:622 w:44; Gen:8 Trial:840 w:42; Gen:11 Trial:1162 w:38; Gen:25 Trial:2542 w:34; pErr:0.1759, weight 34 CW found:5050</t>
  </si>
  <si>
    <t>Gen:0 Trial:0 w:10; pErr:0.0000, weight 10 CW found:600</t>
  </si>
  <si>
    <t>Gen:0 Trial:0 w:74; Trial:1 w:52; Trial:13 w:32; Trial:16 w:30; Trial:25 w:28; Gen:3 Trial:315 w:24; pErr:0.0854, weight 24 CW found:4456</t>
  </si>
  <si>
    <t>Gen:0 Trial:0 w:140; Trial:1 w:128; Trial:3 w:120; Trial:13 w:108; Trial:34 w:104; Trial:40 w:94; Gen:1 Trial:120 w:78; Gen:4 Trial:462 w:76; Trial:471 w:74; Gen:6 Trial:695 w:70; Gen:9 Trial:971 w:68; Gen:11 Trial:1126 w:66; Gen:12 Trial:1287 w:64; Gen:15 Trial:1534 w:62; Gen:16 Trial:1619 w:60; Gen:22 Trial:2204 w:58; Gen:25 Trial:2531 w:56; Gen:27 Trial:2756 w:54; Gen:31 Trial:3120 w:52; Gen:47 Trial:4714 w:50; pErr:0.2555, weight 50 CW found:4799</t>
  </si>
  <si>
    <t>Gen:0 Trial:0 w:98; Trial:1 w:94; Trial:2 w:88; Trial:8 w:84; Trial:10 w:80; Trial:12 w:70; Trial:20 w:56; Gen:1 Trial:138 w:50; Gen:2 Trial:203 w:40; Gen:5 Trial:514 w:36; Gen:11 Trial:1171 w:32; pErr:0.1666, weight 32 CW found:5987</t>
  </si>
  <si>
    <t>Gen:0 Trial:0 w:166; Trial:1 w:158; Trial:23 w:150; Trial:46 w:148; Trial:48 w:134; Gen:1 Trial:111 w:132; Trial:128 w:120; Trial:178 w:114; Gen:2 Trial:216 w:108; Trial:295 w:98; Gen:4 Trial:450 w:86; Gen:6 Trial:650 w:84; Gen:7 Trial:776 w:82; Gen:9 Trial:961 w:76; Gen:25 Trial:2520 w:74; Gen:30 Trial:3031 w:72; Gen:77 Trial:7765 w:70; Gen:87 Trial:8789 w:66; Gen:88 Trial:8880 w:64; pErr:0.3191, weight 64 CW found:1189</t>
  </si>
  <si>
    <t>Gen:0 Trial:0 w:200; Trial:2 w:198; Trial:11 w:166; Gen:2 Trial:207 w:126; Gen:5 Trial:536 w:124; Trial:576 w:116; Gen:6 Trial:600 w:104; Trial:681 w:96; Gen:9 Trial:942 w:94; Gen:10 Trial:1002 w:80; Gen:11 Trial:1160 w:76; Trial:1182 w:74; Gen:12 Trial:1230 w:72; Gen:21 Trial:2120 w:70; Gen:24 Trial:2405 w:68; Gen:25 Trial:2555 w:66; Gen:28 Trial:2845 w:62; Gen:40 Trial:4030 w:60; Gen:45 Trial:4565 w:56; Gen:47 Trial:4753 w:54; Gen:66 Trial:6622 w:52; Gen:87 Trial:8790 w:50; Gen:89 Trial:8971 w:44; Gen:92 Trial:9226 w:40; Gen:93 Trial:9370 w:36; pErr:0.2255, weight 36 CW found:478</t>
  </si>
  <si>
    <t>Gen:0 Trial:0 w:174; Trial:1 w:170; Trial:3 w:168; Trial:11 w:158; Trial:74 w:140; Trial:92 w:130; Gen:1 Trial:140 w:126; Trial:163 w:118; Gen:2 Trial:200 w:94; Gen:5 Trial:593 w:92; Gen:6 Trial:673 w:86; Gen:8 Trial:815 w:84; Gen:9 Trial:915 w:78; Gen:11 Trial:1152 w:74; Gen:13 Trial:1307 w:70; Gen:15 Trial:1501 w:64; Gen:18 Trial:1820 w:62; Gen:19 Trial:1963 w:60; Gen:21 Trial:2196 w:58; Gen:27 Trial:2765 w:56; Gen:39 Trial:3954 w:54; Gen:49 Trial:4965 w:50; Gen:52 Trial:5286 w:48; Gen:81 Trial:8120 w:44; Gen:84 Trial:8448 w:42; Gen:94 Trial:9433 w:40; pErr:0.2208, weight 40 CW found:435</t>
  </si>
  <si>
    <t>Gen:0 Trial:0 w:282; Trial:6 w:278; Trial:8 w:260; Trial:32 w:252; Trial:42 w:246; Gen:1 Trial:115 w:228; Gen:2 Trial:205 w:222; Gen:3 Trial:301 w:206; Trial:378 w:182; Trial:393 w:178; Gen:5 Trial:527 w:160; Gen:6 Trial:605 w:150; Trial:673 w:110; Gen:7 Trial:760 w:108; Gen:8 Trial:810 w:106; Gen:16 Trial:1610 w:102; Trial:1611 w:100; Gen:17 Trial:1751 w:98; Gen:18 Trial:1840 w:94; Gen:19 Trial:1920 w:92; Gen:23 Trial:2390 w:90; Gen:26 Trial:2645 w:88; Gen:28 Trial:2820 w:86; Gen:34 Trial:3431 w:84; Gen:36 Trial:3665 w:80; Gen:42 Trial:4202 w:78; Gen:57 Trial:5741 w:76; Gen:60 Trial:6012 w:74; Trial:6053 w:72; pErr:0.3146, weight 72 CW found:4243</t>
  </si>
  <si>
    <t>Gen:0 Trial:0 w:138; Trial:5 w:102; Trial:63 w:96; Gen:1 Trial:178 w:92; Gen:2 Trial:217 w:86; Trial:220 w:82; Gen:3 Trial:305 w:80; Gen:5 Trial:514 w:78; Trial:531 w:72; Gen:6 Trial:690 w:68; Gen:7 Trial:723 w:64; Gen:9 Trial:910 w:62; Gen:10 Trial:1006 w:60; Trial:1096 w:58; Gen:24 Trial:2465 w:56; Gen:32 Trial:3241 w:54; pErr:0.2379, weight 54 CW found:6293</t>
  </si>
  <si>
    <t>Gen:0 Trial:0 w:378; Trial:1 w:342; Trial:8 w:336; Trial:19 w:318; Trial:60 w:300; Gen:1 Trial:100 w:298; Trial:180 w:294; Gen:2 Trial:234 w:250; Gen:6 Trial:665 w:244; Gen:7 Trial:749 w:198; Gen:10 Trial:1038 w:196; Gen:11 Trial:1120 w:190; Gen:12 Trial:1256 w:186; Gen:13 Trial:1310 w:156; Gen:14 Trial:1442 w:150; Gen:15 Trial:1503 w:142; Gen:18 Trial:1841 w:130; Gen:19 Trial:1900 w:118; Gen:20 Trial:2082 w:116; Gen:22 Trial:2218 w:112; Gen:25 Trial:2541 w:110; Trial:2590 w:100; Gen:29 Trial:2940 w:98; Gen:31 Trial:3190 w:94; Gen:32 Trial:3290 w:92; Gen:35 Trial:3540 w:90; Gen:37 Trial:3700 w:88; Gen:39 Trial:3952 w:82; Gen:44 Trial:4417 w:80; Gen:47 Trial:4712 w:78; Gen:50 Trial:5053 w:76; Gen:54 Trial:5400 w:72; Gen:63 Trial:6393 w:70; Gen:75 Trial:7564 w:68; pErr:0.3266, weight 68 CW found:2612</t>
  </si>
  <si>
    <t>Gen:0 Trial:0 w:184; Trial:1 w:130; Trial:5 w:98; Trial:85 w:94; Trial:87 w:86; Gen:1 Trial:155 w:78; Gen:3 Trial:352 w:76; Gen:5 Trial:548 w:74; Gen:6 Trial:614 w:72; Gen:9 Trial:978 w:70; Gen:10 Trial:1090 w:68; Gen:11 Trial:1194 w:64; Gen:13 Trial:1312 w:62; Gen:14 Trial:1411 w:60; Gen:15 Trial:1550 w:58; Gen:18 Trial:1812 w:56; Gen:25 Trial:2542 w:54; Gen:29 Trial:2959 w:52; pErr:0.2655, weight 52 CW found:6399</t>
  </si>
  <si>
    <t>Gen:0 Trial:0 w:214; Trial:1 w:194; Trial:3 w:186; Trial:5 w:168; Trial:19 w:146; Gen:1 Trial:105 w:144; Trial:122 w:130; Trial:135 w:98; Gen:2 Trial:210 w:84; Gen:3 Trial:330 w:82; Trial:331 w:78; Gen:5 Trial:534 w:76; Gen:7 Trial:711 w:74; Trial:725 w:72; Trial:745 w:70; Gen:8 Trial:820 w:58; Gen:10 Trial:1094 w:56; Gen:11 Trial:1116 w:54; Gen:13 Trial:1388 w:48; Gen:16 Trial:1672 w:44; Gen:21 Trial:2140 w:42; Gen:23 Trial:2301 w:40; Gen:25 Trial:2561 w:38; Gen:32 Trial:3295 w:36; pErr:0.2024, weight 36 CW found:4659</t>
  </si>
  <si>
    <t>Gen:0 Trial:0 w:518; Trial:1 w:500; Trial:2 w:418; Trial:3 w:278; Trial:17 w:270; Trial:74 w:242; Gen:1 Trial:137 w:240; Trial:144 w:234; Trial:168 w:218; Trial:174 w:212; Gen:2 Trial:213 w:200; Trial:219 w:198; Trial:278 w:182; Gen:3 Trial:308 w:136; Gen:5 Trial:552 w:132; Gen:12 Trial:1260 w:118; Gen:13 Trial:1302 w:116; Gen:14 Trial:1400 w:110; Gen:28 Trial:2821 w:108; Gen:41 Trial:4151 w:106; Gen:60 Trial:6060 w:102; Gen:63 Trial:6302 w:100; Gen:74 Trial:7452 w:98; Gen:85 Trial:8531 w:94; Gen:89 Trial:8962 w:92; pErr:0.3575, weight 92 CW found:1193</t>
  </si>
  <si>
    <t>method: QDistRndMW</t>
  </si>
  <si>
    <t>outfile: /home/ucapmwe/dist-benchmark/results/bivariate_bicycle-QDistRndMW-20251221_140932.787717_85062422.txt</t>
  </si>
  <si>
    <t>Trial:0 w:6; pErr:0.0000, weight 6 CW found:1026</t>
  </si>
  <si>
    <t>Trial:0 w:10; pErr:0.0414, weight 10 CW found:7483</t>
  </si>
  <si>
    <t>Trial:0 w:10; pErr:0.0853, weight 10 CW found:8566</t>
  </si>
  <si>
    <t>Trial:0 w:14; Trial:1 w:12; pErr:0.1559, weight 12 CW found:10077</t>
  </si>
  <si>
    <t>Trial:0 w:26; Trial:7 w:18; pErr:0.3677, weight 18 CW found:13704</t>
  </si>
  <si>
    <t>Trial:0 w:34; Trial:29 w:30; Trial:30 w:28; Trial:50 w:26; Trial:88 w:24; pErr:0.3679, weight 24 CW found:13149</t>
  </si>
  <si>
    <t>Trial:0 w:98; Trial:2 w:92; Trial:20 w:88; Trial:22 w:86; Trial:30 w:84; Trial:32 w:82; Trial:43 w:42; Trial:7972 w:40; pErr:0.3679, weight 40 CW found:2553</t>
  </si>
  <si>
    <t>Trial:0 w:10; pErr:0.0302, weight 10 CW found:5591</t>
  </si>
  <si>
    <t>Trial:0 w:54; Trial:1 w:34; Trial:121 w:30; Trial:956 w:28; Trial:1027 w:26; Trial:5489 w:24; pErr:0.3679, weight 24 CW found:5460</t>
  </si>
  <si>
    <t>Trial:0 w:126; Trial:3 w:98; Trial:15 w:92; Trial:524 w:68; pErr:0.3679, weight 68 CW found:12223</t>
  </si>
  <si>
    <t>Trial:0 w:112; Trial:1 w:90; Trial:7 w:88; Trial:9 w:74; Trial:19 w:60; Trial:102 w:44; Trial:309 w:40; Trial:1385 w:38; pErr:0.3679, weight 38 CW found:11230</t>
  </si>
  <si>
    <t>Trial:0 w:172; Trial:2 w:152; Trial:19 w:148; Trial:30 w:138; Trial:88 w:126; Trial:267 w:122; Trial:542 w:120; Trial:616 w:102; Trial:674 w:100; Trial:2572 w:94; Trial:3284 w:88; pErr:0.3679, weight 88 CW found:8606</t>
  </si>
  <si>
    <t>Trial:0 w:190; Trial:23 w:172; Trial:171 w:158; Trial:218 w:152; Trial:358 w:136; Trial:3965 w:108; Trial:9402 w:102; pErr:0.3679, weight 102 CW found:776</t>
  </si>
  <si>
    <t>Trial:0 w:170; Trial:1 w:166; Trial:23 w:160; Trial:26 w:152; Trial:57 w:126; Trial:331 w:98; Trial:1730 w:86; Trial:5845 w:76; Trial:8384 w:74; pErr:0.3679, weight 74 CW found:2010</t>
  </si>
  <si>
    <t>Trial:0 w:286; Trial:2 w:278; Trial:3 w:274; Trial:4 w:262; Trial:11 w:246; Trial:13 w:240; Trial:38 w:184; pErr:0.3679, weight 184 CW found:12376</t>
  </si>
  <si>
    <t>Trial:0 w:156; Trial:1 w:148; Trial:2 w:130; Trial:5 w:112; Trial:37 w:108; Trial:114 w:98; Trial:349 w:94; Trial:396 w:92; Trial:592 w:78; Trial:1353 w:74; Trial:7044 w:72; pErr:0.3679, weight 72 CW found:3728</t>
  </si>
  <si>
    <t>Trial:0 w:364; Trial:1 w:354; Trial:3 w:338; Trial:6 w:318; Trial:71 w:308; Trial:211 w:304; Trial:256 w:290; Trial:459 w:288; Trial:538 w:286; Trial:725 w:270; Trial:3243 w:228; Trial:3706 w:214; Trial:4574 w:178; pErr:0.3679, weight 178 CW found:6806</t>
  </si>
  <si>
    <t>Trial:0 w:188; Trial:1 w:88; Trial:360 w:80; Trial:977 w:78; Trial:4899 w:72; Trial:9073 w:66; pErr:0.3679, weight 66 CW found:1120</t>
  </si>
  <si>
    <t>Trial:0 w:196; Trial:4 w:194; Trial:5 w:180; Trial:13 w:120; Trial:190 w:94; Trial:1038 w:72; Trial:2626 w:64; Trial:7390 w:46; pErr:0.3679, weight 46 CW found:3267</t>
  </si>
  <si>
    <t>Trial:0 w:476; Trial:4 w:404; Trial:32 w:354; Trial:35 w:276; Trial:46 w:256; Trial:67 w:234; Trial:75 w:206; Trial:511 w:204; Trial:3385 w:202; Trial:6381 w:172; Trial:7917 w:160; pErr:0.3679, weight 160 CW found:2490</t>
  </si>
  <si>
    <t>HL: 1</t>
  </si>
  <si>
    <t>outfile: /home/ucapmwe/dist-benchmark/results/bivariate_bicycle-QDistRndMW-20251226_112317.867213_85062422.txt</t>
  </si>
  <si>
    <t>Trial:0 w:6; pErr:0.0000, weight 6 CW found:1027</t>
  </si>
  <si>
    <t>Trial:0 w:10; pErr:0.0425, weight 10 CW found:7462</t>
  </si>
  <si>
    <t>Trial:0 w:14; Trial:1 w:12; Trial:2 w:10; pErr:0.0832, weight 10 CW found:8453</t>
  </si>
  <si>
    <t>Trial:0 w:12; pErr:0.1552, weight 12 CW found:9955</t>
  </si>
  <si>
    <t>Trial:0 w:38; Trial:1 w:30; Trial:5 w:24; Trial:32 w:22; Trial:153 w:18; pErr:0.3679, weight 18 CW found:13487</t>
  </si>
  <si>
    <t>Trial:0 w:52; Trial:1 w:32; Trial:17 w:28; Trial:211 w:26; Trial:593 w:24; pErr:0.3679, weight 24 CW found:12503</t>
  </si>
  <si>
    <t>Trial:0 w:78; Trial:10 w:58; Trial:353 w:56; Trial:1228 w:50; Trial:4362 w:46; Trial:5728 w:44; pErr:0.3679, weight 44 CW found:5397</t>
  </si>
  <si>
    <t>Trial:0 w:12; Trial:3 w:10; pErr:0.0277, weight 10 CW found:5487</t>
  </si>
  <si>
    <t>Trial:0 w:54; Trial:8 w:36; Trial:77 w:32; Trial:474 w:30; Trial:513 w:26; Trial:871 w:24; pErr:0.3679, weight 24 CW found:11190</t>
  </si>
  <si>
    <t>Trial:0 w:102; Trial:224 w:94; Trial:562 w:88; Trial:652 w:68; Trial:2763 w:60; pErr:0.3679, weight 60 CW found:9325</t>
  </si>
  <si>
    <t>Trial:0 w:94; Trial:2 w:90; Trial:5 w:88; Trial:6 w:70; Trial:23 w:52; Trial:151 w:50; Trial:273 w:40; Trial:5378 w:36; pErr:0.3679, weight 36 CW found:6041</t>
  </si>
  <si>
    <t>Trial:0 w:176; Trial:1 w:166; Trial:2 w:164; Trial:4 w:158; Trial:15 w:154; Trial:19 w:144; Trial:22 w:140; Trial:45 w:136; Trial:66 w:126; Trial:258 w:102; Trial:653 w:100; Trial:1087 w:88; pErr:0.3679, weight 88 CW found:11372</t>
  </si>
  <si>
    <t>Trial:0 w:192; Trial:6 w:156; Trial:65 w:154; Trial:902 w:142; Trial:2200 w:132; Trial:5529 w:104; Trial:6673 w:74; pErr:0.3679, weight 74 CW found:4279</t>
  </si>
  <si>
    <t>Trial:0 w:180; Trial:1 w:174; Trial:3 w:172; Trial:6 w:170; Trial:33 w:168; Trial:39 w:158; Trial:40 w:150; Trial:93 w:148; Trial:177 w:144; Trial:255 w:132; Trial:520 w:104; Trial:2787 w:102; Trial:5368 w:98; Trial:5758 w:74; Trial:9205 w:68; pErr:0.3679, weight 68 CW found:983</t>
  </si>
  <si>
    <t>Trial:0 w:294; Trial:3 w:288; Trial:5 w:274; Trial:9 w:262; Trial:41 w:250; Trial:115 w:246; Trial:382 w:242; Trial:676 w:196; Trial:2801 w:140; pErr:0.3679, weight 140 CW found:9056</t>
  </si>
  <si>
    <t>Trial:0 w:156; Trial:1 w:106; Trial:55 w:100; Trial:97 w:90; Trial:308 w:86; Trial:1590 w:84; Trial:2543 w:82; Trial:6290 w:72; Trial:9037 w:66; pErr:0.3679, weight 66 CW found:1217</t>
  </si>
  <si>
    <t>Trial:0 w:362; Trial:1 w:344; Trial:12 w:332; Trial:40 w:316; Trial:45 w:302; Trial:120 w:288; Trial:216 w:284; Trial:576 w:190; Trial:6905 w:176; Trial:8690 w:168; pErr:0.3679, weight 168 CW found:1642</t>
  </si>
  <si>
    <t>Trial:0 w:120; Trial:7 w:108; Trial:69 w:84; Trial:258 w:80; Trial:2324 w:70; pErr:0.3679, weight 70 CW found:9310</t>
  </si>
  <si>
    <t>Trial:0 w:206; Trial:1 w:194; Trial:3 w:190; Trial:5 w:182; Trial:8 w:178; Trial:24 w:174; Trial:25 w:140; Trial:87 w:126; Trial:108 w:122; Trial:510 w:116; Trial:524 w:106; Trial:588 w:102; Trial:613 w:92; Trial:1803 w:86; Trial:2253 w:66; pErr:0.3679, weight 66 CW found:9689</t>
  </si>
  <si>
    <t>Trial:0 w:510; Trial:1 w:434; Trial:10 w:290; Trial:59 w:214; Trial:1115 w:210; Trial:1158 w:200; Trial:1386 w:194; Trial:2603 w:176; Trial:5854 w:172; pErr:0.3679, weight 172 CW found:4963</t>
  </si>
  <si>
    <t>28800.071628458987</t>
  </si>
  <si>
    <t xml:space="preserve">Magma V2.28-26    Thu Jan  8 2026 21:27:32 on Marks-MacBook-Air-2 [Seed = \n1313277653]\nType ? for help.  Type &lt;Ctrl&gt;-D to quit.\n[0 1 1 0 0 0 0 0 0 0 0 0 0 0 0 0 0 0 0 0 0 0 0 0 0 0 0 0 0 0 0 0 0 0 0 0 0 0 0 0\n    0 0 0 0 0 0 0 0 0 0 0 0 0 0 1 0 0 0 0 </t>
  </si>
  <si>
    <t xml:space="preserve">Magma V2.28-26    Thu Jan  8 2026 21:27:54 on Marks-MacBook-Air-2 [Seed = \n1954364657]\nType ? for help.  Type &lt;Ctrl&gt;-D to quit.\n[0 0 0 0 0 0 0 0 0 0 0 0 0 0 0 0 0 0 0 0 0 1 0 1 0 0 0 0 0 0 0 0 0 0 0 0 0 0 0 0\n    0 0 0 0 0 0 0 0 0 0 0 0 0 0 0 0 0 0 0 </t>
  </si>
  <si>
    <t>28801.35171812499</t>
  </si>
  <si>
    <t xml:space="preserve">Magma V2.28-26    Thu Jan  8 2026 21:28:04 on Marks-MacBook-Air-2 [Seed = \n1634216410]\nType ? for help.  Type &lt;Ctrl&gt;-D to quit.\n[0 0 1 0 0 0 0 0 0 0 0 0 0 0 0 0 0 0 0 0 0 0 0 0 0 0 0 0 0 0 0 0 0 0 0 0 0 0 0 1\n    0 0 0 0 0 0 0 0 0 0 0 0 0 0 0 0 0 0 0 </t>
  </si>
  <si>
    <t>28800.467267750006</t>
  </si>
  <si>
    <t xml:space="preserve">Magma V2.28-26    Fri Jan  9 2026 05:27:34 on Marks-MacBook-Air-2 [Seed = \n1449111040]\nType ? for help.  Type &lt;Ctrl&gt;-D to quit.\n[0 0 0 0 0 0 0 0 0 0 1 0 0 0 0 0 0 1 0 0 0 0 0 0 0 0 0 0 0 0 0 0 0 0 0 0 0 0 0 0\n    0 0 0 0 0 0 0 0 0 0 0 0 0 0 1 0 0 0 0 </t>
  </si>
  <si>
    <t>28800.530092250003</t>
  </si>
  <si>
    <t xml:space="preserve">Magma V2.28-26    Fri Jan  9 2026 05:27:55 on Marks-MacBook-Air-2 [Seed = \n1296348422]\nType ? for help.  Type &lt;Ctrl&gt;-D to quit.\n[0 0 0 0 0 0 0 0 0 0 0 0 0 1 1 0 0 0 0 0 0 0 0 0 0 0 0 0 0 0 0 0 0 0 0 0 0 0 0 0\n    0 0 0 0 0 0 0 0 0 0 0 0 0 0 0 0 0 0 0 </t>
  </si>
  <si>
    <t>28803.57778183301</t>
  </si>
  <si>
    <t xml:space="preserve">Magma V2.28-26    Fri Jan  9 2026 05:28:09 on Marks-MacBook-Air-2 [Seed = \n1684904989]\nType ? for help.  Type &lt;Ctrl&gt;-D to quit.\n[0 0 0 0 0 0 0 0 0 0 0 0 0 1 0 0 0 0 0 0 0 0 0 0 0 0 0 0 0 0 0 0 0 0 0 1 0 0 0 0\n    0 0 0 0 0 0 0 0 0 0 0 0 0 0 0 0 0 0 0 </t>
  </si>
  <si>
    <t xml:space="preserve">Magma V2.28-26    Fri Jan  9 2026 13:27:34 on Marks-MacBook-Air-2 [Seed = \n1869022586]\nType ? for help.  Type &lt;Ctrl&gt;-D to quit.\n[0 0 0 0 1 0 0 0 0 0 0 0 0 0 1 0 0 0 0 0 0 0 0 0 0 0 0 0 0 0 0 0 0 0 0 0 0 0 0 0\n    0 0 0 0 0 0 0 0 0 0 0 0 0 0 1 0 0 0 0 </t>
  </si>
  <si>
    <t>28801.568433292006</t>
  </si>
  <si>
    <t xml:space="preserve">Magma V2.28-26    Fri Jan  9 2026 13:27:57 on Marks-MacBook-Air-2 [Seed = \n551438]\nType ? for help.  Type &lt;Ctrl&gt;-D to quit.\n[0 0 0 0 0 0 0 0 1 0 0 0 0 0 0 0 1 0 0 0 0 0 0 0 0 0 0 0 0 0 0 0 0 0 0 0 0 0 0 0\n    0 0 0 0 0 0 0 0 0 0 0 0 0 0 0 0 0 0 0 0 0 </t>
  </si>
  <si>
    <t>28807.794125332992</t>
  </si>
  <si>
    <t>Magma V2.28-26    Fri Jan  9 2026 13:28:16 on Marks-MacBook-Air-2 [Seed = \n876371479]\nType ? for help.  Type &lt;Ctrl&gt;-D to quit.\n[0 0 0 0 0 0 0 0 1 0 0 0 0 1 0 0 0 0 0 0 0 0 0 0 0 0 0 0 0 0 0 0 0 0 0 0 0 0 0 0\n    0 0 0 0 0 0 0 0 0 0 0 0 0 0 0 0 0 0 0 0</t>
  </si>
  <si>
    <t xml:space="preserve">Magma V2.28-26    Fri Jan  9 2026 21:27:35 on Marks-MacBook-Air-2 [Seed = \n3251231507]\nType ? for help.  Type &lt;Ctrl&gt;-D to quit.\n[0 0 1 0 0 0 1 0 0 0 0 0 0 0 0 0 0 0 0 0 0 0 0 0 0 0 0 0 0 0 0 0 0 0 0 0 0 0 0 0\n    0 0 0 0 0 0 0 0 0 0 0 0 0 0 0 0 0 0 0 </t>
  </si>
  <si>
    <t>28803.241506332997</t>
  </si>
  <si>
    <t xml:space="preserve">Magma V2.28-26    Fri Jan  9 2026 21:27:59 on Marks-MacBook-Air-2 [Seed = \n4210221104]\nType ? for help.  Type &lt;Ctrl&gt;-D to quit.\n[0 0 1 0 0 0 0 0 0 0 0 0 0 0 0 0 1 0 0 0 0 0 0 0 0 0 0 0 0 0 0 0 0 0 0 0 0 0 0 0\n    0 0 0 0 0 0 0 0 0 0 0 0 0 0 0 0 0 0 0 </t>
  </si>
  <si>
    <t>28816.142093083996</t>
  </si>
  <si>
    <t>Magma V2.28-26    Fri Jan  9 2026 21:28:26 on Marks-MacBook-Air-2 [Seed = \n403702517]\nType ? for help.  Type &lt;Ctrl&gt;-D to quit.\n[0 0 0 1 0 0 0 0 0 0 0 0 0 0 0 0 0 0 0 0 0 0 0 0 0 1 0 0 0 0 0 0 0 0 0 0 0 0 0 0\n    0 0 0 0 0 0 0 0 0 0 0 0 0 0 0 0 0 0 0 0</t>
  </si>
  <si>
    <t>nMax completed</t>
  </si>
  <si>
    <t>28800.268011250002</t>
  </si>
  <si>
    <t xml:space="preserve">Magma V2.28-26    Sat Jan 10 2026 10:40:42 on Marks-MacBook-Air-2 [Seed = \n3891044886]\nType ? for help.  Type &lt;Ctrl&gt;-D to quit.\n[0 0 0 0 0 0 0 0 0 0 1 0 0 0 0 0 0 1 0 0 0 0 0 0 0 0 0 0 0 0 0 0 0 0 0 0 0 0 0 0\n    0 0 0 0 0 0 0 0 0 0 0 0 0 0 0 0 0 0 0 </t>
  </si>
  <si>
    <t xml:space="preserve">Magma V2.28-26    Sat Jan 10 2026 18:40:46 on Marks-MacBook-Air-2 [Seed = \n3452320249]\nType ? for help.  Type &lt;Ctrl&gt;-D to quit.\n[0 0 0 0 0 0 0 0 0 0 0 1 0 0 0 1 0 0 0 0 0 0 0 0 0 0 0 0 0 0 0 0 0 0 0 0 0 0 0 0\n    0 0 0 0 0 0 0 0 0 0 0 0 0 0 0 0 0 0 0 </t>
  </si>
  <si>
    <t>28811.915322416004</t>
  </si>
  <si>
    <t xml:space="preserve">Magma V2.28-26    Sun Jan 11 2026 02:40:55 on Marks-MacBook-Air-2 [Seed = \n2037587222]\nType ? for help.  Type &lt;Ctrl&gt;-D to quit.\n[0 0 0 0 0 0 0 0 0 0 0 0 0 0 0 0 0 0 0 1 0 0 0 0 0 0 1 0 0 0 0 0 0 0 0 0 0 0 0 0\n    0 0 0 0 0 0 0 0 0 0 0 0 0 0 0 0 0 0 0 </t>
  </si>
  <si>
    <t>Exact Method Check</t>
  </si>
  <si>
    <t># wmax=99 found cw of weight 10: [0 8 16 56 68 138 170 174 208 210]\n10\n</t>
  </si>
  <si>
    <t>method: UndetectableErrorStim</t>
  </si>
  <si>
    <t>nMin: 1</t>
  </si>
  <si>
    <t>nMax: 100000</t>
  </si>
  <si>
    <t>outfile: /home/ucapmwe/dist-benchmark/results/bivariate_bicycle-UndetectableErrorStim-20260117_152146.445025_85062422.txt</t>
  </si>
  <si>
    <t>dont_explore_detection_event_sets_with_size_above=2,dont_explore_edges_with_degree_above=36; no lo found; dont_explore_detection_event_sets_with_size_above=3,dont_explore_edges_with_degree_above=36; no lo found; dont_explore_detection_event_sets_with_size_above=4,dont_explore_edges_with_degree_above=36; Found w:6; dont_explore_detection_event_sets_with_size_above=5,dont_explore_edges_with_degree_above=36; Found w:6; Breaking - same result 2 times</t>
  </si>
  <si>
    <t>dont_explore_detection_event_sets_with_size_above=2,dont_explore_edges_with_degree_above=45; no lo found; dont_explore_detection_event_sets_with_size_above=3,dont_explore_edges_with_degree_above=45; no lo found; dont_explore_detection_event_sets_with_size_above=4,dont_explore_edges_with_degree_above=45; Found w:10; dont_explore_detection_event_sets_with_size_above=5,dont_explore_edges_with_degree_above=45; Found w:10; Breaking - same result 2 times</t>
  </si>
  <si>
    <t>dont_explore_detection_event_sets_with_size_above=2,dont_explore_edges_with_degree_above=54; no lo found; dont_explore_detection_event_sets_with_size_above=3,dont_explore_edges_with_degree_above=54; no lo found; dont_explore_detection_event_sets_with_size_above=4,dont_explore_edges_with_degree_above=54; Found w:12; dont_explore_detection_event_sets_with_size_above=5,dont_explore_edges_with_degree_above=54; Found w:10; dont_explore_detection_event_sets_with_size_above=6,dont_explore_edges_with_degree_above=54; Found w:10; Breaking - same result 2 times</t>
  </si>
  <si>
    <t>dont_explore_detection_event_sets_with_size_above=2,dont_explore_edges_with_degree_above=72; no lo found; dont_explore_detection_event_sets_with_size_above=3,dont_explore_edges_with_degree_above=72; no lo found; dont_explore_detection_event_sets_with_size_above=4,dont_explore_edges_with_degree_above=72; Found w:12; dont_explore_detection_event_sets_with_size_above=5,dont_explore_edges_with_degree_above=72; Found w:12; Breaking - same result 2 times</t>
  </si>
  <si>
    <t>dont_explore_detection_event_sets_with_size_above=2,dont_explore_edges_with_degree_above=144; no lo found; dont_explore_detection_event_sets_with_size_above=3,dont_explore_edges_with_degree_above=144; no lo found; dont_explore_detection_event_sets_with_size_above=4,dont_explore_edges_with_degree_above=144; no lo found; dont_explore_detection_event_sets_with_size_above=5,dont_explore_edges_with_degree_above=144; Found w:18; dont_explore_detection_event_sets_with_size_above=6,dont_explore_edges_with_degree_above=144; Found w:18; Breaking - same result 2 times</t>
  </si>
  <si>
    <t>dont_explore_detection_event_sets_with_size_above=2,dont_explore_edges_with_degree_above=180; no lo found; dont_explore_detection_event_sets_with_size_above=3,dont_explore_edges_with_degree_above=180; no lo found; dont_explore_detection_event_sets_with_size_above=4,dont_explore_edges_with_degree_above=180; no lo found; dont_explore_detection_event_sets_with_size_above=5,dont_explore_edges_with_degree_above=180; Found w:30; dont_explore_detection_event_sets_with_size_above=6,dont_explore_edges_with_degree_above=180; Found w:24; dont_explore_detection_event_sets_with_size_above=7,dont_explore_edges_with_degree_above=180; Found w:24; Breaking - same result 2 times</t>
  </si>
  <si>
    <t>dont_explore_detection_event_sets_with_size_above=2,dont_explore_edges_with_degree_above=108; no lo found; dont_explore_detection_event_sets_with_size_above=3,dont_explore_edges_with_degree_above=108; Found w:12; dont_explore_detection_event_sets_with_size_above=4,dont_explore_edges_with_degree_above=108; Found w:10; dont_explore_detection_event_sets_with_size_above=5,dont_explore_edges_with_degree_above=108; Found w:10; Breaking - same result 2 times</t>
  </si>
  <si>
    <t>dont_explore_detection_event_sets_with_size_above=2,dont_explore_edges_with_degree_above=288; no lo found; dont_explore_detection_event_sets_with_size_above=3,dont_explore_edges_with_degree_above=288; no lo found; dont_explore_detection_event_sets_with_size_above=4,dont_explore_edges_with_degree_above=288; no lo found; dont_explore_detection_event_sets_with_size_above=5,dont_explore_edges_with_degree_above=288; Found w:26; dont_explore_detection_event_sets_with_size_above=6,dont_explore_edges_with_degree_above=288; Found w:26; Breaking - same result 2 times</t>
  </si>
  <si>
    <t>iterCount: 1000000</t>
  </si>
  <si>
    <t>GF4blockRep: 3</t>
  </si>
  <si>
    <t>regroupPerm: 1</t>
  </si>
  <si>
    <t>outfile: /home/ucapmwe/dist-benchmark/results/bivariate_bicycle-dist_m4ri_RW-20260203_135026.764937_85062422.txt</t>
  </si>
  <si>
    <t>9.394444017671049</t>
  </si>
  <si>
    <t># step=0 row=0 minW=73 found cw of W=16: [1 4 9 15 16 18 19 20 24 31 35 42 47 49 63 69]\n# step=0 row=1 minW=16 found cw of W=10: [3 4 15 16 18 35 42 49 55 63]\n# step=0 row=6 minW=10 found cw of W=6: [13 14 15 16 33 35]\n# round=1000 of 1000000 minW=6\n#</t>
  </si>
  <si>
    <t>16.610649447888136</t>
  </si>
  <si>
    <t># step=0 row=0 minW=91 found cw of W=18: [1 2 5 7 8 19 22 25 37 44 52 53 61 70 72 82 83 90]\n# step=0 row=2 minW=18 found cw of W=16: [3 5 6 13 22 34 41 47 51 52 60 71 75 86 87 90]\n# step=0 row=10 minW=16 found cw of W=14: [5 7 20 22 25 42 44 47 53 60 70</t>
  </si>
  <si>
    <t>22.04641511850059</t>
  </si>
  <si>
    <t># step=0 row=1 minW=109 found cw of W=18: [3 9 16 18 19 25 26 34 43 53 57 66 68 74 75 95 98 99]\n# step=0 row=5 minW=18 found cw of W=16: [9 11 26 31 43 53 63 64 69 70 78 87 93 96 99 102]\n# step=0 row=8 minW=16 found cw of W=14: [2 17 19 26 32 34 43 49 6</t>
  </si>
  <si>
    <t>43.55013742484152</t>
  </si>
  <si>
    <t># step=0 row=0 minW=145 found cw of W=38: [2 4 11 12 18 24 29 32 36 37 39 40 49 57 60 62 63 65 67 69 79 80 87 94 95 98 105 107 112 116 119 122 128 129 133 134 138 140]\n# step=0 row=2 minW=38 found cw of W=34: [1 5 10 12 24 31 32 36 39 40 49 52 54 61 62 6</t>
  </si>
  <si>
    <t>157.07052013464272</t>
  </si>
  <si>
    <t># step=0 row=0 minW=289 found cw of W=54: [1 9 19 43 47 50 53 55 60 71 75 79 80 88 97 99 102 104 105 107 110 119 129 134 141 145 156 165 166 170 174 195 208 209 211 212 213 216 219 221 224 225 230 239 242 248 263 269 271 272 277 280 281 288]\n# step=0 row</t>
  </si>
  <si>
    <t>235.5084913894534</t>
  </si>
  <si>
    <t># step=0 row=1 minW=361 found cw of W=64: [3 4 5 12 22 39 45 52 57 62 66 75 82 88 89 127 128 132 134 138 153 157 171 172 182 185 188 189 205 206 211 216 220 222 226 227 232 234 237 238 242 243 248 249 254 286 287 295 300 307 310 312 316 321 322 325 327 32</t>
  </si>
  <si>
    <t>1088.9989196360111</t>
  </si>
  <si>
    <t># step=0 row=0 minW=757 found cw of W=164: [1 5 8 20 32 37 38 40 46 47 49 52 64 68 82 101 104 108 112 116 117 118 119 124 130 132 137 141 144 146 148 149 150 159 162 168 169 176 180 184 186 187 197 200 205 208 211 219 226 245 246 248 252 255 263 266 270 2</t>
  </si>
  <si>
    <t>61.499489011242986</t>
  </si>
  <si>
    <t># step=0 row=0 minW=217 found cw of W=22: [5 13 23 37 41 47 49 61 63 73 75 99 103 109 117 129 137 151 159 161 199 209]\n# step=0 row=1 minW=22 found cw of W=18: [2 4 6 40 42 44 50 52 64 70 92 94 110 116 130 176 200 202]\n# step=0 row=4 minW=18 found cw of</t>
  </si>
  <si>
    <t>581.7556315166876</t>
  </si>
  <si>
    <t xml:space="preserve"># step=0 row=0 minW=577 found cw of W=132: [2 4 5 6 9 14 15 20 22 28 42 48 49 51 69 72 80 81 82 85 87 88 92 95 104 107 116 117 118 122 123 126 127 130 136 137 142 147 155 157 158 160 162 164 166 167 168 173 178 181 182 185 186 193 197 199 200 201 205 208 </t>
  </si>
  <si>
    <t>1315.6184048503637</t>
  </si>
  <si>
    <t xml:space="preserve"># step=0 row=0 minW=865 found cw of W=180: [1 3 11 18 23 36 39 46 54 55 56 64 70 73 77 81 82 85 88 91 92 93 94 102 115 117 119 120 125 126 127 131 138 148 152 156 162 164 177 182 188 201 202 203 213 214 219 229 236 238 241 257 262 265 267 276 277 288 292 </t>
  </si>
  <si>
    <t>713.6590331392363</t>
  </si>
  <si>
    <t xml:space="preserve"># step=0 row=0 minW=649 found cw of W=146: [2 7 13 15 16 22 25 27 32 35 36 42 45 53 56 57 59 61 67 70 72 80 87 90 92 97 98 104 105 113 116 128 129 131 134 140 141 142 143 178 189 192 193 201 208 212 217 218 228 233 235 238 239 240 241 244 245 249 252 253 </t>
  </si>
  <si>
    <t>2067.411120590754</t>
  </si>
  <si>
    <t># step=0 row=0 minW=1081 found cw of W=208: [1 2 8 12 21 25 26 33 42 43 46 53 81 85 89 90 93 94 97 98 99 105 116 122 126 129 145 150 154 157 162 163 164 170 177 180 185 186 187 188 191 213 218 220 243 252 257 273 275 278 279 287 289 291 292 293 294 299 30</t>
  </si>
  <si>
    <t>3006.4356804965064</t>
  </si>
  <si>
    <t xml:space="preserve"># step=0 row=0 minW=1297 found cw of W=248: [1 13 15 16 21 22 23 32 39 42 44 47 50 54 57 58 59 63 72 86 91 92 94 95 99 100 106 108 112 117 124 126 128 131 138 143 151 157 165 169 173 175 176 194 195 203 208 210 211 213 215 218 222 231 236 238 241 246 255 </t>
  </si>
  <si>
    <t># step=0 row=0 minW=1153 found cw of W=270: [1 4 5 8 12 17 20 21 28 31 33 42 43 53 54 58 63 89 93 97 106 118 120 121 123 126 127 128 130 131 152 153 154 160 162 166 167 170 175 178 181 187 196 197 203 204 205 207 209 212 222 224 234 245 253 270 286 288 28</t>
  </si>
  <si>
    <t>5591.228935102932</t>
  </si>
  <si>
    <t># step=0 row=0 minW=1729 found cw of W=326: [1 3 6 25 29 38 44 48 51 54 61 64 66 68 70 79 85 86 87 89 96 108 127 130 132 143 145 154 169 173 181 184 200 204 214 221 222 223 224 225 228 236 238 274 275 287 302 330 331 333 350 354 356 359 360 362 363 371 37</t>
  </si>
  <si>
    <t># step=0 row=0 minW=2017 found cw of W=186: [1 8 14 16 22 32 33 34 36 92 95 96 99 119 120 175 182 184 185 187 190 192 207 256 261 263 276 277 291 293 339 344 347 363 366 368 375 427 430 435 436 444 448 451 458 505 509 510 513 515 530 534 535 545 546 594 5</t>
  </si>
  <si>
    <t xml:space="preserve"># step=0 row=0 minW=2161 found cw of W=454: [1 2 7 8 13 16 20 22 23 29 31 35 37 43 53 61 65 69 70 71 73 75 81 89 90 92 109 128 131 135 140 147 152 166 174 178 179 180 181 196 201 203 205 206 207 213 214 218 227 236 241 248 251 255 259 268 270 273 280 281 </t>
  </si>
  <si>
    <t>7872.0688216732815</t>
  </si>
  <si>
    <t># step=0 row=0 minW=2521 found cw of W=284: [1 2 4 5 11 12 20 21 29 35 36 41 88 105 111 187 188 191 194 198 199 200 254 262 263 268 269 274 276 281 284 286 340 341 349 355 358 372 378 434 437 445 446 449 451 454 458 507 512 522 524 532 534 537 538 590 601</t>
  </si>
  <si>
    <t>8298.210773884319</t>
  </si>
  <si>
    <t xml:space="preserve"># step=0 row=0 minW=2593 found cw of W=234: [2 9 23 35 76 77 80 84 88 92 95 98 100 108 145 147 155 157 169 179 224 226 232 234 247 289 296 301 302 304 310 317 361 362 363 365 370 371 373 380 381 383 385 386 387 391 393 396 444 454 456 460 508 513 515 516 </t>
  </si>
  <si>
    <t>dMinSum</t>
  </si>
  <si>
    <t>Avg Delta d</t>
  </si>
  <si>
    <t>Exact - Processing Time/Succ Trial</t>
  </si>
  <si>
    <t>Heuristic - Processing Time/Succ Trial</t>
  </si>
  <si>
    <t>Heuristic - Success Rate per Trial</t>
  </si>
  <si>
    <t>Heuristic - Average Delta d</t>
  </si>
  <si>
    <t>Processing Time/Successful Trial</t>
  </si>
  <si>
    <t>GF4blockRep: 2</t>
  </si>
  <si>
    <t>sMut: 0.2</t>
  </si>
  <si>
    <t>tabuLength: 0</t>
  </si>
  <si>
    <t>swapPivot: 1</t>
  </si>
  <si>
    <t>swapBlockorder: 0</t>
  </si>
  <si>
    <t>pMut: 6.0</t>
  </si>
  <si>
    <t>outfile: /home/ucapmwe/dist-benchmark/results/bivariate_bicycle-QDistRndMW-20260215_181908.077468_85062422.txt</t>
  </si>
  <si>
    <t>Trial:0 w:6; pErr:0.0000, weight 6 CW found:1034, wDict:6:9477,8:520,10:3</t>
  </si>
  <si>
    <t>Trial:0 w:10; pErr:0.0423, weight 10 CW found:7469, wDict:10:7065,12:2833,14:101,16:1</t>
  </si>
  <si>
    <t>Trial:0 w:10; pErr:0.0865, weight 10 CW found:8520, wDict:10:1451,12:6471,14:1859,16:213,18:6</t>
  </si>
  <si>
    <t>Trial:0 w:12; pErr:0.1586, weight 12 CW found:10193, wDict:12:5708,14:3096,16:992,18:184,20:20</t>
  </si>
  <si>
    <t>Trial:0 w:18; pErr:0.3677, weight 18 CW found:13765, wDict:18:65,20:37,22:287,24:599,26:1095,28:1497,30:1759,32:1649,34:1355,36:895,38:449,40:210,42:64,44:31,46:6,48:1,50:1</t>
  </si>
  <si>
    <t>Trial:0 w:36; Trial:6 w:28; Trial:34 w:26; Trial:184 w:24; pErr:0.3679, weight 24 CW found:13109, wDict:24:29,26:113,28:288,30:482,32:791,34:1077,36:1239,38:1236,40:1218,42:1078,44:933,46:654,48:433,50:244,52:104,54:57,56:17,58:7</t>
  </si>
  <si>
    <t>Trial:0 w:104; Trial:3 w:102; Trial:4 w:100; Trial:5 w:66; Trial:47 w:52; Trial:848 w:50; Trial:1424 w:48; Trial:4546 w:40; pErr:0.3679, weight 40 CW found:6950, wDict:40:1,46:2,48:3,50:5,52:6,54:5,56:12,58:17,60:17,62:29,64:18,66:36,68:39,70:61,72:57,74:106,76:92,78:135,80:148,82:198,84:246,86:262,88:316,90:408,92:478,94:572,96:589,98:684,100:742,102:759,104:773,106:705,108:652,110:520,112:440,114:355,116:236,118:128,120:91,122:32,124:11,126:9,128:2,130:3</t>
  </si>
  <si>
    <t>Trial:0 w:12; Trial:2 w:10; pErr:0.0311, weight 10 CW found:5683, wDict:10:5987,12:3263,14:717,16:32,18:1</t>
  </si>
  <si>
    <t>Trial:0 w:78; Trial:1 w:58; Trial:2 w:52; Trial:4 w:44; Trial:9 w:40; Trial:20 w:36; Trial:93 w:34; Trial:104 w:32; Trial:107 w:30; Trial:278 w:28; Trial:1052 w:26; Trial:1540 w:24; pErr:0.3679, weight 24 CW found:10307, wDict:24:5,26:7,28:18,30:42,32:65,34:112,36:143,38:212,40:232,42:258,44:297,46:324,48:350,50:349,52:334,54:305,56:304,58:331,60:328,62:331,64:348,66:335,68:342,70:363,72:397,74:431,76:418,78:523,80:512,82:447,84:423,86:383,88:278,90:208,92:124,94:72,96:30,98:12,100:6,102:1</t>
  </si>
  <si>
    <t>Trial:0 w:130; Trial:2 w:126; Trial:4 w:110; Trial:82 w:106; Trial:92 w:96; Trial:143 w:94; Trial:368 w:92; Trial:1188 w:80; Trial:3294 w:76; pErr:0.3679, weight 76 CW found:8541, wDict:76:1,80:3,86:2,88:6,90:6,92:11,94:8,96:19,98:19,100:20,102:25,104:46,106:57,108:84,110:83,112:145,114:172,116:239,118:289,120:346,122:478,124:532,126:673,128:734,130:836,132:819,134:880,136:749,138:737,140:666,142:455,144:353,146:230,148:145,150:71,152:38,154:11,156:9,158:3</t>
  </si>
  <si>
    <t>Trial:0 w:102; Trial:1 w:100; Trial:4 w:98; Trial:5 w:96; Trial:6 w:94; Trial:7 w:92; Trial:10 w:90; Trial:14 w:80; Trial:22 w:74; Trial:53 w:70; Trial:101 w:68; Trial:182 w:56; Trial:306 w:44; Trial:471 w:38; pErr:0.3679, weight 38 CW found:12409, wDict:38:2,40:2,42:3,44:6,46:8,48:11,50:7,52:9,54:15,56:14,58:31,60:29,62:25,64:43,66:55,68:58,70:80,72:102,74:138,76:137,78:197,80:253,82:269,84:374,86:455,88:631,90:698,92:799,94:857,96:907,98:857,100:809,102:742,104:533,106:366,108:257,110:109,112:67,114:33,116:10,118:2</t>
  </si>
  <si>
    <t>Trial:0 w:178; Trial:1 w:176; Trial:2 w:172; Trial:3 w:164; Trial:6 w:158; Trial:8 w:154; Trial:13 w:150; Trial:22 w:128; Trial:248 w:124; Trial:310 w:114; Trial:471 w:112; Trial:553 w:110; Trial:611 w:100; Trial:816 w:94; Trial:827 w:82; pErr:0.3679, weight 82 CW found:11751, wDict:82:1,92:3,94:2,96:1,98:1,100:5,102:1,104:4,106:2,108:4,110:4,112:11,114:12,116:3,118:14,120:13,122:10,124:16,126:20,128:26,130:26,132:36,134:36,136:36,138:49,140:56,142:64,144:99,146:117,148:166,150:183,152:209,154:262,156:335,158:381,160:448,162:539,164:603,166:591,168:705,170:721,172:744,174:710,176:674,178:568,180:431,182:372,184:271,186:184,188:108,190:63,192:28,194:22,196:5,198:5</t>
  </si>
  <si>
    <t>Trial:0 w:200; Trial:1 w:190; Trial:2 w:172; Trial:49 w:132; Trial:4247 w:110; pErr:0.3679, weight 110 CW found:7290, wDict:110:1,132:1,136:1,138:1,140:2,144:1,146:1,148:1,150:3,152:9,154:9,156:4,158:10,160:6,162:14,164:12,166:29,168:19,170:18,172:34,174:43,176:53,178:73,180:84,182:106,184:118,186:171,188:175,190:218,192:286,194:331,196:400,198:446,200:511,202:574,204:601,206:663,208:706,210:682,212:680,214:636,216:548,218:440,220:389,222:308,224:218,226:148,228:100,230:58,232:24,234:22,236:9,238:3</t>
  </si>
  <si>
    <t>Trial:0 w:198; Trial:1 w:152; Trial:103 w:90; Trial:5066 w:88; Trial:7033 w:78; pErr:0.3679, weight 78 CW found:3802, wDict:78:1,82:2,84:1,88:1,90:1,94:2,96:4,98:3,100:2,106:1,108:1,110:4,112:1,114:5,116:3,118:1,120:4,122:1,124:6,126:6,128:3,130:2,132:3,134:7,136:14,138:6,140:12,142:12,144:18,146:16,148:27,150:33,152:44,154:75,156:80,158:99,160:126,162:160,164:210,166:259,168:311,170:377,172:471,174:500,176:630,178:619,180:666,182:698,184:794,186:701,188:629,190:562,192:480,194:421,196:298,198:243,200:153,202:94,204:46,206:26,208:9,210:12,212:3,216:1</t>
  </si>
  <si>
    <t>Trial:0 w:288; Trial:2 w:284; Trial:4 w:270; Trial:17 w:268; Trial:20 w:242; Trial:93 w:214; Trial:938 w:192; Trial:3045 w:160; pErr:0.3679, weight 160 CW found:8658, wDict:160:1,192:1,204:1,206:1,214:4,216:2,218:2,220:1,222:1,224:3,226:1,228:5,230:4,232:3,234:9,236:12,238:11,240:16,242:25,244:34,246:24,248:31,250:40,252:54,254:81,256:82,258:100,260:129,262:148,264:206,266:218,268:234,270:298,272:338,274:380,276:444,278:491,280:528,282:535,284:595,286:649,288:609,290:611,292:570,294:510,296:471,298:368,300:317,302:222,304:189,306:151,308:91,310:70,312:41,314:19,316:6,318:11,320:2</t>
  </si>
  <si>
    <t>Trial:0 w:160; Trial:1 w:144; Trial:2 w:130; Trial:5 w:94; Trial:276 w:84; Trial:458 w:78; Trial:1400 w:76; Trial:5548 w:72; pErr:0.3679, weight 72 CW found:5566, wDict:72:1,76:3,78:3,82:5,84:10,86:6,88:4,90:12,92:21,94:16,96:27,98:23,100:31,102:43,104:40,106:62,108:69,110:75,112:93,114:103,116:113,118:135,120:162,122:153,124:186,126:226,128:268,130:286,132:360,134:405,136:417,138:495,140:513,142:584,144:635,146:618,148:609,150:597,152:589,154:510,156:439,158:352,160:250,162:192,164:125,166:79,168:28,170:17,172:6,174:3,176:1</t>
  </si>
  <si>
    <t>Trial:0 w:362; Trial:1 w:348; Trial:6 w:320; Trial:56 w:264; Trial:612 w:262; Trial:1405 w:236; Trial:1642 w:200; Trial:4878 w:164; pErr:0.3679, weight 164 CW found:6339, wDict:164:1,200:1,212:1,218:1,236:1,240:1,248:1,256:1,260:2,262:2,264:2,268:2,272:2,274:2,276:1,278:4,280:1,282:3,284:3,286:3,288:5,290:6,292:7,294:8,296:13,298:11,300:14,302:6,304:21,306:24,308:24,310:27,312:37,314:47,316:43,318:42,320:61,322:60,324:63,326:82,328:106,330:126,332:137,334:167,336:186,338:222,340:290,342:256,344:350,346:387,348:376,350:432,352:458,354:461,356:508,358:519,360:503,362:495,364:467,366:461,368:405,370:386,372:338,374:286,376:255,378:223,380:164,382:121,384:85,386:56,388:59,390:35,392:17,394:14,396:8,398:3,400:1,402:1</t>
  </si>
  <si>
    <t>Trial:0 w:190; Trial:1 w:174; Trial:3 w:104; Trial:20 w:98; Trial:37 w:96; Trial:363 w:86; Trial:583 w:78; Trial:4703 w:76; Trial:8268 w:74; Trial:8845 w:68; pErr:0.3679, weight 68 CW found:1408, wDict:68:1,74:1,76:2,78:4,80:2,82:9,84:5,86:16,88:11,90:17,92:22,94:30,96:41,98:51,100:51,102:49,104:72,106:74,108:90,110:82,112:94,114:104,116:102,118:123,120:126,122:107,124:126,126:109,128:130,130:122,132:142,134:128,136:136,138:162,140:125,142:136,144:146,146:134,148:156,150:152,152:170,154:158,156:154,158:166,160:200,162:217,164:215,166:209,168:246,170:262,172:262,174:295,176:301,178:317,180:354,182:325,184:358,186:343,188:370,190:322,192:306,194:270,196:213,198:217,200:180,202:143,204:85,206:61,208:42,210:22,212:16,214:3,216:3,218:3,220:1,222:1</t>
  </si>
  <si>
    <t>Trial:0 w:138; Trial:64 w:136; Trial:122 w:134; Trial:123 w:108; Trial:652 w:104; Trial:949 w:92; Trial:1732 w:70; Trial:2444 w:60; pErr:0.3679, weight 60 CW found:9513, wDict:60:2,68:1,70:1,72:1,74:1,78:2,82:3,84:1,86:1,88:1,90:3,92:2,94:2,98:3,100:5,102:4,104:4,106:4,108:6,110:7,112:5,114:5,116:5,118:6,120:10,122:9,124:6,126:9,128:17,130:10,132:12,134:12,136:36,138:29,140:23,142:27,144:13,146:20,148:27,150:33,152:33,154:40,156:33,158:55,160:59,162:74,164:74,166:71,168:99,170:114,172:152,174:170,176:183,178:239,180:276,182:294,184:355,186:381,188:444,190:465,192:554,194:561,196:588,198:632,200:644,202:575,204:565,206:505,208:374,210:367,212:236,214:173,216:103,218:63,220:44,222:25,224:7,226:3,228:1,230:1</t>
  </si>
  <si>
    <t>Trial:0 w:482; Trial:1 w:472; Trial:3 w:198; Trial:1411 w:194; Trial:3134 w:192; Trial:5540 w:190; Trial:6590 w:170; pErr:0.3679, weight 170 CW found:4023, wDict:170:1,188:1,190:1,192:2,194:4,196:3,198:4,200:1,202:1,204:4,206:3,210:4,212:3,214:5,216:5,218:8,220:3,222:7,224:6,226:7,228:9,230:14,232:8,234:10,236:1,238:6,240:11,242:8,244:8,246:15,248:8,250:7,252:7,254:10,256:11,258:8,260:18,262:13,264:8,266:15,268:10,270:9,272:9,274:7,276:13,278:18,280:11,282:10,284:7,286:17,288:9,290:20,292:10,294:21,296:19,298:15,300:17,302:9,304:15,306:10,308:20,310:8,312:16,314:19,316:20,318:14,320:12,322:11,324:10,326:13,328:13,330:14,332:17,334:15,336:22,338:15,340:15,342:17,344:15,346:15,348:17,350:15,352:16,354:18,356:17,358:11,360:13,362:13,364:13,366:28,368:16,370:17,372:15,374:10,376:15,378:12,380:19,382:26,384:20,386:21,388:16,390:15,392:26,394:20,396:21,398:21,400:21,402:16,404:30,406:21,408:18,410:19,412:21,414:32,416:35,418:37,420:24,422:31,424:35,426:36,428:40,430:34,432:35,434:34,436:57,438:38,440:42,442:50,444:64,446:52,448:63,450:66,452:72,454:57,456:83,458:76,460:84,462:86,464:100,466:96,468:109,470:119,472:115,474:100,476:151,478:148,480:161,482:165,484:188,486:177,488:193,490:214,492:220,494:210,496:258,498:245,500:273,502:261,504:288,506:255,508:273,510:239,512:256,514:246,516:234,518:224,520:238,522:226,524:213,526:163,528:162,530:152,532:132,534:100,536:90,538:69,540:49,542:54,544:41,546:23,548:24,550:22,552:9,554:10,556:9,558:4,560:1,562:2,564:3,566:1</t>
  </si>
  <si>
    <t>LOCheck: 0</t>
  </si>
  <si>
    <t>pMutScale: 50</t>
  </si>
  <si>
    <t>outfile: /home/ucapmwe/dist-benchmark/results/bivariate_bicycle-QDistEvol-20260220_184925.066947_85062422.txt</t>
  </si>
  <si>
    <t>Gen:0 Trial:0 w:6; pErr:0.0000, weight 6 CW found:132, wDict:6:9992,8:8</t>
  </si>
  <si>
    <t>Gen:0 Trial:0 w:10; pErr:0.0000, weight 10 CW found:669, wDict:10:9953,12:46,14:1</t>
  </si>
  <si>
    <t>Gen:0 Trial:0 w:12; Trial:3 w:10; pErr:0.0000, weight 10 CW found:1169, wDict:10:7766,12:2183,14:50,16:1</t>
  </si>
  <si>
    <t>Gen:0 Trial:0 w:16; Trial:2 w:12; pErr:0.0000, weight 12 CW found:1387, wDict:12:9818,14:165,16:16,20:1</t>
  </si>
  <si>
    <t>Gen:0 Trial:0 w:26; Trial:1 w:22; Trial:27 w:20; Gen:1 Trial:175 w:18; pErr:0.0226, weight 18 CW found:3756, wDict:18:5741,20:389,22:1101,24:953,26:757,28:562,30:258,32:141,34:64,36:20,38:10,40:4</t>
  </si>
  <si>
    <t>Gen:0 Trial:0 w:34; Trial:14 w:32; Trial:21 w:30; Trial:37 w:28; Gen:1 Trial:101 w:26; Gen:2 Trial:244 w:24; pErr:0.1104, weight 24 CW found:6655, wDict:24:4153,26:1390,28:1501,30:1164,32:804,34:441,36:235,38:117,40:77,42:50,44:30,46:13,48:16,50:5,52:2,54:1,60:1</t>
  </si>
  <si>
    <t>Gen:0 Trial:0 w:92; Trial:1 w:72; Trial:17 w:60; Gen:2 Trial:238 w:58; Gen:4 Trial:406 w:56; Gen:5 Trial:506 w:54; Trial:521 w:52; Gen:6 Trial:605 w:50; Gen:7 Trial:708 w:48; Trial:769 w:46; Gen:9 Trial:908 w:42; Gen:12 Trial:1280 w:40; Gen:13 Trial:1305 w:38; Gen:18 Trial:1876 w:36; pErr:0.2426, weight 36 CW found:6834, wDict:36:1977,38:481,40:456,42:256,44:220,46:162,48:125,50:168,52:133,54:124,56:112,58:168,60:189,62:225,64:252,66:266,68:288,70:329,72:344,74:355,76:357,78:389,80:372,82:354,84:296,86:267,88:241,90:214,92:181,94:157,96:122,98:94,100:73,102:60,104:50,106:51,108:37,110:17,112:21,114:9,116:5,118:3</t>
  </si>
  <si>
    <t>Gen:0 Trial:0 w:10; pErr:0.0000, weight 10 CW found:853, wDict:10:9562,12:428,14:10</t>
  </si>
  <si>
    <t>Gen:0 Trial:0 w:48; Trial:5 w:36; Trial:66 w:34; Gen:1 Trial:189 w:32; Gen:2 Trial:204 w:30; Trial:227 w:26; Gen:5 Trial:532 w:24; pErr:0.0729, weight 24 CW found:4469, wDict:24:4195,26:704,28:1044,30:799,32:661,34:472,36:343,38:255,40:211,42:159,44:132,46:118,48:88,50:62,52:57,54:47,56:60,58:40,60:62,62:40,64:34,66:44,68:56,70:29,72:40,74:33,76:37,78:40,80:33,82:30,84:24,86:14,88:16,90:11,92:6,94:3,96:1</t>
  </si>
  <si>
    <t>Gen:0 Trial:0 w:84; Gen:1 Trial:100 w:78; Gen:2 Trial:214 w:74; Gen:4 Trial:433 w:72; Trial:437 w:64; Gen:6 Trial:616 w:62; Gen:9 Trial:903 w:58; Gen:14 Trial:1435 w:56; Gen:15 Trial:1506 w:52; Gen:17 Trial:1718 w:50; Gen:19 Trial:1917 w:48; Gen:22 Trial:2208 w:46; Gen:24 Trial:2420 w:44; Gen:29 Trial:2920 w:42; Gen:54 Trial:5466 w:40; pErr:0.2566, weight 40 CW found:4111, wDict:40:923,42:749,44:490,46:384,48:301,50:220,52:170,54:138,56:135,58:99,60:107,62:117,64:82,66:108,68:66,70:65,72:50,74:64,76:66,78:63,80:61,82:52,84:49,86:58,88:60,90:73,92:66,94:80,96:80,98:120,100:150,102:127,104:205,106:238,108:242,110:270,112:303,114:332,116:343,118:312,120:325,122:328,124:322,126:306,128:238,130:219,132:188,134:134,136:99,138:80,140:49,142:42,144:25,146:10,148:8,150:5,152:3,154:1</t>
  </si>
  <si>
    <t>Gen:0 Trial:0 w:96; Trial:2 w:80; Trial:18 w:76; Trial:48 w:66; Gen:1 Trial:137 w:64; Trial:144 w:56; Gen:3 Trial:300 w:54; Trial:384 w:40; Gen:10 Trial:1012 w:38; Trial:1091 w:36; Gen:13 Trial:1358 w:34; Gen:21 Trial:2101 w:32; pErr:0.2118, weight 32 CW found:5941, wDict:32:2294,34:493,36:611,38:302,40:291,42:218,44:201,46:160,48:145,50:158,52:133,54:152,56:139,58:136,60:125,62:191,64:185,66:217,68:203,70:221,72:268,74:283,76:304,78:322,80:339,82:296,84:289,86:249,88:259,90:186,92:160,94:125,96:107,98:81,100:50,102:42,104:33,106:15,108:10,110:5,112:1,114:1</t>
  </si>
  <si>
    <t>Gen:0 Trial:0 w:176; Trial:1 w:174; Trial:2 w:170; Trial:5 w:158; Trial:18 w:140; Trial:44 w:136; Trial:63 w:124; Gen:1 Trial:142 w:108; Gen:3 Trial:304 w:106; Trial:315 w:98; Trial:320 w:94; Trial:380 w:86; Gen:7 Trial:737 w:78; Gen:10 Trial:1001 w:72; Gen:20 Trial:2005 w:70; Gen:26 Trial:2608 w:68; Gen:31 Trial:3110 w:66; Gen:33 Trial:3393 w:64; Gen:45 Trial:4546 w:62; Gen:46 Trial:4662 w:60; Gen:68 Trial:6807 w:58; pErr:0.3217, weight 58 CW found:3489, wDict:58:219,60:213,62:242,64:232,66:181,68:173,70:135,72:153,74:128,76:126,78:108,80:109,82:111,84:91,86:106,88:93,90:94,92:84,94:95,96:100,98:98,100:112,102:124,104:113,106:118,108:136,110:107,112:130,114:127,116:133,118:115,120:107,122:120,124:135,126:120,128:114,130:132,132:113,134:95,136:119,138:145,140:149,142:142,144:154,146:200,148:203,150:195,152:253,154:261,156:259,158:301,160:294,162:312,164:326,166:288,168:295,170:256,172:223,174:192,176:152,178:88,180:67,182:44,184:21,186:8,188:6,190:3,192:2</t>
  </si>
  <si>
    <t>Gen:0 Trial:0 w:228; Trial:1 w:210; Trial:3 w:208; Trial:5 w:202; Trial:8 w:200; Trial:17 w:194; Trial:34 w:186; Trial:75 w:184; Trial:88 w:168; Gen:1 Trial:104 w:162; Trial:137 w:150; Gen:3 Trial:311 w:146; Trial:329 w:128; Gen:7 Trial:764 w:126; Gen:9 Trial:901 w:124; Trial:981 w:122; Gen:10 Trial:1051 w:118; Gen:12 Trial:1213 w:116; Gen:13 Trial:1332 w:104; Gen:16 Trial:1699 w:102; Gen:18 Trial:1807 w:98; Gen:19 Trial:1909 w:92; Gen:29 Trial:2923 w:86; Gen:38 Trial:3835 w:84; Gen:39 Trial:3908 w:80; Gen:47 Trial:4700 w:74; Trial:4762 w:72; Gen:48 Trial:4872 w:68; Gen:53 Trial:5303 w:66; Gen:54 Trial:5414 w:60; Gen:56 Trial:5626 w:58; Gen:58 Trial:5885 w:56; Gen:61 Trial:6137 w:54; pErr:0.3118, weight 54 CW found:4148, wDict:54:347,56:67,58:242,60:86,62:123,64:66,66:61,68:47,70:28,72:48,74:39,76:40,78:34,80:36,82:16,84:28,86:39,88:32,90:42,92:42,94:36,96:28,98:24,100:29,102:30,104:39,106:43,108:45,110:50,112:63,114:57,116:77,118:57,120:64,122:67,124:83,126:70,128:82,130:68,132:90,134:70,136:76,138:100,140:99,142:109,144:85,146:105,148:87,150:95,152:92,154:104,156:99,158:97,160:104,162:105,164:137,166:120,168:134,170:139,172:165,174:190,176:166,178:189,180:218,182:212,184:218,186:274,188:278,190:272,192:291,194:289,196:318,198:320,200:316,202:284,204:272,206:254,208:246,210:181,212:140,214:108,216:90,218:65,220:51,222:31,224:20,226:3,228:9,230:4,232:1,234:2,236:1</t>
  </si>
  <si>
    <t>Gen:0 Trial:0 w:180; Trial:9 w:176; Trial:12 w:166; Trial:26 w:160; Trial:41 w:158; Trial:63 w:114; Gen:2 Trial:239 w:84; Trial:259 w:82; Gen:4 Trial:499 w:76; Gen:13 Trial:1311 w:74; Gen:15 Trial:1507 w:72; Gen:16 Trial:1671 w:66; Gen:23 Trial:2303 w:62; Gen:28 Trial:2800 w:58; Gen:34 Trial:3401 w:54; Trial:3443 w:50; Gen:36 Trial:3638 w:48; Gen:41 Trial:4111 w:46; Gen:43 Trial:4328 w:40; pErr:0.2839, weight 40 CW found:5276, wDict:40:968,42:134,44:247,46:125,48:173,50:131,52:125,54:98,56:60,58:46,60:41,62:53,64:67,66:78,68:52,70:57,72:63,74:53,76:58,78:54,80:39,82:48,84:32,86:33,88:31,90:32,92:32,94:29,96:39,98:22,100:21,102:21,104:19,106:9,108:15,110:9,112:17,114:13,116:15,118:10,120:13,122:18,124:20,126:20,128:16,130:28,132:36,134:30,136:48,138:40,140:61,142:72,144:78,146:95,148:129,150:150,152:171,154:233,156:227,158:257,160:300,162:343,164:368,166:375,168:438,170:434,172:420,174:385,176:361,178:325,180:310,182:261,184:209,186:167,188:135,190:90,192:70,194:48,196:23,198:10,200:13,202:2,204:1,206:1</t>
  </si>
  <si>
    <t>Gen:0 Trial:0 w:300; Trial:1 w:276; Trial:13 w:196; Gen:3 Trial:323 w:194; Gen:4 Trial:472 w:166; Gen:6 Trial:647 w:152; Gen:7 Trial:703 w:142; Gen:8 Trial:800 w:136; Trial:813 w:130; Gen:9 Trial:952 w:128; Trial:995 w:124; Gen:10 Trial:1003 w:122; Gen:11 Trial:1100 w:114; Gen:15 Trial:1554 w:102; Gen:34 Trial:3456 w:100; Gen:35 Trial:3506 w:96; Gen:38 Trial:3817 w:94; Trial:3829 w:92; Gen:41 Trial:4116 w:90; Gen:45 Trial:4527 w:82; Gen:75 Trial:7504 w:78; Gen:92 Trial:9212 w:76; Gen:93 Trial:9306 w:74; pErr:0.3541, weight 74 CW found:840, wDict:74:5,76:28,78:46,80:39,82:49,84:54,86:55,88:98,90:94,92:100,94:107,96:101,98:93,100:93,102:83,104:52,106:63,108:66,110:60,112:58,114:49,116:45,118:53,120:47,122:52,124:32,126:46,128:50,130:39,132:41,134:45,136:48,138:46,140:52,142:54,144:46,146:50,148:56,150:47,152:54,154:62,156:56,158:61,160:62,162:59,164:64,166:62,168:67,170:54,172:55,174:54,176:67,178:64,180:52,182:43,184:37,186:39,188:37,190:33,192:33,194:39,196:38,198:42,200:32,202:21,204:30,206:31,208:42,210:46,212:39,214:41,216:39,218:30,220:46,222:52,224:43,226:77,228:66,230:78,232:79,234:71,236:90,238:87,240:116,242:114,244:106,246:168,248:173,250:157,252:196,254:190,256:251,258:255,260:264,262:267,264:287,266:255,268:290,270:271,272:278,274:260,276:239,278:231,280:198,282:175,284:164,286:138,288:93,290:93,292:72,294:50,296:34,298:33,300:26,302:12,304:9,306:6,308:7,310:2,312:3,316:1</t>
  </si>
  <si>
    <t>Gen:0 Trial:0 w:152; Trial:1 w:96; Gen:1 Trial:116 w:94; Trial:130 w:92; Trial:132 w:82; Gen:2 Trial:224 w:80; Gen:3 Trial:368 w:78; Gen:4 Trial:409 w:76; Gen:5 Trial:568 w:74; Gen:8 Trial:810 w:72; Trial:847 w:64; Gen:10 Trial:1001 w:62; Gen:11 Trial:1102 w:60; Gen:18 Trial:1813 w:58; Gen:26 Trial:2661 w:56; Gen:30 Trial:3062 w:54; pErr:0.3222, weight 54 CW found:7454, wDict:54:1,56:35,58:635,60:426,62:282,64:223,66:138,68:97,70:84,72:54,74:71,76:69,78:66,80:64,82:59,84:59,86:62,88:53,90:54,92:67,94:68,96:68,98:82,100:77,102:83,104:96,106:109,108:117,110:121,112:149,114:142,116:154,118:200,120:197,122:240,124:230,126:293,128:301,130:333,132:326,134:383,136:383,138:412,140:413,142:411,144:370,146:339,148:291,150:288,152:220,154:183,156:124,158:78,160:44,162:41,164:16,166:11,168:5,170:1,172:2</t>
  </si>
  <si>
    <t>Gen:0 Trial:0 w:326; Trial:27 w:324; Trial:53 w:266; Gen:1 Trial:185 w:262; Gen:3 Trial:349 w:188; Gen:8 Trial:873 w:182; Gen:9 Trial:909 w:160; Trial:917 w:148; Trial:996 w:142; Gen:12 Trial:1292 w:140; Gen:13 Trial:1327 w:134; Gen:14 Trial:1421 w:132; Trial:1426 w:124; Gen:15 Trial:1502 w:120; Trial:1517 w:106; Gen:18 Trial:1823 w:100; Gen:19 Trial:1900 w:88; Gen:28 Trial:2804 w:86; Gen:35 Trial:3505 w:84; Trial:3509 w:82; Gen:37 Trial:3706 w:80; Gen:39 Trial:3958 w:78; Gen:40 Trial:4003 w:76; Gen:41 Trial:4131 w:74; Gen:42 Trial:4203 w:72; Gen:51 Trial:5163 w:68; Gen:54 Trial:5402 w:66; Gen:88 Trial:8819 w:64; pErr:0.3524, weight 64 CW found:1371, wDict:64:2,66:26,68:58,70:55,72:75,74:97,76:104,78:115,80:98,82:94,84:99,86:89,88:83,90:88,92:75,94:79,96:65,98:70,100:73,102:54,104:45,106:36,108:46,110:38,112:30,114:30,116:20,118:22,120:21,122:23,124:29,126:21,128:25,130:18,132:19,134:12,136:13,138:16,140:14,142:10,144:17,146:13,148:15,150:23,152:6,154:6,156:14,158:18,160:11,162:10,164:15,166:14,168:15,170:12,172:11,174:17,176:20,178:15,180:11,182:15,184:18,186:21,188:23,190:11,192:20,194:19,196:21,198:10,200:14,202:21,204:23,206:18,208:24,210:18,212:15,214:14,216:16,218:15,220:16,222:13,224:28,226:10,228:18,230:24,232:8,234:15,236:19,238:13,240:10,242:15,244:14,246:19,248:13,250:19,252:14,254:19,256:16,258:19,260:26,262:25,264:10,266:24,268:16,270:18,272:25,274:21,276:32,278:24,280:26,282:29,284:31,286:34,288:31,290:27,292:43,294:45,296:55,298:53,300:59,302:59,304:62,306:72,308:66,310:82,312:81,314:83,316:119,318:111,320:121,322:140,324:159,326:141,328:167,330:173,332:203,334:227,336:240,338:218,340:250,342:253,344:289,346:294,348:292,350:257,352:258,354:275,356:258,358:251,360:224,362:202,364:167,366:135,368:132,370:107,372:71,374:50,376:43,378:28,380:28,382:21,384:12,386:10,388:3,390:3,392:1</t>
  </si>
  <si>
    <t>Gen:0 Trial:0 w:172; Trial:2 w:150; Trial:4 w:110; Trial:12 w:106; Trial:17 w:98; Gen:1 Trial:102 w:94; Trial:103 w:92; Trial:117 w:88; Trial:140 w:86; Gen:2 Trial:299 w:82; Gen:3 Trial:303 w:76; Gen:4 Trial:404 w:74; Gen:5 Trial:500 w:72; Trial:505 w:70; Trial:509 w:68; Gen:6 Trial:604 w:66; Trial:696 w:64; Gen:7 Trial:736 w:62; Gen:15 Trial:1540 w:60; Gen:22 Trial:2229 w:58; Gen:29 Trial:2900 w:56; Gen:50 Trial:5081 w:54; Gen:93 Trial:9308 w:52; pErr:0.3140, weight 52 CW found:707, wDict:52:66,54:610,56:189,58:235,60:271,62:209,64:202,66:145,68:129,70:108,72:122,74:106,76:111,78:115,80:102,82:99,84:109,86:124,88:106,90:148,92:140,94:144,96:147,98:174,100:142,102:175,104:161,106:160,108:150,110:167,112:127,114:137,116:146,118:150,120:144,122:136,124:115,126:138,128:117,130:126,132:122,134:128,136:115,138:123,140:106,142:116,144:112,146:115,148:107,150:126,152:103,154:109,156:107,158:114,160:154,162:128,164:128,166:116,168:146,170:136,172:121,174:149,176:133,178:111,180:142,182:119,184:124,186:108,188:82,190:74,192:55,194:48,196:39,198:25,200:27,202:12,204:12,206:5,208:1</t>
  </si>
  <si>
    <t>Gen:0 Trial:0 w:174; Trial:16 w:164; Trial:26 w:114; Trial:69 w:108; Gen:2 Trial:203 w:106; Trial:219 w:90; Gen:3 Trial:301 w:88; Gen:4 Trial:452 w:82; Gen:5 Trial:522 w:76; Trial:598 w:72; Gen:8 Trial:845 w:68; Trial:855 w:64; Gen:9 Trial:914 w:58; Gen:10 Trial:1005 w:54; Gen:12 Trial:1225 w:52; Gen:13 Trial:1356 w:48; Gen:15 Trial:1571 w:46; Gen:20 Trial:2090 w:42; Gen:23 Trial:2307 w:40; Gen:25 Trial:2522 w:38; Gen:27 Trial:2701 w:36; pErr:0.2355, weight 36 CW found:5632, wDict:36:1766,38:283,40:474,42:152,44:227,46:138,48:145,50:121,52:117,54:130,56:100,58:90,60:73,62:49,64:72,66:69,68:50,70:49,72:41,74:38,76:45,78:46,80:43,82:39,84:37,86:39,88:49,90:48,92:30,94:27,96:37,98:32,100:44,102:36,104:38,106:34,108:51,110:49,112:32,114:50,116:50,118:44,120:50,122:45,124:55,126:59,128:53,130:61,132:59,134:56,136:56,138:68,140:57,142:71,144:93,146:83,148:82,150:82,152:86,154:102,156:98,158:120,160:113,162:112,164:137,166:126,168:143,170:165,172:150,174:162,176:180,178:162,180:180,182:163,184:169,186:191,188:171,190:155,192:174,194:144,196:151,198:121,200:93,202:95,204:58,206:64,208:34,210:30,212:17,214:10,216:3,218:3,220:3,222:1</t>
  </si>
  <si>
    <t>Gen:0 Trial:0 w:484; Trial:1 w:472; Trial:3 w:414; Trial:7 w:264; Trial:11 w:238; Trial:46 w:236; Gen:1 Trial:100 w:200; Trial:113 w:190; Trial:115 w:188; Gen:2 Trial:214 w:172; Gen:4 Trial:454 w:158; Gen:5 Trial:529 w:154; Gen:6 Trial:633 w:152; Gen:7 Trial:726 w:150; Trial:746 w:144; Gen:8 Trial:803 w:138; Gen:11 Trial:1175 w:128; Gen:37 Trial:3760 w:126; Gen:38 Trial:3881 w:124; Gen:43 Trial:4308 w:118; Gen:44 Trial:4400 w:112; Trial:4433 w:106; Gen:56 Trial:5618 w:104; Gen:87 Trial:8703 w:92; pErr:0.3674, weight 92 CW found:1566, wDict:92:1,100:1,102:2,104:6,106:8,108:2,110:12,112:20,114:25,116:36,118:31,120:37,122:54,124:56,126:58,128:83,130:60,132:92,134:71,136:81,138:95,140:97,142:105,144:108,146:128,148:117,150:131,152:130,154:133,156:146,158:159,160:153,162:160,164:168,166:162,168:162,170:157,172:171,174:195,176:165,178:137,180:167,182:159,184:160,186:156,188:162,190:164,192:144,194:131,196:135,198:152,200:124,202:115,204:115,206:117,208:119,210:102,212:91,214:111,216:109,218:82,220:90,222:61,224:79,226:67,228:69,230:81,232:70,234:67,236:52,238:55,240:55,242:66,244:55,246:46,248:51,250:34,252:41,254:46,256:50,258:28,260:41,262:41,264:51,266:29,268:27,270:36,272:17,274:37,276:20,278:29,280:28,282:30,284:26,286:14,288:27,290:21,292:18,294:27,296:24,298:17,300:16,302:25,304:17,306:16,308:19,310:23,312:13,314:12,316:12,318:17,320:18,322:14,324:13,326:13,328:12,330:11,332:10,334:18,336:10,338:16,340:7,342:8,344:8,346:7,348:16,350:10,352:8,354:9,356:9,358:11,360:14,362:7,364:12,366:8,368:10,370:9,372:7,374:10,376:9,378:12,380:14,382:5,384:6,386:9,388:13,390:6,392:11,394:7,396:11,398:15,400:14,402:16,404:14,406:10,408:13,410:21,412:8,414:18,416:12,418:15,420:10,422:12,424:8,426:17,428:15,430:18,432:15,434:17,436:20,438:21,440:17,442:15,444:21,446:21,448:24,450:21,452:20,454:23,456:17,458:20,460:21,462:29,464:29,466:23,468:33,470:22,472:27,474:28,476:30,478:29,480:30,482:21,484:38,486:25,488:27,490:28,492:31,494:35,496:21,498:25,500:26,502:16,504:20,506:29,508:23,510:16,512:22,514:14,516:22,518:18,520:21,522:6,524:16,526:10,528:11,530:9,532:5,534:9,536:6,538:3,540:5,542:1,544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</si>
</sst>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E+00"/>
    <numFmt numFmtId="166" formatCode="0.E+00"/>
  </numFmts>
  <fonts count="9" x14ac:knownFonts="1">
    <font>
      <sz val="12"/>
      <color theme="1"/>
      <name val="Aptos Narrow"/>
      <family val="2"/>
      <scheme val="minor"/>
    </font>
    <font>
      <b/>
      <sz val="16"/>
      <color theme="1"/>
      <name val="Aptos Narrow"/>
      <scheme val="minor"/>
    </font>
    <font>
      <b/>
      <sz val="12"/>
      <color theme="1"/>
      <name val="Aptos Narrow"/>
      <scheme val="minor"/>
    </font>
    <font>
      <b/>
      <sz val="14"/>
      <color theme="1"/>
      <name val="Aptos Narrow"/>
      <scheme val="minor"/>
    </font>
    <font>
      <u/>
      <sz val="12"/>
      <color theme="10"/>
      <name val="Aptos Narrow"/>
      <family val="2"/>
      <scheme val="minor"/>
    </font>
    <font>
      <sz val="12"/>
      <color theme="1"/>
      <name val="Aptos Narrow"/>
      <scheme val="minor"/>
    </font>
    <font>
      <b/>
      <sz val="12"/>
      <color rgb="FFFF0000"/>
      <name val="Aptos Narrow"/>
      <scheme val="minor"/>
    </font>
    <font>
      <b/>
      <sz val="12"/>
      <color indexed="8"/>
      <name val="Aptos Narrow"/>
      <scheme val="minor"/>
    </font>
    <font>
      <sz val="12"/>
      <color indexed="8"/>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1" fillId="0" borderId="0" xfId="0" applyFont="1"/>
    <xf numFmtId="0" fontId="2" fillId="0" borderId="0" xfId="0" applyFont="1" applyAlignment="1">
      <alignment horizontal="right"/>
    </xf>
    <xf numFmtId="164" fontId="0" fillId="0" borderId="0" xfId="0" applyNumberFormat="1"/>
    <xf numFmtId="165" fontId="0" fillId="0" borderId="0" xfId="0" applyNumberFormat="1"/>
    <xf numFmtId="0" fontId="2" fillId="0" borderId="0" xfId="0" applyFont="1"/>
    <xf numFmtId="3" fontId="0" fillId="0" borderId="0" xfId="0" applyNumberFormat="1"/>
    <xf numFmtId="11" fontId="0" fillId="0" borderId="0" xfId="0" applyNumberFormat="1"/>
    <xf numFmtId="0" fontId="3" fillId="0" borderId="0" xfId="0" applyFont="1"/>
    <xf numFmtId="0" fontId="4" fillId="0" borderId="0" xfId="1"/>
    <xf numFmtId="0" fontId="0" fillId="0" borderId="0" xfId="0" applyAlignment="1">
      <alignment wrapText="1"/>
    </xf>
    <xf numFmtId="9" fontId="0" fillId="0" borderId="0" xfId="0" applyNumberFormat="1" applyAlignment="1">
      <alignment wrapText="1"/>
    </xf>
    <xf numFmtId="0" fontId="5" fillId="0" borderId="0" xfId="0" applyFont="1"/>
    <xf numFmtId="3" fontId="2" fillId="0" borderId="0" xfId="0" applyNumberFormat="1" applyFont="1"/>
    <xf numFmtId="165" fontId="2" fillId="0" borderId="0" xfId="0" applyNumberFormat="1" applyFont="1"/>
    <xf numFmtId="0" fontId="6" fillId="0" borderId="0" xfId="0" applyFont="1"/>
    <xf numFmtId="1" fontId="5" fillId="0" borderId="0" xfId="0" applyNumberFormat="1" applyFont="1"/>
    <xf numFmtId="0" fontId="0" fillId="0" borderId="0" xfId="0" quotePrefix="1"/>
    <xf numFmtId="11" fontId="0" fillId="0" borderId="0" xfId="0" quotePrefix="1" applyNumberFormat="1"/>
    <xf numFmtId="0" fontId="0" fillId="0" borderId="0" xfId="0" applyAlignment="1">
      <alignment horizontal="left"/>
    </xf>
    <xf numFmtId="1" fontId="0" fillId="0" borderId="0" xfId="0" applyNumberFormat="1"/>
    <xf numFmtId="166" fontId="0" fillId="0" borderId="0" xfId="0" applyNumberFormat="1"/>
    <xf numFmtId="0" fontId="7" fillId="0" borderId="0" xfId="0" applyFont="1"/>
    <xf numFmtId="0" fontId="8" fillId="0" borderId="0" xfId="0" applyFont="1"/>
    <xf numFmtId="2"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analysis!$GO$67</c:f>
              <c:strCache>
                <c:ptCount val="1"/>
                <c:pt idx="0">
                  <c:v>Gurobi</c:v>
                </c:pt>
              </c:strCache>
            </c:strRef>
          </c:tx>
          <c:spPr>
            <a:ln w="38100" cap="rnd">
              <a:noFill/>
              <a:round/>
            </a:ln>
            <a:effectLst/>
          </c:spPr>
          <c:marker>
            <c:symbol val="circle"/>
            <c:size val="5"/>
            <c:spPr>
              <a:solidFill>
                <a:schemeClr val="accent1"/>
              </a:solidFill>
              <a:ln w="9525">
                <a:solidFill>
                  <a:schemeClr val="accent1"/>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analysis!$GO$68:$GO$200</c:f>
              <c:numCache>
                <c:formatCode>0.0E+00</c:formatCode>
                <c:ptCount val="133"/>
                <c:pt idx="0">
                  <c:v>0.145194301000003</c:v>
                </c:pt>
                <c:pt idx="1">
                  <c:v>4.1579137929999703</c:v>
                </c:pt>
                <c:pt idx="2">
                  <c:v>6.46211680800001</c:v>
                </c:pt>
                <c:pt idx="3">
                  <c:v>58.641775220999897</c:v>
                </c:pt>
                <c:pt idx="4">
                  <c:v>#N/A</c:v>
                </c:pt>
                <c:pt idx="5">
                  <c:v>#N/A</c:v>
                </c:pt>
                <c:pt idx="6">
                  <c:v>#N/A</c:v>
                </c:pt>
                <c:pt idx="7">
                  <c:v>4.96470221399795</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0-9E5F-B240-A4B8-08EF56CC0701}"/>
            </c:ext>
          </c:extLst>
        </c:ser>
        <c:ser>
          <c:idx val="1"/>
          <c:order val="1"/>
          <c:tx>
            <c:strRef>
              <c:f>analysis!$GP$67</c:f>
              <c:strCache>
                <c:ptCount val="1"/>
                <c:pt idx="0">
                  <c:v>MIP-SCIP</c:v>
                </c:pt>
              </c:strCache>
            </c:strRef>
          </c:tx>
          <c:spPr>
            <a:ln w="38100" cap="rnd">
              <a:noFill/>
              <a:round/>
            </a:ln>
            <a:effectLst/>
          </c:spPr>
          <c:marker>
            <c:symbol val="plus"/>
            <c:size val="5"/>
            <c:spPr>
              <a:noFill/>
              <a:ln w="9525">
                <a:solidFill>
                  <a:schemeClr val="accent2"/>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analysis!$GP$68:$GP$200</c:f>
              <c:numCache>
                <c:formatCode>0.0E+00</c:formatCode>
                <c:ptCount val="133"/>
                <c:pt idx="0">
                  <c:v>0.64200242600000401</c:v>
                </c:pt>
                <c:pt idx="1">
                  <c:v>20.711546717999902</c:v>
                </c:pt>
                <c:pt idx="2">
                  <c:v>32.492171583999998</c:v>
                </c:pt>
                <c:pt idx="3">
                  <c:v>215.899390141</c:v>
                </c:pt>
                <c:pt idx="4">
                  <c:v>#N/A</c:v>
                </c:pt>
                <c:pt idx="5">
                  <c:v>#N/A</c:v>
                </c:pt>
                <c:pt idx="6">
                  <c:v>#N/A</c:v>
                </c:pt>
                <c:pt idx="7">
                  <c:v>64.214648583991206</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1-9E5F-B240-A4B8-08EF56CC0701}"/>
            </c:ext>
          </c:extLst>
        </c:ser>
        <c:ser>
          <c:idx val="2"/>
          <c:order val="2"/>
          <c:tx>
            <c:strRef>
              <c:f>analysis!$GQ$67</c:f>
              <c:strCache>
                <c:ptCount val="1"/>
                <c:pt idx="0">
                  <c:v>CLISAT</c:v>
                </c:pt>
              </c:strCache>
            </c:strRef>
          </c:tx>
          <c:spPr>
            <a:ln w="38100" cap="rnd">
              <a:noFill/>
              <a:round/>
            </a:ln>
            <a:effectLst/>
          </c:spPr>
          <c:marker>
            <c:symbol val="diamond"/>
            <c:size val="5"/>
            <c:spPr>
              <a:solidFill>
                <a:schemeClr val="accent3"/>
              </a:solidFill>
              <a:ln w="9525">
                <a:solidFill>
                  <a:schemeClr val="accent3"/>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analysis!$GQ$68:$GQ$200</c:f>
              <c:numCache>
                <c:formatCode>0.0E+00</c:formatCode>
                <c:ptCount val="133"/>
                <c:pt idx="0">
                  <c:v>0.19020685399999501</c:v>
                </c:pt>
                <c:pt idx="1">
                  <c:v>19.342009766</c:v>
                </c:pt>
                <c:pt idx="2">
                  <c:v>33.570045236999903</c:v>
                </c:pt>
                <c:pt idx="3">
                  <c:v>209.939482</c:v>
                </c:pt>
                <c:pt idx="4">
                  <c:v>#N/A</c:v>
                </c:pt>
                <c:pt idx="5">
                  <c:v>#N/A</c:v>
                </c:pt>
                <c:pt idx="6">
                  <c:v>#N/A</c:v>
                </c:pt>
                <c:pt idx="7">
                  <c:v>40.254271372003103</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2-9E5F-B240-A4B8-08EF56CC0701}"/>
            </c:ext>
          </c:extLst>
        </c:ser>
        <c:ser>
          <c:idx val="3"/>
          <c:order val="3"/>
          <c:tx>
            <c:strRef>
              <c:f>analysis!$GR$67</c:f>
              <c:strCache>
                <c:ptCount val="1"/>
                <c:pt idx="0">
                  <c:v>m4ri_CC</c:v>
                </c:pt>
              </c:strCache>
            </c:strRef>
          </c:tx>
          <c:spPr>
            <a:ln w="38100" cap="rnd">
              <a:noFill/>
              <a:round/>
            </a:ln>
            <a:effectLst/>
          </c:spPr>
          <c:marker>
            <c:symbol val="triangle"/>
            <c:size val="5"/>
            <c:spPr>
              <a:solidFill>
                <a:schemeClr val="accent4"/>
              </a:solidFill>
              <a:ln w="9525">
                <a:solidFill>
                  <a:schemeClr val="accent4"/>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analysis!$GR$68:$GR$200</c:f>
              <c:numCache>
                <c:formatCode>0.0E+00</c:formatCode>
                <c:ptCount val="133"/>
                <c:pt idx="0">
                  <c:v>4.6195259000000898E-2</c:v>
                </c:pt>
                <c:pt idx="1">
                  <c:v>0.31406962899998803</c:v>
                </c:pt>
                <c:pt idx="2">
                  <c:v>0.35824539300000402</c:v>
                </c:pt>
                <c:pt idx="3">
                  <c:v>5.6777290530000002</c:v>
                </c:pt>
                <c:pt idx="4">
                  <c:v>#N/A</c:v>
                </c:pt>
                <c:pt idx="5">
                  <c:v>#N/A</c:v>
                </c:pt>
                <c:pt idx="6">
                  <c:v>#N/A</c:v>
                </c:pt>
                <c:pt idx="7">
                  <c:v>0.72749089699936997</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3-9E5F-B240-A4B8-08EF56CC0701}"/>
            </c:ext>
          </c:extLst>
        </c:ser>
        <c:ser>
          <c:idx val="4"/>
          <c:order val="4"/>
          <c:tx>
            <c:strRef>
              <c:f>analysis!$GS$67</c:f>
              <c:strCache>
                <c:ptCount val="1"/>
                <c:pt idx="0">
                  <c:v>magma</c:v>
                </c:pt>
              </c:strCache>
            </c:strRef>
          </c:tx>
          <c:spPr>
            <a:ln w="38100" cap="rnd">
              <a:noFill/>
              <a:round/>
            </a:ln>
            <a:effectLst/>
          </c:spPr>
          <c:marker>
            <c:symbol val="x"/>
            <c:size val="5"/>
            <c:spPr>
              <a:noFill/>
              <a:ln w="9525">
                <a:solidFill>
                  <a:schemeClr val="accent5"/>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analysis!$GS$68:$GS$200</c:f>
              <c:numCache>
                <c:formatCode>0.0E+00</c:formatCode>
                <c:ptCount val="133"/>
                <c:pt idx="0">
                  <c:v>1.69016820797696</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4-9E5F-B240-A4B8-08EF56CC0701}"/>
            </c:ext>
          </c:extLst>
        </c:ser>
        <c:dLbls>
          <c:showLegendKey val="0"/>
          <c:showVal val="0"/>
          <c:showCatName val="0"/>
          <c:showSerName val="0"/>
          <c:showPercent val="0"/>
          <c:showBubbleSize val="0"/>
        </c:dLbls>
        <c:axId val="1782197904"/>
        <c:axId val="1782199616"/>
      </c:scatterChart>
      <c:valAx>
        <c:axId val="1782197904"/>
        <c:scaling>
          <c:orientation val="minMax"/>
          <c:max val="25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23817147856517934"/>
          <c:y val="4.7959044181977224E-2"/>
          <c:w val="0.17155074365704287"/>
          <c:h val="0.2929708005249344"/>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analysis!$GU$67</c:f>
              <c:strCache>
                <c:ptCount val="1"/>
                <c:pt idx="0">
                  <c:v>QDistRndMW</c:v>
                </c:pt>
              </c:strCache>
            </c:strRef>
          </c:tx>
          <c:spPr>
            <a:ln w="25400" cap="rnd">
              <a:noFill/>
              <a:round/>
            </a:ln>
            <a:effectLst/>
          </c:spPr>
          <c:marker>
            <c:symbol val="plus"/>
            <c:size val="5"/>
            <c:spPr>
              <a:noFill/>
              <a:ln w="9525">
                <a:solidFill>
                  <a:schemeClr val="accent1">
                    <a:lumMod val="60000"/>
                  </a:schemeClr>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analysis!$GU$68:$GU$200</c:f>
              <c:numCache>
                <c:formatCode>0.0E+00</c:formatCode>
                <c:ptCount val="133"/>
                <c:pt idx="0">
                  <c:v>2.9307914679832438E-4</c:v>
                </c:pt>
                <c:pt idx="1">
                  <c:v>4.7868436752104604E-4</c:v>
                </c:pt>
                <c:pt idx="2">
                  <c:v>2.7148760316044935E-3</c:v>
                </c:pt>
                <c:pt idx="3">
                  <c:v>1.1434278463306499E-3</c:v>
                </c:pt>
                <c:pt idx="4">
                  <c:v>0.31614846835056154</c:v>
                </c:pt>
                <c:pt idx="5">
                  <c:v>1.0827770671197035</c:v>
                </c:pt>
                <c:pt idx="6">
                  <c:v>#N/A</c:v>
                </c:pt>
                <c:pt idx="7">
                  <c:v>1.675622510509554E-3</c:v>
                </c:pt>
                <c:pt idx="8">
                  <c:v>13.70201390646398</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0-4B3F-EE46-B60C-823B97630912}"/>
            </c:ext>
          </c:extLst>
        </c:ser>
        <c:ser>
          <c:idx val="7"/>
          <c:order val="1"/>
          <c:tx>
            <c:strRef>
              <c:f>analysis!$GV$67</c:f>
              <c:strCache>
                <c:ptCount val="1"/>
                <c:pt idx="0">
                  <c:v>QDistEvol</c:v>
                </c:pt>
              </c:strCache>
            </c:strRef>
          </c:tx>
          <c:spPr>
            <a:ln w="254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analysis!$GV$68:$GV$200</c:f>
              <c:numCache>
                <c:formatCode>0.0E+00</c:formatCode>
                <c:ptCount val="133"/>
                <c:pt idx="0">
                  <c:v>3.6742242058370697E-4</c:v>
                </c:pt>
                <c:pt idx="1">
                  <c:v>4.4786179561561232E-4</c:v>
                </c:pt>
                <c:pt idx="2">
                  <c:v>5.9141627216182464E-4</c:v>
                </c:pt>
                <c:pt idx="3">
                  <c:v>7.8747679869668773E-4</c:v>
                </c:pt>
                <c:pt idx="4">
                  <c:v>3.6209399904877197E-3</c:v>
                </c:pt>
                <c:pt idx="5">
                  <c:v>7.5022502320841082E-3</c:v>
                </c:pt>
                <c:pt idx="6">
                  <c:v>#N/A</c:v>
                </c:pt>
                <c:pt idx="7">
                  <c:v>1.1494914808050827E-3</c:v>
                </c:pt>
                <c:pt idx="8">
                  <c:v>1.6034214114892396E-2</c:v>
                </c:pt>
                <c:pt idx="9">
                  <c:v>0.14737941177898808</c:v>
                </c:pt>
                <c:pt idx="10">
                  <c:v>3.1084646416849129E-2</c:v>
                </c:pt>
                <c:pt idx="11">
                  <c:v>#N/A</c:v>
                </c:pt>
                <c:pt idx="12">
                  <c:v>#N/A</c:v>
                </c:pt>
                <c:pt idx="13">
                  <c:v>#N/A</c:v>
                </c:pt>
                <c:pt idx="14">
                  <c:v>#N/A</c:v>
                </c:pt>
                <c:pt idx="15">
                  <c:v>786.49558063875804</c:v>
                </c:pt>
                <c:pt idx="16">
                  <c:v>630.52327394904501</c:v>
                </c:pt>
                <c:pt idx="17">
                  <c:v>#N/A</c:v>
                </c:pt>
                <c:pt idx="18">
                  <c:v>0.80984897172818804</c:v>
                </c:pt>
                <c:pt idx="19">
                  <c:v>#N/A</c:v>
                </c:pt>
              </c:numCache>
            </c:numRef>
          </c:yVal>
          <c:smooth val="0"/>
          <c:extLst>
            <c:ext xmlns:c16="http://schemas.microsoft.com/office/drawing/2014/chart" uri="{C3380CC4-5D6E-409C-BE32-E72D297353CC}">
              <c16:uniqueId val="{00000001-4B3F-EE46-B60C-823B97630912}"/>
            </c:ext>
          </c:extLst>
        </c:ser>
        <c:ser>
          <c:idx val="8"/>
          <c:order val="2"/>
          <c:tx>
            <c:strRef>
              <c:f>analysis!$GW$67</c:f>
              <c:strCache>
                <c:ptCount val="1"/>
                <c:pt idx="0">
                  <c:v>bposd</c:v>
                </c:pt>
              </c:strCache>
            </c:strRef>
          </c:tx>
          <c:spPr>
            <a:ln w="254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analysis!$GW$68:$GW$200</c:f>
              <c:numCache>
                <c:formatCode>0.0E+00</c:formatCode>
                <c:ptCount val="133"/>
                <c:pt idx="0">
                  <c:v>4.683577165313515E-3</c:v>
                </c:pt>
                <c:pt idx="1">
                  <c:v>6.7022291189361635E-3</c:v>
                </c:pt>
                <c:pt idx="2">
                  <c:v>3.9349389091400983E-2</c:v>
                </c:pt>
                <c:pt idx="3">
                  <c:v>1.2184539758807532E-2</c:v>
                </c:pt>
                <c:pt idx="4">
                  <c:v>0.72530773646460511</c:v>
                </c:pt>
                <c:pt idx="5">
                  <c:v>5.2567889215585168</c:v>
                </c:pt>
                <c:pt idx="6">
                  <c:v>#N/A</c:v>
                </c:pt>
                <c:pt idx="7">
                  <c:v>1.3775393111218759E-2</c:v>
                </c:pt>
                <c:pt idx="8">
                  <c:v>125.78914952899</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2-4B3F-EE46-B60C-823B97630912}"/>
            </c:ext>
          </c:extLst>
        </c:ser>
        <c:ser>
          <c:idx val="9"/>
          <c:order val="3"/>
          <c:tx>
            <c:strRef>
              <c:f>analysis!$GX$67</c:f>
              <c:strCache>
                <c:ptCount val="1"/>
                <c:pt idx="0">
                  <c:v>GEStim</c:v>
                </c:pt>
              </c:strCache>
            </c:strRef>
          </c:tx>
          <c:spPr>
            <a:ln w="25400" cap="rnd">
              <a:noFill/>
              <a:round/>
            </a:ln>
            <a:effectLst/>
          </c:spPr>
          <c:marker>
            <c:symbol val="x"/>
            <c:size val="5"/>
            <c:spPr>
              <a:noFill/>
              <a:ln w="9525">
                <a:solidFill>
                  <a:schemeClr val="accent4">
                    <a:lumMod val="60000"/>
                  </a:schemeClr>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analysis!$GX$68:$GX$200</c:f>
              <c:numCache>
                <c:formatCode>0.0E+00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3-4B3F-EE46-B60C-823B97630912}"/>
            </c:ext>
          </c:extLst>
        </c:ser>
        <c:ser>
          <c:idx val="10"/>
          <c:order val="4"/>
          <c:tx>
            <c:strRef>
              <c:f>analysis!$GY$67</c:f>
              <c:strCache>
                <c:ptCount val="1"/>
                <c:pt idx="0">
                  <c:v>CCStim</c:v>
                </c:pt>
              </c:strCache>
            </c:strRef>
          </c:tx>
          <c:spPr>
            <a:ln w="254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analysis!$GY$68:$GY$200</c:f>
              <c:numCache>
                <c:formatCode>0.0E+00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4-4B3F-EE46-B60C-823B97630912}"/>
            </c:ext>
          </c:extLst>
        </c:ser>
        <c:ser>
          <c:idx val="11"/>
          <c:order val="5"/>
          <c:tx>
            <c:strRef>
              <c:f>analysis!$GZ$67</c:f>
              <c:strCache>
                <c:ptCount val="1"/>
                <c:pt idx="0">
                  <c:v>UEStim</c:v>
                </c:pt>
              </c:strCache>
            </c:strRef>
          </c:tx>
          <c:spPr>
            <a:ln w="254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analysis!$GN$68:$GN$200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analysis!$GZ$68:$GZ$200</c:f>
              <c:numCache>
                <c:formatCode>0.0E+00</c:formatCode>
                <c:ptCount val="133"/>
                <c:pt idx="0">
                  <c:v>6.9562118034809495E-2</c:v>
                </c:pt>
                <c:pt idx="1">
                  <c:v>0.14725530380383101</c:v>
                </c:pt>
                <c:pt idx="2">
                  <c:v>0.68147460417822003</c:v>
                </c:pt>
                <c:pt idx="3">
                  <c:v>0.12527331802993999</c:v>
                </c:pt>
                <c:pt idx="4">
                  <c:v>5.6718383445403999</c:v>
                </c:pt>
                <c:pt idx="5">
                  <c:v>1417.1363477795351</c:v>
                </c:pt>
                <c:pt idx="6">
                  <c:v>#N/A</c:v>
                </c:pt>
                <c:pt idx="7">
                  <c:v>1.0782504044473149</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5-4B3F-EE46-B60C-823B97630912}"/>
            </c:ext>
          </c:extLst>
        </c:ser>
        <c:dLbls>
          <c:showLegendKey val="0"/>
          <c:showVal val="0"/>
          <c:showCatName val="0"/>
          <c:showSerName val="0"/>
          <c:showPercent val="0"/>
          <c:showBubbleSize val="0"/>
        </c:dLbls>
        <c:axId val="1782197904"/>
        <c:axId val="1782199616"/>
      </c:scatterChart>
      <c:valAx>
        <c:axId val="178219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Code</a:t>
                </a:r>
                <a:r>
                  <a:rPr lang="en-GB" sz="1200" baseline="0"/>
                  <a:t> length</a:t>
                </a:r>
                <a:endParaRPr lang="en-GB" sz="1200"/>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9616"/>
        <c:crossesAt val="1E-8"/>
        <c:crossBetween val="midCat"/>
      </c:valAx>
      <c:valAx>
        <c:axId val="1782199616"/>
        <c:scaling>
          <c:logBase val="10"/>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Processing</a:t>
                </a:r>
                <a:r>
                  <a:rPr lang="en-GB" sz="1200" baseline="0"/>
                  <a:t> Time (sec)</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197904"/>
        <c:crossesAt val="0"/>
        <c:crossBetween val="midCat"/>
      </c:valAx>
      <c:spPr>
        <a:noFill/>
        <a:ln>
          <a:noFill/>
        </a:ln>
        <a:effectLst/>
      </c:spPr>
    </c:plotArea>
    <c:legend>
      <c:legendPos val="r"/>
      <c:layout>
        <c:manualLayout>
          <c:xMode val="edge"/>
          <c:yMode val="edge"/>
          <c:x val="0.70344925634295719"/>
          <c:y val="0.48198682195975501"/>
          <c:w val="0.22290573053368329"/>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analysis!$HI$67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analysis!$HB$68:$HB$200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analysis!$HI$68:$HI$200</c:f>
              <c:numCache>
                <c:formatCode>0.0%</c:formatCode>
                <c:ptCount val="133"/>
                <c:pt idx="0">
                  <c:v>0.94769999999999999</c:v>
                </c:pt>
                <c:pt idx="1">
                  <c:v>0.70650000000000002</c:v>
                </c:pt>
                <c:pt idx="2">
                  <c:v>0.14510000000000001</c:v>
                </c:pt>
                <c:pt idx="3">
                  <c:v>0.57079999999999997</c:v>
                </c:pt>
                <c:pt idx="4">
                  <c:v>6.4999999999999997E-3</c:v>
                </c:pt>
                <c:pt idx="5">
                  <c:v>2.8999999999999998E-3</c:v>
                </c:pt>
                <c:pt idx="6">
                  <c:v>0</c:v>
                </c:pt>
                <c:pt idx="7">
                  <c:v>0.59870000000000001</c:v>
                </c:pt>
                <c:pt idx="8">
                  <c:v>5.0000000000000001E-4</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0-FBDD-314E-BC71-E39B203ECF9A}"/>
            </c:ext>
          </c:extLst>
        </c:ser>
        <c:ser>
          <c:idx val="7"/>
          <c:order val="1"/>
          <c:tx>
            <c:strRef>
              <c:f>analysis!$HJ$67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analysis!$HB$68:$HB$200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analysis!$HJ$68:$HJ$200</c:f>
              <c:numCache>
                <c:formatCode>0.0%</c:formatCode>
                <c:ptCount val="133"/>
                <c:pt idx="0">
                  <c:v>0.99919999999999998</c:v>
                </c:pt>
                <c:pt idx="1">
                  <c:v>0.99529999999999996</c:v>
                </c:pt>
                <c:pt idx="2">
                  <c:v>0.77659999999999996</c:v>
                </c:pt>
                <c:pt idx="3">
                  <c:v>0.98180000000000001</c:v>
                </c:pt>
                <c:pt idx="4">
                  <c:v>0.57410000000000005</c:v>
                </c:pt>
                <c:pt idx="5">
                  <c:v>0.4153</c:v>
                </c:pt>
                <c:pt idx="6">
                  <c:v>0</c:v>
                </c:pt>
                <c:pt idx="7">
                  <c:v>0.95620000000000005</c:v>
                </c:pt>
                <c:pt idx="8">
                  <c:v>0.41949999999999998</c:v>
                </c:pt>
                <c:pt idx="9">
                  <c:v>9.2299999999999993E-2</c:v>
                </c:pt>
                <c:pt idx="10">
                  <c:v>0.22939999999999999</c:v>
                </c:pt>
                <c:pt idx="11">
                  <c:v>0</c:v>
                </c:pt>
                <c:pt idx="12">
                  <c:v>0</c:v>
                </c:pt>
                <c:pt idx="13">
                  <c:v>0</c:v>
                </c:pt>
                <c:pt idx="14">
                  <c:v>0</c:v>
                </c:pt>
                <c:pt idx="15">
                  <c:v>1E-4</c:v>
                </c:pt>
                <c:pt idx="16">
                  <c:v>2.0000000000000001E-4</c:v>
                </c:pt>
                <c:pt idx="17">
                  <c:v>0</c:v>
                </c:pt>
                <c:pt idx="18">
                  <c:v>0.17660000000000001</c:v>
                </c:pt>
                <c:pt idx="19">
                  <c:v>0</c:v>
                </c:pt>
              </c:numCache>
            </c:numRef>
          </c:yVal>
          <c:smooth val="0"/>
          <c:extLst>
            <c:ext xmlns:c16="http://schemas.microsoft.com/office/drawing/2014/chart" uri="{C3380CC4-5D6E-409C-BE32-E72D297353CC}">
              <c16:uniqueId val="{00000001-FBDD-314E-BC71-E39B203ECF9A}"/>
            </c:ext>
          </c:extLst>
        </c:ser>
        <c:ser>
          <c:idx val="8"/>
          <c:order val="2"/>
          <c:tx>
            <c:strRef>
              <c:f>analysis!$HK$67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analysis!$HB$68:$HB$200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analysis!$HK$68:$HK$200</c:f>
              <c:numCache>
                <c:formatCode>0.0%</c:formatCode>
                <c:ptCount val="133"/>
                <c:pt idx="0">
                  <c:v>0.92789999999999995</c:v>
                </c:pt>
                <c:pt idx="1">
                  <c:v>0.75239999999999996</c:v>
                </c:pt>
                <c:pt idx="2">
                  <c:v>0.1535</c:v>
                </c:pt>
                <c:pt idx="3">
                  <c:v>0.64259999999999995</c:v>
                </c:pt>
                <c:pt idx="4">
                  <c:v>1.95E-2</c:v>
                </c:pt>
                <c:pt idx="5">
                  <c:v>2.8999999999999998E-3</c:v>
                </c:pt>
                <c:pt idx="6">
                  <c:v>0</c:v>
                </c:pt>
                <c:pt idx="7">
                  <c:v>0.43980000000000002</c:v>
                </c:pt>
                <c:pt idx="8">
                  <c:v>2.9999999999999997E-4</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2-FBDD-314E-BC71-E39B203ECF9A}"/>
            </c:ext>
          </c:extLst>
        </c:ser>
        <c:ser>
          <c:idx val="9"/>
          <c:order val="3"/>
          <c:tx>
            <c:strRef>
              <c:f>analysis!$HL$67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analysis!$HB$68:$HB$200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analysis!$HL$68:$HL$200</c:f>
              <c:numCache>
                <c:formatCode>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3-FBDD-314E-BC71-E39B203ECF9A}"/>
            </c:ext>
          </c:extLst>
        </c:ser>
        <c:ser>
          <c:idx val="10"/>
          <c:order val="4"/>
          <c:tx>
            <c:strRef>
              <c:f>analysis!$HM$67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analysis!$HB$68:$HB$200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analysis!$HM$68:$HM$200</c:f>
              <c:numCache>
                <c:formatCode>0.0%</c:formatCode>
                <c:ptCount val="133"/>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4-FBDD-314E-BC71-E39B203ECF9A}"/>
            </c:ext>
          </c:extLst>
        </c:ser>
        <c:ser>
          <c:idx val="11"/>
          <c:order val="5"/>
          <c:tx>
            <c:strRef>
              <c:f>analysis!$HN$67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analysis!$HB$68:$HB$200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analysis!$HN$68:$HN$200</c:f>
              <c:numCache>
                <c:formatCode>0.0%</c:formatCode>
                <c:ptCount val="133"/>
                <c:pt idx="0">
                  <c:v>0.5</c:v>
                </c:pt>
                <c:pt idx="1">
                  <c:v>0.5</c:v>
                </c:pt>
                <c:pt idx="2">
                  <c:v>0.4</c:v>
                </c:pt>
                <c:pt idx="3">
                  <c:v>0.5</c:v>
                </c:pt>
                <c:pt idx="4">
                  <c:v>0.4</c:v>
                </c:pt>
                <c:pt idx="5">
                  <c:v>0.33333333333333331</c:v>
                </c:pt>
                <c:pt idx="6">
                  <c:v>0</c:v>
                </c:pt>
                <c:pt idx="7">
                  <c:v>0.5</c:v>
                </c:pt>
                <c:pt idx="8">
                  <c:v>0</c:v>
                </c:pt>
                <c:pt idx="9">
                  <c:v>0</c:v>
                </c:pt>
                <c:pt idx="10">
                  <c:v>0</c:v>
                </c:pt>
                <c:pt idx="11">
                  <c:v>0</c:v>
                </c:pt>
                <c:pt idx="12">
                  <c:v>0</c:v>
                </c:pt>
                <c:pt idx="13">
                  <c:v>0</c:v>
                </c:pt>
                <c:pt idx="14">
                  <c:v>0</c:v>
                </c:pt>
                <c:pt idx="15">
                  <c:v>0</c:v>
                </c:pt>
                <c:pt idx="16">
                  <c:v>0</c:v>
                </c:pt>
                <c:pt idx="17">
                  <c:v>0</c:v>
                </c:pt>
                <c:pt idx="18">
                  <c:v>0</c:v>
                </c:pt>
                <c:pt idx="19">
                  <c:v>0</c:v>
                </c:pt>
              </c:numCache>
            </c:numRef>
          </c:yVal>
          <c:smooth val="0"/>
          <c:extLst>
            <c:ext xmlns:c16="http://schemas.microsoft.com/office/drawing/2014/chart" uri="{C3380CC4-5D6E-409C-BE32-E72D297353CC}">
              <c16:uniqueId val="{00000005-FBDD-314E-BC71-E39B203ECF9A}"/>
            </c:ext>
          </c:extLst>
        </c:ser>
        <c:dLbls>
          <c:showLegendKey val="0"/>
          <c:showVal val="0"/>
          <c:showCatName val="0"/>
          <c:showSerName val="0"/>
          <c:showPercent val="0"/>
          <c:showBubbleSize val="0"/>
        </c:dLbls>
        <c:axId val="924521264"/>
        <c:axId val="924522976"/>
      </c:scatterChart>
      <c:valAx>
        <c:axId val="924521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2976"/>
        <c:crosses val="autoZero"/>
        <c:crossBetween val="midCat"/>
      </c:valAx>
      <c:valAx>
        <c:axId val="92452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Success Rate per Trial</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1264"/>
        <c:crosses val="autoZero"/>
        <c:crossBetween val="midCat"/>
      </c:valAx>
      <c:spPr>
        <a:noFill/>
        <a:ln>
          <a:noFill/>
        </a:ln>
        <a:effectLst/>
      </c:spPr>
    </c:plotArea>
    <c:legend>
      <c:legendPos val="t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6"/>
          <c:order val="0"/>
          <c:tx>
            <c:strRef>
              <c:f>analysis!$GG$67</c:f>
              <c:strCache>
                <c:ptCount val="1"/>
                <c:pt idx="0">
                  <c:v>QDistRndMW</c:v>
                </c:pt>
              </c:strCache>
            </c:strRef>
          </c:tx>
          <c:spPr>
            <a:ln w="38100" cap="rnd">
              <a:noFill/>
              <a:round/>
            </a:ln>
            <a:effectLst/>
          </c:spPr>
          <c:marker>
            <c:symbol val="plus"/>
            <c:size val="5"/>
            <c:spPr>
              <a:noFill/>
              <a:ln w="9525">
                <a:solidFill>
                  <a:schemeClr val="accent1">
                    <a:lumMod val="60000"/>
                  </a:schemeClr>
                </a:solidFill>
              </a:ln>
              <a:effectLst/>
            </c:spPr>
          </c:marker>
          <c:xVal>
            <c:numRef>
              <c:f>analysis!$FZ$68:$FZ$200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analysis!$GG$68:$GG$200</c:f>
              <c:numCache>
                <c:formatCode>0.00</c:formatCode>
                <c:ptCount val="133"/>
                <c:pt idx="0">
                  <c:v>0</c:v>
                </c:pt>
                <c:pt idx="1">
                  <c:v>0</c:v>
                </c:pt>
                <c:pt idx="2">
                  <c:v>0</c:v>
                </c:pt>
                <c:pt idx="3">
                  <c:v>0</c:v>
                </c:pt>
                <c:pt idx="4">
                  <c:v>0</c:v>
                </c:pt>
                <c:pt idx="5">
                  <c:v>0</c:v>
                </c:pt>
                <c:pt idx="6">
                  <c:v>0.17647058823529413</c:v>
                </c:pt>
                <c:pt idx="7">
                  <c:v>0</c:v>
                </c:pt>
                <c:pt idx="8">
                  <c:v>0</c:v>
                </c:pt>
                <c:pt idx="9">
                  <c:v>0.9</c:v>
                </c:pt>
                <c:pt idx="10">
                  <c:v>0.1875</c:v>
                </c:pt>
                <c:pt idx="11">
                  <c:v>0.51851851851851849</c:v>
                </c:pt>
                <c:pt idx="12">
                  <c:v>2.0555555555555554</c:v>
                </c:pt>
                <c:pt idx="13">
                  <c:v>1.1666666666666667</c:v>
                </c:pt>
                <c:pt idx="14">
                  <c:v>1.5</c:v>
                </c:pt>
                <c:pt idx="15">
                  <c:v>0.33333333333333331</c:v>
                </c:pt>
                <c:pt idx="16">
                  <c:v>1.5625</c:v>
                </c:pt>
                <c:pt idx="17">
                  <c:v>0.36</c:v>
                </c:pt>
                <c:pt idx="18">
                  <c:v>0.66666666666666663</c:v>
                </c:pt>
                <c:pt idx="19">
                  <c:v>1.3611111111111112</c:v>
                </c:pt>
              </c:numCache>
            </c:numRef>
          </c:yVal>
          <c:smooth val="0"/>
          <c:extLst>
            <c:ext xmlns:c16="http://schemas.microsoft.com/office/drawing/2014/chart" uri="{C3380CC4-5D6E-409C-BE32-E72D297353CC}">
              <c16:uniqueId val="{00000000-E01A-BA4C-80AB-A7B7C700322F}"/>
            </c:ext>
          </c:extLst>
        </c:ser>
        <c:ser>
          <c:idx val="7"/>
          <c:order val="1"/>
          <c:tx>
            <c:strRef>
              <c:f>analysis!$GH$67</c:f>
              <c:strCache>
                <c:ptCount val="1"/>
                <c:pt idx="0">
                  <c:v>QDistEvol</c:v>
                </c:pt>
              </c:strCache>
            </c:strRef>
          </c:tx>
          <c:spPr>
            <a:ln w="38100" cap="rnd">
              <a:noFill/>
              <a:round/>
            </a:ln>
            <a:effectLst/>
          </c:spPr>
          <c:marker>
            <c:symbol val="diamond"/>
            <c:size val="5"/>
            <c:spPr>
              <a:solidFill>
                <a:schemeClr val="accent2">
                  <a:lumMod val="60000"/>
                </a:schemeClr>
              </a:solidFill>
              <a:ln w="9525">
                <a:solidFill>
                  <a:schemeClr val="accent2">
                    <a:lumMod val="60000"/>
                  </a:schemeClr>
                </a:solidFill>
              </a:ln>
              <a:effectLst/>
            </c:spPr>
          </c:marker>
          <c:xVal>
            <c:numRef>
              <c:f>analysis!$FZ$68:$FZ$200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analysis!$GH$68:$GH$200</c:f>
              <c:numCache>
                <c:formatCode>0.00</c:formatCode>
                <c:ptCount val="133"/>
                <c:pt idx="0">
                  <c:v>0</c:v>
                </c:pt>
                <c:pt idx="1">
                  <c:v>0</c:v>
                </c:pt>
                <c:pt idx="2">
                  <c:v>0</c:v>
                </c:pt>
                <c:pt idx="3">
                  <c:v>0</c:v>
                </c:pt>
                <c:pt idx="4">
                  <c:v>0</c:v>
                </c:pt>
                <c:pt idx="5">
                  <c:v>0</c:v>
                </c:pt>
                <c:pt idx="6">
                  <c:v>5.8823529411764705E-2</c:v>
                </c:pt>
                <c:pt idx="7">
                  <c:v>0</c:v>
                </c:pt>
                <c:pt idx="8">
                  <c:v>0</c:v>
                </c:pt>
                <c:pt idx="9">
                  <c:v>0</c:v>
                </c:pt>
                <c:pt idx="10">
                  <c:v>0</c:v>
                </c:pt>
                <c:pt idx="11">
                  <c:v>7.407407407407407E-2</c:v>
                </c:pt>
                <c:pt idx="12">
                  <c:v>0.5</c:v>
                </c:pt>
                <c:pt idx="13">
                  <c:v>0.1111111111111111</c:v>
                </c:pt>
                <c:pt idx="14">
                  <c:v>0.15625</c:v>
                </c:pt>
                <c:pt idx="15">
                  <c:v>0</c:v>
                </c:pt>
                <c:pt idx="16">
                  <c:v>0</c:v>
                </c:pt>
                <c:pt idx="17">
                  <c:v>0.04</c:v>
                </c:pt>
                <c:pt idx="18">
                  <c:v>0</c:v>
                </c:pt>
                <c:pt idx="19">
                  <c:v>0.27777777777777779</c:v>
                </c:pt>
              </c:numCache>
            </c:numRef>
          </c:yVal>
          <c:smooth val="0"/>
          <c:extLst>
            <c:ext xmlns:c16="http://schemas.microsoft.com/office/drawing/2014/chart" uri="{C3380CC4-5D6E-409C-BE32-E72D297353CC}">
              <c16:uniqueId val="{00000001-E01A-BA4C-80AB-A7B7C700322F}"/>
            </c:ext>
          </c:extLst>
        </c:ser>
        <c:ser>
          <c:idx val="8"/>
          <c:order val="2"/>
          <c:tx>
            <c:strRef>
              <c:f>analysis!$GI$67</c:f>
              <c:strCache>
                <c:ptCount val="1"/>
                <c:pt idx="0">
                  <c:v>bposd</c:v>
                </c:pt>
              </c:strCache>
            </c:strRef>
          </c:tx>
          <c:spPr>
            <a:ln w="38100" cap="rnd">
              <a:noFill/>
              <a:round/>
            </a:ln>
            <a:effectLst/>
          </c:spPr>
          <c:marker>
            <c:symbol val="triangle"/>
            <c:size val="5"/>
            <c:spPr>
              <a:solidFill>
                <a:schemeClr val="accent3">
                  <a:lumMod val="60000"/>
                </a:schemeClr>
              </a:solidFill>
              <a:ln w="9525">
                <a:solidFill>
                  <a:schemeClr val="accent3">
                    <a:lumMod val="60000"/>
                  </a:schemeClr>
                </a:solidFill>
              </a:ln>
              <a:effectLst/>
            </c:spPr>
          </c:marker>
          <c:xVal>
            <c:numRef>
              <c:f>analysis!$FZ$68:$FZ$200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analysis!$GI$68:$GI$200</c:f>
              <c:numCache>
                <c:formatCode>0.00</c:formatCode>
                <c:ptCount val="133"/>
                <c:pt idx="0">
                  <c:v>0</c:v>
                </c:pt>
                <c:pt idx="1">
                  <c:v>0</c:v>
                </c:pt>
                <c:pt idx="2">
                  <c:v>0</c:v>
                </c:pt>
                <c:pt idx="3">
                  <c:v>0</c:v>
                </c:pt>
                <c:pt idx="4">
                  <c:v>0</c:v>
                </c:pt>
                <c:pt idx="5">
                  <c:v>0</c:v>
                </c:pt>
                <c:pt idx="6">
                  <c:v>0.23529411764705882</c:v>
                </c:pt>
                <c:pt idx="7">
                  <c:v>0</c:v>
                </c:pt>
                <c:pt idx="8">
                  <c:v>0</c:v>
                </c:pt>
                <c:pt idx="9">
                  <c:v>0.15</c:v>
                </c:pt>
                <c:pt idx="10">
                  <c:v>0.1875</c:v>
                </c:pt>
                <c:pt idx="11">
                  <c:v>0.59259259259259256</c:v>
                </c:pt>
                <c:pt idx="12">
                  <c:v>2.6111111111111112</c:v>
                </c:pt>
                <c:pt idx="13">
                  <c:v>1.1111111111111112</c:v>
                </c:pt>
                <c:pt idx="14">
                  <c:v>1.46875</c:v>
                </c:pt>
                <c:pt idx="15">
                  <c:v>0.33333333333333331</c:v>
                </c:pt>
                <c:pt idx="16">
                  <c:v>1.46875</c:v>
                </c:pt>
                <c:pt idx="17">
                  <c:v>0.36</c:v>
                </c:pt>
                <c:pt idx="18">
                  <c:v>0.72222222222222221</c:v>
                </c:pt>
                <c:pt idx="19">
                  <c:v>1.1111111111111112</c:v>
                </c:pt>
              </c:numCache>
            </c:numRef>
          </c:yVal>
          <c:smooth val="0"/>
          <c:extLst>
            <c:ext xmlns:c16="http://schemas.microsoft.com/office/drawing/2014/chart" uri="{C3380CC4-5D6E-409C-BE32-E72D297353CC}">
              <c16:uniqueId val="{00000002-E01A-BA4C-80AB-A7B7C700322F}"/>
            </c:ext>
          </c:extLst>
        </c:ser>
        <c:ser>
          <c:idx val="9"/>
          <c:order val="3"/>
          <c:tx>
            <c:strRef>
              <c:f>analysis!$GJ$67</c:f>
              <c:strCache>
                <c:ptCount val="1"/>
                <c:pt idx="0">
                  <c:v>GEStim</c:v>
                </c:pt>
              </c:strCache>
            </c:strRef>
          </c:tx>
          <c:spPr>
            <a:ln w="38100" cap="rnd">
              <a:noFill/>
              <a:round/>
            </a:ln>
            <a:effectLst/>
          </c:spPr>
          <c:marker>
            <c:symbol val="x"/>
            <c:size val="5"/>
            <c:spPr>
              <a:noFill/>
              <a:ln w="9525">
                <a:solidFill>
                  <a:schemeClr val="accent4">
                    <a:lumMod val="60000"/>
                  </a:schemeClr>
                </a:solidFill>
              </a:ln>
              <a:effectLst/>
            </c:spPr>
          </c:marker>
          <c:xVal>
            <c:numRef>
              <c:f>analysis!$FZ$68:$FZ$200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analysis!$GJ$68:$GJ$200</c:f>
              <c:numCache>
                <c:formatCode>0.00</c:formatCode>
                <c:ptCount val="13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3-E01A-BA4C-80AB-A7B7C700322F}"/>
            </c:ext>
          </c:extLst>
        </c:ser>
        <c:ser>
          <c:idx val="10"/>
          <c:order val="4"/>
          <c:tx>
            <c:strRef>
              <c:f>analysis!$GK$67</c:f>
              <c:strCache>
                <c:ptCount val="1"/>
                <c:pt idx="0">
                  <c:v>CCStim</c:v>
                </c:pt>
              </c:strCache>
            </c:strRef>
          </c:tx>
          <c:spPr>
            <a:ln w="38100" cap="rnd">
              <a:noFill/>
              <a:round/>
            </a:ln>
            <a:effectLst/>
          </c:spPr>
          <c:marker>
            <c:symbol val="dot"/>
            <c:size val="5"/>
            <c:spPr>
              <a:solidFill>
                <a:schemeClr val="accent5">
                  <a:lumMod val="60000"/>
                </a:schemeClr>
              </a:solidFill>
              <a:ln w="9525">
                <a:solidFill>
                  <a:schemeClr val="accent5">
                    <a:lumMod val="60000"/>
                  </a:schemeClr>
                </a:solidFill>
              </a:ln>
              <a:effectLst/>
            </c:spPr>
          </c:marker>
          <c:xVal>
            <c:numRef>
              <c:f>analysis!$FZ$68:$FZ$200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analysis!$GK$68:$GK$200</c:f>
              <c:numCache>
                <c:formatCode>0.00</c:formatCode>
                <c:ptCount val="133"/>
                <c:pt idx="0">
                  <c:v>#N/A</c:v>
                </c:pt>
                <c:pt idx="1">
                  <c:v>#N/A</c:v>
                </c:pt>
                <c:pt idx="2">
                  <c:v>#N/A</c:v>
                </c:pt>
                <c:pt idx="3">
                  <c:v>#N/A</c:v>
                </c:pt>
                <c:pt idx="4">
                  <c:v>#N/A</c:v>
                </c:pt>
                <c:pt idx="5">
                  <c:v>#N/A</c:v>
                </c:pt>
                <c:pt idx="6">
                  <c:v>#N/A</c:v>
                </c:pt>
                <c:pt idx="7">
                  <c:v>0.2</c:v>
                </c:pt>
                <c:pt idx="8">
                  <c:v>#N/A</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4-E01A-BA4C-80AB-A7B7C700322F}"/>
            </c:ext>
          </c:extLst>
        </c:ser>
        <c:ser>
          <c:idx val="11"/>
          <c:order val="5"/>
          <c:tx>
            <c:strRef>
              <c:f>analysis!$GL$67</c:f>
              <c:strCache>
                <c:ptCount val="1"/>
                <c:pt idx="0">
                  <c:v>UEStim</c:v>
                </c:pt>
              </c:strCache>
            </c:strRef>
          </c:tx>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analysis!$FZ$68:$FZ$200</c:f>
              <c:numCache>
                <c:formatCode>General</c:formatCode>
                <c:ptCount val="133"/>
                <c:pt idx="0">
                  <c:v>72</c:v>
                </c:pt>
                <c:pt idx="1">
                  <c:v>90</c:v>
                </c:pt>
                <c:pt idx="2">
                  <c:v>108</c:v>
                </c:pt>
                <c:pt idx="3">
                  <c:v>144</c:v>
                </c:pt>
                <c:pt idx="4">
                  <c:v>288</c:v>
                </c:pt>
                <c:pt idx="5">
                  <c:v>360</c:v>
                </c:pt>
                <c:pt idx="6">
                  <c:v>756</c:v>
                </c:pt>
                <c:pt idx="7">
                  <c:v>216</c:v>
                </c:pt>
                <c:pt idx="8">
                  <c:v>576</c:v>
                </c:pt>
                <c:pt idx="9">
                  <c:v>864</c:v>
                </c:pt>
                <c:pt idx="10">
                  <c:v>648</c:v>
                </c:pt>
                <c:pt idx="11">
                  <c:v>1080</c:v>
                </c:pt>
                <c:pt idx="12">
                  <c:v>1296</c:v>
                </c:pt>
                <c:pt idx="13">
                  <c:v>1152</c:v>
                </c:pt>
                <c:pt idx="14">
                  <c:v>1728</c:v>
                </c:pt>
                <c:pt idx="15">
                  <c:v>2016</c:v>
                </c:pt>
                <c:pt idx="16">
                  <c:v>2160</c:v>
                </c:pt>
                <c:pt idx="17">
                  <c:v>2520</c:v>
                </c:pt>
                <c:pt idx="18">
                  <c:v>2592</c:v>
                </c:pt>
                <c:pt idx="19">
                  <c:v>3024</c:v>
                </c:pt>
              </c:numCache>
            </c:numRef>
          </c:xVal>
          <c:yVal>
            <c:numRef>
              <c:f>analysis!$GL$68:$GL$200</c:f>
              <c:numCache>
                <c:formatCode>0.00</c:formatCode>
                <c:ptCount val="133"/>
                <c:pt idx="0">
                  <c:v>0</c:v>
                </c:pt>
                <c:pt idx="1">
                  <c:v>0</c:v>
                </c:pt>
                <c:pt idx="2">
                  <c:v>0</c:v>
                </c:pt>
                <c:pt idx="3">
                  <c:v>0</c:v>
                </c:pt>
                <c:pt idx="4">
                  <c:v>0</c:v>
                </c:pt>
                <c:pt idx="5">
                  <c:v>0</c:v>
                </c:pt>
                <c:pt idx="6">
                  <c:v>#N/A</c:v>
                </c:pt>
                <c:pt idx="7">
                  <c:v>0</c:v>
                </c:pt>
                <c:pt idx="8">
                  <c:v>8.3333333333333329E-2</c:v>
                </c:pt>
                <c:pt idx="9">
                  <c:v>#N/A</c:v>
                </c:pt>
                <c:pt idx="10">
                  <c:v>#N/A</c:v>
                </c:pt>
                <c:pt idx="11">
                  <c:v>#N/A</c:v>
                </c:pt>
                <c:pt idx="12">
                  <c:v>#N/A</c:v>
                </c:pt>
                <c:pt idx="13">
                  <c:v>#N/A</c:v>
                </c:pt>
                <c:pt idx="14">
                  <c:v>#N/A</c:v>
                </c:pt>
                <c:pt idx="15">
                  <c:v>#N/A</c:v>
                </c:pt>
                <c:pt idx="16">
                  <c:v>#N/A</c:v>
                </c:pt>
                <c:pt idx="17">
                  <c:v>#N/A</c:v>
                </c:pt>
                <c:pt idx="18">
                  <c:v>#N/A</c:v>
                </c:pt>
                <c:pt idx="19">
                  <c:v>#N/A</c:v>
                </c:pt>
              </c:numCache>
            </c:numRef>
          </c:yVal>
          <c:smooth val="0"/>
          <c:extLst>
            <c:ext xmlns:c16="http://schemas.microsoft.com/office/drawing/2014/chart" uri="{C3380CC4-5D6E-409C-BE32-E72D297353CC}">
              <c16:uniqueId val="{00000005-E01A-BA4C-80AB-A7B7C700322F}"/>
            </c:ext>
          </c:extLst>
        </c:ser>
        <c:dLbls>
          <c:showLegendKey val="0"/>
          <c:showVal val="0"/>
          <c:showCatName val="0"/>
          <c:showSerName val="0"/>
          <c:showPercent val="0"/>
          <c:showBubbleSize val="0"/>
        </c:dLbls>
        <c:axId val="923162368"/>
        <c:axId val="923164080"/>
      </c:scatterChart>
      <c:valAx>
        <c:axId val="92316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b="0" i="0" u="none" strike="noStrike" kern="1200" baseline="0">
                    <a:solidFill>
                      <a:sysClr val="windowText" lastClr="000000">
                        <a:lumMod val="65000"/>
                        <a:lumOff val="35000"/>
                      </a:sysClr>
                    </a:solidFill>
                  </a:rPr>
                  <a:t>Code length</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4080"/>
        <c:crosses val="autoZero"/>
        <c:crossBetween val="midCat"/>
      </c:valAx>
      <c:valAx>
        <c:axId val="923164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GB" sz="1200"/>
                  <a:t>Delta</a:t>
                </a:r>
                <a:r>
                  <a:rPr lang="en-GB" sz="1200" baseline="0"/>
                  <a:t> d / d</a:t>
                </a:r>
                <a:endParaRPr lang="en-GB" sz="1200"/>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162368"/>
        <c:crosses val="autoZero"/>
        <c:crossBetween val="midCat"/>
      </c:valAx>
      <c:spPr>
        <a:noFill/>
        <a:ln>
          <a:noFill/>
        </a:ln>
        <a:effectLst/>
      </c:spPr>
    </c:plotArea>
    <c:legend>
      <c:legendPos val="l"/>
      <c:layout>
        <c:manualLayout>
          <c:xMode val="edge"/>
          <c:yMode val="edge"/>
          <c:x val="0.21884888054473614"/>
          <c:y val="4.2967519685039368E-2"/>
          <c:w val="0.22845854232633733"/>
          <c:h val="0.3515649606299212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12700</xdr:colOff>
      <xdr:row>21</xdr:row>
      <xdr:rowOff>50800</xdr:rowOff>
    </xdr:from>
    <xdr:to>
      <xdr:col>2</xdr:col>
      <xdr:colOff>825500</xdr:colOff>
      <xdr:row>39</xdr:row>
      <xdr:rowOff>50800</xdr:rowOff>
    </xdr:to>
    <xdr:graphicFrame macro="">
      <xdr:nvGraphicFramePr>
        <xdr:cNvPr id="2" name="Chart 1">
          <a:extLst>
            <a:ext uri="{FF2B5EF4-FFF2-40B4-BE49-F238E27FC236}">
              <a16:creationId xmlns:a16="http://schemas.microsoft.com/office/drawing/2014/main" id="{3E3B8C57-1E82-6F48-B1C7-EB9DE07DC6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21</xdr:row>
      <xdr:rowOff>0</xdr:rowOff>
    </xdr:from>
    <xdr:to>
      <xdr:col>8</xdr:col>
      <xdr:colOff>228600</xdr:colOff>
      <xdr:row>39</xdr:row>
      <xdr:rowOff>0</xdr:rowOff>
    </xdr:to>
    <xdr:graphicFrame macro="">
      <xdr:nvGraphicFramePr>
        <xdr:cNvPr id="3" name="Chart 2">
          <a:extLst>
            <a:ext uri="{FF2B5EF4-FFF2-40B4-BE49-F238E27FC236}">
              <a16:creationId xmlns:a16="http://schemas.microsoft.com/office/drawing/2014/main" id="{643B5389-92B0-8348-BA18-EF43AF634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21</xdr:row>
      <xdr:rowOff>0</xdr:rowOff>
    </xdr:from>
    <xdr:to>
      <xdr:col>13</xdr:col>
      <xdr:colOff>609600</xdr:colOff>
      <xdr:row>39</xdr:row>
      <xdr:rowOff>0</xdr:rowOff>
    </xdr:to>
    <xdr:graphicFrame macro="">
      <xdr:nvGraphicFramePr>
        <xdr:cNvPr id="4" name="Chart 3">
          <a:extLst>
            <a:ext uri="{FF2B5EF4-FFF2-40B4-BE49-F238E27FC236}">
              <a16:creationId xmlns:a16="http://schemas.microsoft.com/office/drawing/2014/main" id="{D71FAC8B-D9CB-2B4F-8CB1-EBF3854321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21</xdr:row>
      <xdr:rowOff>0</xdr:rowOff>
    </xdr:from>
    <xdr:to>
      <xdr:col>19</xdr:col>
      <xdr:colOff>203200</xdr:colOff>
      <xdr:row>39</xdr:row>
      <xdr:rowOff>0</xdr:rowOff>
    </xdr:to>
    <xdr:graphicFrame macro="">
      <xdr:nvGraphicFramePr>
        <xdr:cNvPr id="5" name="Chart 4">
          <a:extLst>
            <a:ext uri="{FF2B5EF4-FFF2-40B4-BE49-F238E27FC236}">
              <a16:creationId xmlns:a16="http://schemas.microsoft.com/office/drawing/2014/main" id="{37BCC37E-2192-134A-80B9-2B86AD552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70CB3-5AAD-0D48-8C02-92F21DA8C107}">
  <dimension ref="A1:HN190"/>
  <sheetViews>
    <sheetView tabSelected="1" zoomScaleNormal="100" workbookViewId="0">
      <selection activeCell="D10" sqref="D10"/>
    </sheetView>
  </sheetViews>
  <sheetFormatPr baseColWidth="10" defaultColWidth="11" defaultRowHeight="16" x14ac:dyDescent="0.2"/>
  <cols>
    <col min="1" max="1" width="27.1640625" bestFit="1" customWidth="1"/>
    <col min="2" max="2" width="10.1640625" bestFit="1" customWidth="1"/>
    <col min="3" max="3" width="12.33203125" bestFit="1" customWidth="1"/>
    <col min="4" max="4" width="9.33203125" bestFit="1" customWidth="1"/>
    <col min="5" max="5" width="14" bestFit="1" customWidth="1"/>
    <col min="6" max="6" width="9" bestFit="1" customWidth="1"/>
    <col min="7" max="7" width="8.6640625" bestFit="1" customWidth="1"/>
    <col min="8" max="8" width="13.33203125" bestFit="1" customWidth="1"/>
    <col min="9" max="9" width="20" customWidth="1"/>
    <col min="10" max="10" width="8.6640625" bestFit="1" customWidth="1"/>
    <col min="11" max="11" width="6.1640625" customWidth="1"/>
    <col min="12" max="12" width="13" bestFit="1" customWidth="1"/>
    <col min="13" max="15" width="12.1640625" bestFit="1" customWidth="1"/>
    <col min="16" max="16" width="11.1640625" bestFit="1" customWidth="1"/>
    <col min="17" max="17" width="11" bestFit="1" customWidth="1"/>
    <col min="18" max="20" width="11" customWidth="1"/>
    <col min="21" max="21" width="9.83203125" customWidth="1"/>
    <col min="22" max="22" width="7" bestFit="1" customWidth="1"/>
    <col min="23" max="23" width="7.6640625" bestFit="1" customWidth="1"/>
    <col min="24" max="24" width="6.1640625" bestFit="1" customWidth="1"/>
    <col min="25" max="25" width="8.5" bestFit="1" customWidth="1"/>
    <col min="26" max="26" width="8.6640625" bestFit="1" customWidth="1"/>
    <col min="27" max="27" width="7.33203125" bestFit="1" customWidth="1"/>
    <col min="28" max="28" width="6.6640625" bestFit="1" customWidth="1"/>
    <col min="29" max="29" width="9" bestFit="1" customWidth="1"/>
    <col min="30" max="30" width="9.33203125" bestFit="1" customWidth="1"/>
    <col min="31" max="31" width="12.33203125" bestFit="1" customWidth="1"/>
    <col min="32" max="32" width="7.1640625" bestFit="1" customWidth="1"/>
    <col min="33" max="34" width="11.5" bestFit="1" customWidth="1"/>
    <col min="35" max="37" width="11.5" customWidth="1"/>
    <col min="39" max="50" width="7.83203125" customWidth="1"/>
    <col min="51" max="51" width="11.5" bestFit="1" customWidth="1"/>
    <col min="52" max="54" width="11.5" customWidth="1"/>
    <col min="55" max="55" width="7.83203125" customWidth="1"/>
    <col min="56" max="56" width="22.1640625" bestFit="1" customWidth="1"/>
    <col min="57" max="57" width="7.6640625" bestFit="1" customWidth="1"/>
    <col min="58" max="58" width="6.1640625" bestFit="1" customWidth="1"/>
    <col min="59" max="59" width="8.5" bestFit="1" customWidth="1"/>
    <col min="60" max="60" width="8.6640625" bestFit="1" customWidth="1"/>
    <col min="61" max="61" width="7.33203125" bestFit="1" customWidth="1"/>
    <col min="62" max="62" width="6.6640625" bestFit="1" customWidth="1"/>
    <col min="63" max="63" width="9" bestFit="1" customWidth="1"/>
    <col min="64" max="64" width="9.33203125" bestFit="1" customWidth="1"/>
    <col min="65" max="65" width="12.33203125" bestFit="1" customWidth="1"/>
    <col min="66" max="66" width="7.1640625" bestFit="1" customWidth="1"/>
    <col min="67" max="68" width="11.5" bestFit="1" customWidth="1"/>
    <col min="69" max="71" width="11.5" customWidth="1"/>
    <col min="73" max="73" width="7" bestFit="1" customWidth="1"/>
    <col min="74" max="74" width="7.6640625" bestFit="1" customWidth="1"/>
    <col min="75" max="75" width="6.1640625" bestFit="1" customWidth="1"/>
    <col min="76" max="76" width="8.5" bestFit="1" customWidth="1"/>
    <col min="77" max="77" width="8.6640625" bestFit="1" customWidth="1"/>
    <col min="78" max="78" width="7.33203125" bestFit="1" customWidth="1"/>
    <col min="79" max="79" width="6.6640625" bestFit="1" customWidth="1"/>
    <col min="80" max="80" width="9" bestFit="1" customWidth="1"/>
    <col min="81" max="81" width="9.33203125" bestFit="1" customWidth="1"/>
    <col min="82" max="82" width="12.33203125" bestFit="1" customWidth="1"/>
    <col min="83" max="83" width="7.1640625" bestFit="1" customWidth="1"/>
    <col min="84" max="85" width="11.5" bestFit="1" customWidth="1"/>
    <col min="86" max="88" width="11.5" customWidth="1"/>
    <col min="90" max="90" width="8.5" bestFit="1" customWidth="1"/>
    <col min="91" max="91" width="7.6640625" bestFit="1" customWidth="1"/>
    <col min="92" max="92" width="6.1640625" bestFit="1" customWidth="1"/>
    <col min="93" max="93" width="8.5" bestFit="1" customWidth="1"/>
    <col min="94" max="94" width="8.6640625" bestFit="1" customWidth="1"/>
    <col min="95" max="95" width="7.33203125" bestFit="1" customWidth="1"/>
    <col min="96" max="96" width="6.6640625" bestFit="1" customWidth="1"/>
    <col min="97" max="97" width="9" bestFit="1" customWidth="1"/>
    <col min="98" max="98" width="9.33203125" bestFit="1" customWidth="1"/>
    <col min="99" max="99" width="12.33203125" bestFit="1" customWidth="1"/>
    <col min="100" max="100" width="7.1640625" bestFit="1" customWidth="1"/>
    <col min="101" max="102" width="11.5" bestFit="1" customWidth="1"/>
    <col min="103" max="105" width="11.5" customWidth="1"/>
    <col min="107" max="107" width="20.6640625" bestFit="1" customWidth="1"/>
    <col min="108" max="108" width="7.6640625" bestFit="1" customWidth="1"/>
    <col min="109" max="111" width="12.1640625" bestFit="1" customWidth="1"/>
    <col min="112" max="112" width="7.33203125" bestFit="1" customWidth="1"/>
    <col min="113" max="115" width="12.1640625" bestFit="1" customWidth="1"/>
    <col min="116" max="116" width="12.33203125" bestFit="1" customWidth="1"/>
    <col min="117" max="119" width="12.1640625" bestFit="1" customWidth="1"/>
    <col min="120" max="122" width="12.1640625" customWidth="1"/>
    <col min="124" max="124" width="20.6640625" bestFit="1" customWidth="1"/>
    <col min="125" max="125" width="7.6640625" bestFit="1" customWidth="1"/>
    <col min="126" max="128" width="12.1640625" bestFit="1" customWidth="1"/>
    <col min="129" max="129" width="7.33203125" bestFit="1" customWidth="1"/>
    <col min="130" max="132" width="12.1640625" bestFit="1" customWidth="1"/>
    <col min="133" max="133" width="12.33203125" bestFit="1" customWidth="1"/>
    <col min="134" max="136" width="12.1640625" bestFit="1" customWidth="1"/>
    <col min="137" max="139" width="12.1640625" customWidth="1"/>
    <col min="141" max="141" width="7" bestFit="1" customWidth="1"/>
    <col min="142" max="142" width="7.6640625" bestFit="1" customWidth="1"/>
    <col min="143" max="143" width="6.1640625" bestFit="1" customWidth="1"/>
    <col min="144" max="144" width="8.5" bestFit="1" customWidth="1"/>
    <col min="145" max="145" width="8.6640625" bestFit="1" customWidth="1"/>
    <col min="146" max="146" width="7.33203125" bestFit="1" customWidth="1"/>
    <col min="147" max="147" width="6.6640625" bestFit="1" customWidth="1"/>
    <col min="148" max="148" width="9" bestFit="1" customWidth="1"/>
    <col min="149" max="149" width="9.33203125" bestFit="1" customWidth="1"/>
    <col min="150" max="150" width="12.33203125" bestFit="1" customWidth="1"/>
    <col min="151" max="151" width="7.1640625" bestFit="1" customWidth="1"/>
    <col min="152" max="153" width="11.5" bestFit="1" customWidth="1"/>
    <col min="154" max="156" width="11.5" customWidth="1"/>
    <col min="158" max="158" width="7" bestFit="1" customWidth="1"/>
    <col min="159" max="159" width="7.6640625" bestFit="1" customWidth="1"/>
    <col min="160" max="160" width="6.1640625" bestFit="1" customWidth="1"/>
    <col min="161" max="161" width="8.5" bestFit="1" customWidth="1"/>
    <col min="162" max="162" width="8.6640625" bestFit="1" customWidth="1"/>
    <col min="163" max="163" width="7.33203125" bestFit="1" customWidth="1"/>
    <col min="164" max="164" width="6.6640625" bestFit="1" customWidth="1"/>
    <col min="165" max="165" width="9" bestFit="1" customWidth="1"/>
    <col min="166" max="166" width="9.33203125" bestFit="1" customWidth="1"/>
    <col min="167" max="167" width="12.33203125" bestFit="1" customWidth="1"/>
    <col min="168" max="168" width="7.1640625" bestFit="1" customWidth="1"/>
    <col min="169" max="170" width="11.5" bestFit="1" customWidth="1"/>
    <col min="171" max="173" width="11.5" customWidth="1"/>
    <col min="176" max="176" width="12.1640625" bestFit="1" customWidth="1"/>
    <col min="182" max="182" width="4.1640625" bestFit="1" customWidth="1"/>
    <col min="183" max="183" width="6.6640625" bestFit="1" customWidth="1"/>
    <col min="184" max="184" width="9" bestFit="1" customWidth="1"/>
    <col min="185" max="185" width="7" bestFit="1" customWidth="1"/>
    <col min="186" max="186" width="8.5" bestFit="1" customWidth="1"/>
    <col min="187" max="187" width="7.5" bestFit="1" customWidth="1"/>
    <col min="188" max="188" width="8.6640625" bestFit="1" customWidth="1"/>
    <col min="189" max="189" width="12.33203125" bestFit="1" customWidth="1"/>
    <col min="190" max="190" width="9.33203125" bestFit="1" customWidth="1"/>
    <col min="191" max="191" width="6.1640625" bestFit="1" customWidth="1"/>
    <col min="192" max="192" width="7.33203125" bestFit="1" customWidth="1"/>
    <col min="193" max="193" width="7.6640625" bestFit="1" customWidth="1"/>
    <col min="194" max="194" width="7.1640625" bestFit="1" customWidth="1"/>
    <col min="195" max="195" width="7.1640625" customWidth="1"/>
    <col min="196" max="196" width="6.6640625" customWidth="1"/>
    <col min="197" max="197" width="7.6640625" bestFit="1" customWidth="1"/>
    <col min="198" max="198" width="9" bestFit="1" customWidth="1"/>
    <col min="199" max="199" width="7.6640625" bestFit="1" customWidth="1"/>
    <col min="200" max="200" width="8.5" bestFit="1" customWidth="1"/>
    <col min="201" max="201" width="7.6640625" bestFit="1" customWidth="1"/>
    <col min="202" max="202" width="8.6640625" bestFit="1" customWidth="1"/>
    <col min="203" max="203" width="12.33203125" bestFit="1" customWidth="1"/>
    <col min="204" max="204" width="9.33203125" bestFit="1" customWidth="1"/>
    <col min="205" max="208" width="7.6640625" bestFit="1" customWidth="1"/>
    <col min="210" max="210" width="4.1640625" bestFit="1" customWidth="1"/>
    <col min="211" max="211" width="7.1640625" bestFit="1" customWidth="1"/>
    <col min="212" max="212" width="9" bestFit="1" customWidth="1"/>
    <col min="213" max="213" width="7.1640625" bestFit="1" customWidth="1"/>
    <col min="214" max="214" width="8.5" bestFit="1" customWidth="1"/>
    <col min="215" max="215" width="7.5" bestFit="1" customWidth="1"/>
    <col min="216" max="216" width="8.6640625" bestFit="1" customWidth="1"/>
    <col min="217" max="217" width="12.33203125" bestFit="1" customWidth="1"/>
    <col min="218" max="218" width="9.33203125" bestFit="1" customWidth="1"/>
    <col min="219" max="219" width="6.1640625" bestFit="1" customWidth="1"/>
    <col min="220" max="220" width="7.33203125" bestFit="1" customWidth="1"/>
    <col min="221" max="221" width="7.6640625" bestFit="1" customWidth="1"/>
    <col min="222" max="222" width="7.1640625" bestFit="1" customWidth="1"/>
  </cols>
  <sheetData>
    <row r="1" spans="1:26" ht="22" x14ac:dyDescent="0.3">
      <c r="A1" s="1" t="str" cm="1">
        <f t="array" aca="1" ref="A1" ca="1">MID(CELL("filename"),SEARCH("[",CELL("filename"))+1,SEARCH("]",CELL("filename"))-SEARCH("[",CELL("filename"))-1)</f>
        <v>07 bivariate_bicycle.xlsx</v>
      </c>
      <c r="B1" s="1"/>
      <c r="U1" s="2"/>
      <c r="V1" s="2"/>
    </row>
    <row r="2" spans="1:26" x14ac:dyDescent="0.2">
      <c r="Y2" s="3"/>
      <c r="Z2" s="4"/>
    </row>
    <row r="3" spans="1:26" x14ac:dyDescent="0.2">
      <c r="A3" s="2" t="s">
        <v>0</v>
      </c>
      <c r="B3" s="19">
        <f ca="1">COUNT(AB:AB)</f>
        <v>20</v>
      </c>
      <c r="C3" s="2" t="s">
        <v>1</v>
      </c>
      <c r="D3" s="19">
        <f ca="1">MAX(B68:B300)</f>
        <v>3024</v>
      </c>
      <c r="E3" s="2" t="s">
        <v>2</v>
      </c>
      <c r="F3" s="19">
        <f ca="1">MIN(B68:B300)</f>
        <v>72</v>
      </c>
      <c r="G3" s="5" t="s">
        <v>631</v>
      </c>
      <c r="H3">
        <f ca="1">SUM(C68:C300)</f>
        <v>686</v>
      </c>
      <c r="M3" s="5" t="s">
        <v>3</v>
      </c>
      <c r="N3">
        <f>8*60*60</f>
        <v>28800</v>
      </c>
      <c r="Y3" s="3"/>
      <c r="Z3" s="4"/>
    </row>
    <row r="4" spans="1:26" x14ac:dyDescent="0.2">
      <c r="M4" t="s">
        <v>4</v>
      </c>
      <c r="N4">
        <f ca="1">D3</f>
        <v>3024</v>
      </c>
      <c r="O4" t="s">
        <v>5</v>
      </c>
      <c r="P4">
        <f ca="1">COUNTIFS(B68:B195,"&lt;="&amp;$N$4)</f>
        <v>20</v>
      </c>
      <c r="Y4" s="3"/>
      <c r="Z4" s="4"/>
    </row>
    <row r="5" spans="1:26" x14ac:dyDescent="0.2">
      <c r="A5" s="15" t="s">
        <v>6</v>
      </c>
      <c r="M5" s="15" t="s">
        <v>7</v>
      </c>
      <c r="Y5" s="3"/>
      <c r="Z5" s="4"/>
    </row>
    <row r="6" spans="1:26" x14ac:dyDescent="0.2">
      <c r="B6" s="5" t="s">
        <v>8</v>
      </c>
      <c r="C6" s="5" t="s">
        <v>9</v>
      </c>
      <c r="D6" s="5" t="s">
        <v>10</v>
      </c>
      <c r="E6" s="5" t="s">
        <v>11</v>
      </c>
      <c r="F6" s="5" t="s">
        <v>12</v>
      </c>
      <c r="G6" s="5" t="s">
        <v>13</v>
      </c>
      <c r="H6" s="5" t="s">
        <v>14</v>
      </c>
      <c r="I6" s="5"/>
      <c r="N6" s="5" t="s">
        <v>15</v>
      </c>
      <c r="O6" s="5" t="s">
        <v>16</v>
      </c>
      <c r="P6" s="5" t="s">
        <v>17</v>
      </c>
      <c r="Q6" s="5" t="s">
        <v>18</v>
      </c>
      <c r="R6" s="5" t="s">
        <v>19</v>
      </c>
      <c r="S6" s="5"/>
      <c r="T6" s="5"/>
      <c r="U6" s="5"/>
      <c r="Y6" s="3"/>
      <c r="Z6" s="4"/>
    </row>
    <row r="7" spans="1:26" x14ac:dyDescent="0.2">
      <c r="A7" s="5" t="s">
        <v>20</v>
      </c>
      <c r="B7" s="16">
        <f ca="1">SUM(BI:BI)</f>
        <v>20</v>
      </c>
      <c r="C7" s="16">
        <f t="shared" ref="C7:H7" ca="1" si="0">SUM(BJ:BJ)</f>
        <v>20</v>
      </c>
      <c r="D7" s="16">
        <f t="shared" ca="1" si="0"/>
        <v>20</v>
      </c>
      <c r="E7" s="16">
        <f t="shared" ca="1" si="0"/>
        <v>20</v>
      </c>
      <c r="F7" s="16">
        <f t="shared" ca="1" si="0"/>
        <v>0</v>
      </c>
      <c r="G7" s="16">
        <f t="shared" ca="1" si="0"/>
        <v>1</v>
      </c>
      <c r="H7" s="16">
        <f t="shared" ca="1" si="0"/>
        <v>8</v>
      </c>
      <c r="I7" s="16"/>
      <c r="J7" s="17" t="s">
        <v>21</v>
      </c>
      <c r="K7" s="12"/>
      <c r="M7" s="5" t="s">
        <v>20</v>
      </c>
      <c r="N7">
        <f ca="1">SUMIFS(BD:BD,$B:$B,"&lt;="&amp;$N$4)</f>
        <v>20</v>
      </c>
      <c r="O7">
        <f t="shared" ref="O7:R7" ca="1" si="1">SUMIFS(BE:BE,$B:$B,"&lt;="&amp;$N$4)</f>
        <v>20</v>
      </c>
      <c r="P7">
        <f t="shared" ca="1" si="1"/>
        <v>20</v>
      </c>
      <c r="Q7">
        <f t="shared" ca="1" si="1"/>
        <v>5</v>
      </c>
      <c r="R7">
        <f t="shared" ca="1" si="1"/>
        <v>20</v>
      </c>
      <c r="S7" s="17" t="s">
        <v>21</v>
      </c>
      <c r="Y7" s="3"/>
      <c r="Z7" s="4"/>
    </row>
    <row r="8" spans="1:26" x14ac:dyDescent="0.2">
      <c r="A8" s="5" t="s">
        <v>22</v>
      </c>
      <c r="B8" s="20">
        <f ca="1">$B$3-B7</f>
        <v>0</v>
      </c>
      <c r="C8" s="20">
        <f t="shared" ref="C8:H8" ca="1" si="2">$B$3-C7</f>
        <v>0</v>
      </c>
      <c r="D8" s="20">
        <f t="shared" ca="1" si="2"/>
        <v>0</v>
      </c>
      <c r="E8" s="20">
        <f t="shared" ca="1" si="2"/>
        <v>0</v>
      </c>
      <c r="F8" s="20">
        <f t="shared" ca="1" si="2"/>
        <v>20</v>
      </c>
      <c r="G8" s="20">
        <f t="shared" ca="1" si="2"/>
        <v>19</v>
      </c>
      <c r="H8" s="20">
        <f t="shared" ca="1" si="2"/>
        <v>12</v>
      </c>
      <c r="I8" s="20"/>
      <c r="J8" s="17" t="s">
        <v>21</v>
      </c>
      <c r="M8" s="5" t="s">
        <v>23</v>
      </c>
      <c r="N8">
        <f ca="1">SUMIFS(AM:AM,$B:$B,"&lt;="&amp;$N$4)</f>
        <v>5</v>
      </c>
      <c r="O8">
        <f t="shared" ref="O8:R8" ca="1" si="3">SUMIFS(AN:AN,$B:$B,"&lt;="&amp;$N$4)</f>
        <v>5</v>
      </c>
      <c r="P8">
        <f t="shared" ca="1" si="3"/>
        <v>5</v>
      </c>
      <c r="Q8">
        <f t="shared" ca="1" si="3"/>
        <v>5</v>
      </c>
      <c r="R8">
        <f t="shared" ca="1" si="3"/>
        <v>1</v>
      </c>
      <c r="S8" s="17" t="s">
        <v>21</v>
      </c>
      <c r="Y8" s="3"/>
      <c r="Z8" s="4"/>
    </row>
    <row r="9" spans="1:26" x14ac:dyDescent="0.2">
      <c r="A9" s="5" t="s">
        <v>24</v>
      </c>
      <c r="B9" s="6">
        <f ca="1">SUM(CQ:CQ)</f>
        <v>8</v>
      </c>
      <c r="C9" s="6">
        <f t="shared" ref="C9:H9" ca="1" si="4">SUM(CR:CR)</f>
        <v>8</v>
      </c>
      <c r="D9" s="6">
        <f t="shared" ca="1" si="4"/>
        <v>13</v>
      </c>
      <c r="E9" s="6">
        <f t="shared" ca="1" si="4"/>
        <v>8</v>
      </c>
      <c r="F9" s="6">
        <f t="shared" ca="1" si="4"/>
        <v>0</v>
      </c>
      <c r="G9" s="6">
        <f t="shared" ca="1" si="4"/>
        <v>0</v>
      </c>
      <c r="H9" s="6">
        <f t="shared" ca="1" si="4"/>
        <v>7</v>
      </c>
      <c r="I9" s="6"/>
      <c r="J9" s="17" t="s">
        <v>25</v>
      </c>
      <c r="M9" s="5" t="s">
        <v>26</v>
      </c>
      <c r="N9">
        <f ca="1">N7-N8</f>
        <v>15</v>
      </c>
      <c r="O9">
        <f t="shared" ref="O9:R9" ca="1" si="5">O7-O8</f>
        <v>15</v>
      </c>
      <c r="P9">
        <f t="shared" ca="1" si="5"/>
        <v>15</v>
      </c>
      <c r="Q9">
        <f t="shared" ca="1" si="5"/>
        <v>0</v>
      </c>
      <c r="R9">
        <f t="shared" ca="1" si="5"/>
        <v>19</v>
      </c>
      <c r="S9" s="17" t="s">
        <v>21</v>
      </c>
      <c r="Y9" s="3"/>
      <c r="Z9" s="4"/>
    </row>
    <row r="10" spans="1:26" x14ac:dyDescent="0.2">
      <c r="A10" s="5" t="s">
        <v>27</v>
      </c>
      <c r="B10" s="3">
        <f ca="1">B9/$B$3</f>
        <v>0.4</v>
      </c>
      <c r="C10" s="3">
        <f t="shared" ref="C10:H10" ca="1" si="6">C9/$B$3</f>
        <v>0.4</v>
      </c>
      <c r="D10" s="3">
        <f t="shared" ca="1" si="6"/>
        <v>0.65</v>
      </c>
      <c r="E10" s="3">
        <f t="shared" ca="1" si="6"/>
        <v>0.4</v>
      </c>
      <c r="F10" s="3">
        <f t="shared" ca="1" si="6"/>
        <v>0</v>
      </c>
      <c r="G10" s="3">
        <f t="shared" ca="1" si="6"/>
        <v>0</v>
      </c>
      <c r="H10" s="3">
        <f t="shared" ca="1" si="6"/>
        <v>0.35</v>
      </c>
      <c r="I10" s="3"/>
      <c r="J10" s="17" t="s">
        <v>28</v>
      </c>
      <c r="M10" s="13" t="s">
        <v>22</v>
      </c>
      <c r="N10" s="20">
        <f ca="1">$P$4-N7</f>
        <v>0</v>
      </c>
      <c r="O10" s="20">
        <f t="shared" ref="O10:R10" ca="1" si="7">$P$4-O7</f>
        <v>0</v>
      </c>
      <c r="P10" s="20">
        <f t="shared" ca="1" si="7"/>
        <v>0</v>
      </c>
      <c r="Q10" s="20">
        <f t="shared" ca="1" si="7"/>
        <v>15</v>
      </c>
      <c r="R10" s="20">
        <f t="shared" ca="1" si="7"/>
        <v>0</v>
      </c>
      <c r="S10" s="17" t="s">
        <v>21</v>
      </c>
      <c r="T10" s="4"/>
      <c r="U10" s="4"/>
      <c r="Y10" s="3"/>
      <c r="Z10" s="4"/>
    </row>
    <row r="11" spans="1:26" x14ac:dyDescent="0.2">
      <c r="A11" s="5" t="s">
        <v>29</v>
      </c>
      <c r="B11" s="4">
        <f ca="1">SUM(DH:DH)</f>
        <v>760.48505107313315</v>
      </c>
      <c r="C11" s="4">
        <f t="shared" ref="C11:H11" ca="1" si="8">SUM(DI:DI)</f>
        <v>9609.5237175691673</v>
      </c>
      <c r="D11" s="4">
        <f t="shared" ca="1" si="8"/>
        <v>9391.9083306202447</v>
      </c>
      <c r="E11" s="4">
        <f t="shared" ca="1" si="8"/>
        <v>137155.22974667774</v>
      </c>
      <c r="F11" s="4">
        <f t="shared" ca="1" si="8"/>
        <v>2.9912581969983822</v>
      </c>
      <c r="G11" s="4">
        <f t="shared" ca="1" si="8"/>
        <v>3.2900919139938143</v>
      </c>
      <c r="H11" s="4">
        <f t="shared" ca="1" si="8"/>
        <v>3265.6170910270812</v>
      </c>
      <c r="I11" s="4"/>
      <c r="J11" s="18" t="s">
        <v>30</v>
      </c>
      <c r="M11" s="14" t="s">
        <v>24</v>
      </c>
      <c r="N11">
        <f ca="1">SUMIFS(CL:CL,$B:$B,"&lt;="&amp;$N$4)</f>
        <v>9</v>
      </c>
      <c r="O11">
        <f t="shared" ref="O11:R11" ca="1" si="9">SUMIFS(CM:CM,$B:$B,"&lt;="&amp;$N$4)</f>
        <v>12</v>
      </c>
      <c r="P11">
        <f t="shared" ca="1" si="9"/>
        <v>6</v>
      </c>
      <c r="Q11">
        <f t="shared" ca="1" si="9"/>
        <v>5</v>
      </c>
      <c r="R11">
        <f t="shared" ca="1" si="9"/>
        <v>9</v>
      </c>
      <c r="S11" s="17" t="s">
        <v>21</v>
      </c>
      <c r="T11" s="4"/>
      <c r="U11" s="4"/>
      <c r="Y11" s="3"/>
      <c r="Z11" s="4"/>
    </row>
    <row r="12" spans="1:26" x14ac:dyDescent="0.2">
      <c r="A12" s="5" t="s">
        <v>31</v>
      </c>
      <c r="B12" s="6"/>
      <c r="C12" s="6">
        <f t="shared" ref="C12:H12" ca="1" si="10">SUM(FH:FH)</f>
        <v>200000</v>
      </c>
      <c r="D12" s="6">
        <f t="shared" ca="1" si="10"/>
        <v>200000</v>
      </c>
      <c r="E12" s="6">
        <f t="shared" ca="1" si="10"/>
        <v>200000</v>
      </c>
      <c r="F12" s="6">
        <f t="shared" ca="1" si="10"/>
        <v>20</v>
      </c>
      <c r="G12" s="6">
        <f t="shared" ca="1" si="10"/>
        <v>20</v>
      </c>
      <c r="H12" s="6">
        <f t="shared" ca="1" si="10"/>
        <v>37</v>
      </c>
      <c r="I12" s="6"/>
      <c r="J12" s="17" t="s">
        <v>21</v>
      </c>
      <c r="M12" s="5" t="s">
        <v>32</v>
      </c>
      <c r="N12" s="3">
        <f ca="1">N11/$P$4</f>
        <v>0.45</v>
      </c>
      <c r="O12" s="3">
        <f t="shared" ref="O12:R12" ca="1" si="11">O11/$P$4</f>
        <v>0.6</v>
      </c>
      <c r="P12" s="3">
        <f t="shared" ca="1" si="11"/>
        <v>0.3</v>
      </c>
      <c r="Q12" s="3">
        <f t="shared" ca="1" si="11"/>
        <v>0.25</v>
      </c>
      <c r="R12" s="3">
        <f t="shared" ca="1" si="11"/>
        <v>0.45</v>
      </c>
      <c r="S12" s="17" t="s">
        <v>28</v>
      </c>
      <c r="Y12" s="3"/>
      <c r="Z12" s="4"/>
    </row>
    <row r="13" spans="1:26" x14ac:dyDescent="0.2">
      <c r="A13" s="5" t="s">
        <v>33</v>
      </c>
      <c r="C13">
        <f ca="1">SUM(DZ:DZ)</f>
        <v>29787</v>
      </c>
      <c r="D13">
        <f ca="1">SUM(EA:EA)</f>
        <v>66166</v>
      </c>
      <c r="E13">
        <f t="shared" ref="E13:H13" ca="1" si="12">SUM(EB:EB)</f>
        <v>29389</v>
      </c>
      <c r="F13">
        <f t="shared" ca="1" si="12"/>
        <v>0</v>
      </c>
      <c r="G13">
        <f t="shared" ca="1" si="12"/>
        <v>0</v>
      </c>
      <c r="H13">
        <f t="shared" ca="1" si="12"/>
        <v>14</v>
      </c>
      <c r="J13" s="17" t="s">
        <v>25</v>
      </c>
      <c r="M13" s="5" t="s">
        <v>34</v>
      </c>
      <c r="N13" s="4">
        <f ca="1">SUMIFS(DC:DC,$B:$B,"&lt;="&amp;$N$4)+N16*$N$3</f>
        <v>433631.48815252108</v>
      </c>
      <c r="O13" s="4">
        <f t="shared" ref="O13:R13" ca="1" si="13">SUMIFS(DD:DD,$B:$B,"&lt;="&amp;$N$4)+O16*$N$3</f>
        <v>432660.5132506534</v>
      </c>
      <c r="P13" s="4">
        <f t="shared" ca="1" si="13"/>
        <v>432307.71881448757</v>
      </c>
      <c r="Q13" s="4">
        <f t="shared" ca="1" si="13"/>
        <v>432014.6258966194</v>
      </c>
      <c r="R13" s="4">
        <f t="shared" ca="1" si="13"/>
        <v>547252.66236916627</v>
      </c>
      <c r="S13" s="18" t="s">
        <v>30</v>
      </c>
      <c r="Y13" s="3"/>
      <c r="Z13" s="4"/>
    </row>
    <row r="14" spans="1:26" x14ac:dyDescent="0.2">
      <c r="A14" s="5" t="s">
        <v>35</v>
      </c>
      <c r="B14" s="3"/>
      <c r="C14" s="3">
        <f t="shared" ref="C14:H14" ca="1" si="14">C13/C12</f>
        <v>0.14893500000000001</v>
      </c>
      <c r="D14" s="3">
        <f t="shared" ca="1" si="14"/>
        <v>0.33083000000000001</v>
      </c>
      <c r="E14" s="3">
        <f t="shared" ca="1" si="14"/>
        <v>0.14694499999999999</v>
      </c>
      <c r="F14" s="3">
        <f t="shared" ca="1" si="14"/>
        <v>0</v>
      </c>
      <c r="G14" s="3">
        <f t="shared" ca="1" si="14"/>
        <v>0</v>
      </c>
      <c r="H14" s="3">
        <f t="shared" ca="1" si="14"/>
        <v>0.3783783783783784</v>
      </c>
      <c r="I14" s="3"/>
      <c r="J14" s="17" t="s">
        <v>28</v>
      </c>
      <c r="M14" s="5" t="s">
        <v>36</v>
      </c>
      <c r="N14" s="4">
        <f ca="1">N13/$P$4</f>
        <v>21681.574407626053</v>
      </c>
      <c r="O14" s="4">
        <f t="shared" ref="O14:R14" ca="1" si="15">O13/$P$4</f>
        <v>21633.025662532669</v>
      </c>
      <c r="P14" s="4">
        <f t="shared" ca="1" si="15"/>
        <v>21615.38594072438</v>
      </c>
      <c r="Q14" s="4">
        <f t="shared" ca="1" si="15"/>
        <v>21600.73129483097</v>
      </c>
      <c r="R14" s="4">
        <f t="shared" ca="1" si="15"/>
        <v>27362.633118458314</v>
      </c>
      <c r="S14" s="18" t="s">
        <v>30</v>
      </c>
      <c r="T14" s="6"/>
      <c r="U14" s="6"/>
      <c r="Y14" s="3"/>
      <c r="Z14" s="4"/>
    </row>
    <row r="15" spans="1:26" x14ac:dyDescent="0.2">
      <c r="A15" s="5" t="s">
        <v>36</v>
      </c>
      <c r="B15" s="21"/>
      <c r="C15" s="21">
        <f t="shared" ref="C15:H15" ca="1" si="16">IF(C12,C11/C12,"")</f>
        <v>4.8047618587845835E-2</v>
      </c>
      <c r="D15" s="21">
        <f t="shared" ca="1" si="16"/>
        <v>4.6959541653101226E-2</v>
      </c>
      <c r="E15" s="21">
        <f t="shared" ca="1" si="16"/>
        <v>0.68577614873338866</v>
      </c>
      <c r="F15" s="21">
        <f t="shared" ca="1" si="16"/>
        <v>0.1495629098499191</v>
      </c>
      <c r="G15" s="21">
        <f t="shared" ca="1" si="16"/>
        <v>0.16450459569969073</v>
      </c>
      <c r="H15" s="21">
        <f t="shared" ca="1" si="16"/>
        <v>88.259921379110295</v>
      </c>
      <c r="I15" s="21"/>
      <c r="J15" s="18" t="s">
        <v>30</v>
      </c>
      <c r="M15" s="14" t="s">
        <v>37</v>
      </c>
      <c r="N15" s="4">
        <f ca="1">IF(N11,N13/N11,"")</f>
        <v>48181.27646139123</v>
      </c>
      <c r="O15" s="4">
        <f t="shared" ref="O15:R15" ca="1" si="17">IF(O11,O13/O11,"")</f>
        <v>36055.042770887783</v>
      </c>
      <c r="P15" s="4">
        <f t="shared" ca="1" si="17"/>
        <v>72051.286469081257</v>
      </c>
      <c r="Q15" s="4">
        <f t="shared" ca="1" si="17"/>
        <v>86402.92517932388</v>
      </c>
      <c r="R15" s="4">
        <f t="shared" ca="1" si="17"/>
        <v>60805.851374351805</v>
      </c>
      <c r="S15" s="18" t="s">
        <v>30</v>
      </c>
      <c r="T15" s="3"/>
      <c r="U15" s="3" t="str">
        <f t="shared" ref="U15" si="18">IF(U12,U14/U12,"")</f>
        <v/>
      </c>
      <c r="Y15" s="3"/>
      <c r="Z15" s="4"/>
    </row>
    <row r="16" spans="1:26" x14ac:dyDescent="0.2">
      <c r="A16" s="5" t="s">
        <v>37</v>
      </c>
      <c r="B16" s="4"/>
      <c r="C16" s="4">
        <f t="shared" ref="C16:H16" ca="1" si="19">IF(C13,C11/C13,"")</f>
        <v>0.32260797386675955</v>
      </c>
      <c r="D16" s="4">
        <f t="shared" ca="1" si="19"/>
        <v>0.14194462912402511</v>
      </c>
      <c r="E16" s="4">
        <f t="shared" ca="1" si="19"/>
        <v>4.6668899842348406</v>
      </c>
      <c r="F16" s="4" t="str">
        <f t="shared" ca="1" si="19"/>
        <v/>
      </c>
      <c r="G16" s="4" t="str">
        <f t="shared" ca="1" si="19"/>
        <v/>
      </c>
      <c r="H16" s="4">
        <f t="shared" ca="1" si="19"/>
        <v>233.2583636447915</v>
      </c>
      <c r="I16" s="4"/>
      <c r="J16" s="18" t="s">
        <v>30</v>
      </c>
      <c r="M16" s="5" t="s">
        <v>38</v>
      </c>
      <c r="N16">
        <f ca="1">COUNTIFS(DC:DC,"=0",$B:$B,"&lt;="&amp;$N$4)</f>
        <v>0</v>
      </c>
      <c r="O16">
        <f t="shared" ref="O16:R16" ca="1" si="20">COUNTIFS(DD:DD,"=0",$B:$B,"&lt;="&amp;$N$4)</f>
        <v>0</v>
      </c>
      <c r="P16">
        <f t="shared" ca="1" si="20"/>
        <v>0</v>
      </c>
      <c r="Q16">
        <f t="shared" ca="1" si="20"/>
        <v>0</v>
      </c>
      <c r="R16">
        <f t="shared" ca="1" si="20"/>
        <v>0</v>
      </c>
      <c r="Y16" s="3"/>
      <c r="Z16" s="4"/>
    </row>
    <row r="17" spans="1:180" x14ac:dyDescent="0.2">
      <c r="A17" s="5" t="s">
        <v>38</v>
      </c>
      <c r="B17">
        <f ca="1">COUNTIFS(DH:DH,"=0")</f>
        <v>0</v>
      </c>
      <c r="C17">
        <f t="shared" ref="C17:H17" ca="1" si="21">COUNTIFS(DI:DI,"=0")</f>
        <v>0</v>
      </c>
      <c r="D17">
        <f t="shared" ca="1" si="21"/>
        <v>0</v>
      </c>
      <c r="E17">
        <f t="shared" ca="1" si="21"/>
        <v>0</v>
      </c>
      <c r="F17">
        <f t="shared" ca="1" si="21"/>
        <v>0</v>
      </c>
      <c r="G17">
        <f t="shared" ca="1" si="21"/>
        <v>0</v>
      </c>
      <c r="H17">
        <f t="shared" ca="1" si="21"/>
        <v>12</v>
      </c>
      <c r="J17" s="17"/>
      <c r="M17" s="5" t="s">
        <v>572</v>
      </c>
      <c r="N17">
        <f ca="1">_xlfn.MAXIFS($B67:$B267,DC67:DC267,"&lt;&gt;0",$B67:$B267,"&lt;="&amp;$N$4)</f>
        <v>3024</v>
      </c>
      <c r="O17">
        <f t="shared" ref="O17:R17" ca="1" si="22">_xlfn.MAXIFS($B67:$B267,DD67:DD267,"&lt;&gt;0",$B67:$B267,"&lt;="&amp;$N$4)</f>
        <v>3024</v>
      </c>
      <c r="P17">
        <f t="shared" ca="1" si="22"/>
        <v>3024</v>
      </c>
      <c r="Q17">
        <f t="shared" ca="1" si="22"/>
        <v>3024</v>
      </c>
      <c r="R17">
        <f t="shared" ca="1" si="22"/>
        <v>3024</v>
      </c>
      <c r="Y17" s="3"/>
      <c r="Z17" s="4"/>
    </row>
    <row r="18" spans="1:180" x14ac:dyDescent="0.2">
      <c r="A18" s="5" t="s">
        <v>632</v>
      </c>
      <c r="B18" s="24">
        <f ca="1">(SUM(BZ68:BZ300)-$H$3)/$H$3</f>
        <v>0.88629737609329451</v>
      </c>
      <c r="C18" s="24">
        <f t="shared" ref="C18:H18" ca="1" si="23">(SUM(CA68:CA300)-$H$3)/$H$3</f>
        <v>0.79591836734693877</v>
      </c>
      <c r="D18" s="24">
        <f t="shared" ca="1" si="23"/>
        <v>8.7463556851311949E-2</v>
      </c>
      <c r="E18" s="24">
        <f t="shared" ca="1" si="23"/>
        <v>0.75218658892128276</v>
      </c>
      <c r="F18" s="24">
        <f t="shared" ca="1" si="23"/>
        <v>30.618075801749271</v>
      </c>
      <c r="G18" s="24">
        <f t="shared" ca="1" si="23"/>
        <v>30.320699708454811</v>
      </c>
      <c r="H18" s="24">
        <f t="shared" ca="1" si="23"/>
        <v>28.084548104956269</v>
      </c>
      <c r="L18" s="4"/>
      <c r="M18" s="4"/>
      <c r="N18" s="4"/>
      <c r="O18" s="4"/>
      <c r="P18" s="4"/>
      <c r="Y18" s="3"/>
      <c r="Z18" s="4"/>
    </row>
    <row r="19" spans="1:180" x14ac:dyDescent="0.2">
      <c r="A19" s="5" t="s">
        <v>39</v>
      </c>
      <c r="B19" s="5" t="s">
        <v>9</v>
      </c>
      <c r="O19" s="4"/>
      <c r="P19" s="4"/>
      <c r="Y19" s="3"/>
      <c r="Z19" s="4"/>
    </row>
    <row r="20" spans="1:180" x14ac:dyDescent="0.2">
      <c r="O20" s="4"/>
      <c r="P20" s="4"/>
      <c r="Y20" s="3"/>
      <c r="Z20" s="4"/>
      <c r="FW20" s="3"/>
      <c r="FX20" s="4"/>
    </row>
    <row r="21" spans="1:180" ht="19" x14ac:dyDescent="0.25">
      <c r="A21" s="8" t="s">
        <v>633</v>
      </c>
      <c r="B21" s="8"/>
      <c r="C21" s="8"/>
      <c r="D21" s="8"/>
      <c r="E21" s="8" t="s">
        <v>634</v>
      </c>
      <c r="F21" s="8"/>
      <c r="G21" s="8"/>
      <c r="H21" s="8"/>
      <c r="I21" s="8"/>
      <c r="J21" s="8" t="s">
        <v>635</v>
      </c>
      <c r="K21" s="8"/>
      <c r="L21" s="8"/>
      <c r="M21" s="8"/>
      <c r="N21" s="8"/>
      <c r="P21" s="8" t="s">
        <v>636</v>
      </c>
      <c r="Q21" s="4"/>
      <c r="Y21" s="3"/>
      <c r="Z21" s="4"/>
      <c r="FW21" s="3"/>
      <c r="FX21" s="4"/>
    </row>
    <row r="22" spans="1:180" x14ac:dyDescent="0.2">
      <c r="P22" s="4"/>
      <c r="Q22" s="4"/>
      <c r="Y22" s="3"/>
      <c r="Z22" s="4"/>
      <c r="FW22" s="3"/>
      <c r="FX22" s="4"/>
    </row>
    <row r="23" spans="1:180" x14ac:dyDescent="0.2">
      <c r="P23" s="4"/>
      <c r="Q23" s="4"/>
      <c r="Y23" s="3"/>
      <c r="Z23" s="4"/>
      <c r="FW23" s="3"/>
      <c r="FX23" s="4"/>
    </row>
    <row r="24" spans="1:180" x14ac:dyDescent="0.2">
      <c r="P24" s="4"/>
      <c r="Q24" s="4"/>
      <c r="Y24" s="3"/>
      <c r="Z24" s="4"/>
      <c r="FW24" s="3"/>
      <c r="FX24" s="4"/>
    </row>
    <row r="25" spans="1:180" x14ac:dyDescent="0.2">
      <c r="P25" s="4"/>
      <c r="Q25" s="4"/>
      <c r="Y25" s="3"/>
      <c r="Z25" s="4"/>
      <c r="FW25" s="3"/>
      <c r="FX25" s="4"/>
    </row>
    <row r="26" spans="1:180" x14ac:dyDescent="0.2">
      <c r="P26" s="4"/>
      <c r="Q26" s="4"/>
      <c r="Y26" s="3"/>
      <c r="Z26" s="4"/>
      <c r="FW26" s="3"/>
      <c r="FX26" s="4"/>
    </row>
    <row r="27" spans="1:180" x14ac:dyDescent="0.2">
      <c r="P27" s="4"/>
      <c r="Q27" s="4"/>
      <c r="Y27" s="3"/>
      <c r="Z27" s="4"/>
      <c r="FW27" s="3"/>
      <c r="FX27" s="4"/>
    </row>
    <row r="28" spans="1:180" x14ac:dyDescent="0.2">
      <c r="P28" s="4"/>
      <c r="Q28" s="4"/>
      <c r="Y28" s="3"/>
      <c r="Z28" s="4"/>
      <c r="FW28" s="3"/>
      <c r="FX28" s="4"/>
    </row>
    <row r="29" spans="1:180" x14ac:dyDescent="0.2">
      <c r="P29" s="4"/>
      <c r="Q29" s="4"/>
      <c r="Y29" s="3"/>
      <c r="Z29" s="4"/>
      <c r="FW29" s="3"/>
      <c r="FX29" s="4"/>
    </row>
    <row r="30" spans="1:180" x14ac:dyDescent="0.2">
      <c r="Y30" s="3"/>
      <c r="Z30" s="4"/>
      <c r="FW30" s="3"/>
      <c r="FX30" s="4"/>
    </row>
    <row r="31" spans="1:180" x14ac:dyDescent="0.2">
      <c r="Y31" s="3"/>
      <c r="Z31" s="4"/>
      <c r="FW31" s="3"/>
      <c r="FX31" s="4"/>
    </row>
    <row r="32" spans="1:180" x14ac:dyDescent="0.2">
      <c r="Y32" s="3"/>
      <c r="Z32" s="4"/>
      <c r="FW32" s="3"/>
      <c r="FX32" s="4"/>
    </row>
    <row r="33" spans="1:180" x14ac:dyDescent="0.2">
      <c r="Y33" s="3"/>
      <c r="Z33" s="4"/>
      <c r="FW33" s="3"/>
      <c r="FX33" s="4"/>
    </row>
    <row r="34" spans="1:180" x14ac:dyDescent="0.2">
      <c r="Y34" s="3"/>
      <c r="Z34" s="4"/>
      <c r="FW34" s="3"/>
      <c r="FX34" s="4" t="str">
        <f t="shared" ref="FX34:FX38" si="24">IF(FU34,FT34/FU34,"")</f>
        <v/>
      </c>
    </row>
    <row r="35" spans="1:180" x14ac:dyDescent="0.2">
      <c r="Y35" s="3"/>
      <c r="Z35" s="4"/>
      <c r="FW35" s="3"/>
      <c r="FX35" s="4" t="str">
        <f t="shared" si="24"/>
        <v/>
      </c>
    </row>
    <row r="36" spans="1:180" x14ac:dyDescent="0.2">
      <c r="Y36" s="3"/>
      <c r="Z36" s="4"/>
      <c r="FW36" s="3"/>
      <c r="FX36" s="4" t="str">
        <f t="shared" si="24"/>
        <v/>
      </c>
    </row>
    <row r="37" spans="1:180" x14ac:dyDescent="0.2">
      <c r="Y37" s="3"/>
      <c r="Z37" s="4"/>
      <c r="FW37" s="3"/>
      <c r="FX37" s="4" t="str">
        <f t="shared" si="24"/>
        <v/>
      </c>
    </row>
    <row r="38" spans="1:180" x14ac:dyDescent="0.2">
      <c r="Y38" s="3"/>
      <c r="Z38" s="4"/>
      <c r="FW38" s="3"/>
      <c r="FX38" s="4" t="str">
        <f t="shared" si="24"/>
        <v/>
      </c>
    </row>
    <row r="39" spans="1:180" x14ac:dyDescent="0.2">
      <c r="Y39" s="3"/>
      <c r="Z39" s="4"/>
      <c r="FW39" s="3"/>
      <c r="FX39" s="4"/>
    </row>
    <row r="40" spans="1:180" x14ac:dyDescent="0.2">
      <c r="Y40" s="3"/>
      <c r="Z40" s="4"/>
      <c r="FW40" s="3"/>
      <c r="FX40" s="4"/>
    </row>
    <row r="41" spans="1:180" x14ac:dyDescent="0.2">
      <c r="Y41" s="3"/>
      <c r="Z41" s="4"/>
      <c r="FW41" s="3"/>
      <c r="FX41" s="4"/>
    </row>
    <row r="43" spans="1:180" x14ac:dyDescent="0.2">
      <c r="A43" t="s">
        <v>41</v>
      </c>
      <c r="M43" t="s">
        <v>41</v>
      </c>
    </row>
    <row r="44" spans="1:180" x14ac:dyDescent="0.2">
      <c r="A44" t="s">
        <v>42</v>
      </c>
      <c r="B44" t="s">
        <v>43</v>
      </c>
      <c r="C44" t="s">
        <v>43</v>
      </c>
      <c r="D44" t="s">
        <v>43</v>
      </c>
      <c r="E44" t="s">
        <v>43</v>
      </c>
      <c r="F44" t="s">
        <v>43</v>
      </c>
      <c r="G44" t="s">
        <v>43</v>
      </c>
      <c r="H44" t="s">
        <v>43</v>
      </c>
      <c r="I44" t="s">
        <v>44</v>
      </c>
      <c r="J44" t="s">
        <v>45</v>
      </c>
      <c r="M44" t="s">
        <v>42</v>
      </c>
      <c r="N44" t="s">
        <v>43</v>
      </c>
      <c r="O44" t="s">
        <v>43</v>
      </c>
      <c r="P44" t="s">
        <v>43</v>
      </c>
      <c r="Q44" t="s">
        <v>43</v>
      </c>
      <c r="R44" t="s">
        <v>43</v>
      </c>
      <c r="S44" t="s">
        <v>44</v>
      </c>
      <c r="T44" t="s">
        <v>45</v>
      </c>
    </row>
    <row r="45" spans="1:180" x14ac:dyDescent="0.2">
      <c r="A45" t="str">
        <f>A2&amp;" &amp;"</f>
        <v xml:space="preserve"> &amp;</v>
      </c>
      <c r="B45" t="str">
        <f>"\textbf{"&amp;B6&amp;"}"&amp;IF(C45="\\",""," &amp;")</f>
        <v>\textbf{m4riRW} &amp;</v>
      </c>
      <c r="C45" t="str">
        <f t="shared" ref="C45:H45" si="25">"\textbf{"&amp;C6&amp;"}"&amp;IF(D45="\\",""," &amp;")</f>
        <v>\textbf{QDistRndMW} &amp;</v>
      </c>
      <c r="D45" t="str">
        <f t="shared" si="25"/>
        <v>\textbf{QDistEvol} &amp;</v>
      </c>
      <c r="E45" t="str">
        <f t="shared" si="25"/>
        <v>\textbf{BP-OSD} &amp;</v>
      </c>
      <c r="F45" t="str">
        <f t="shared" si="25"/>
        <v>\textbf{GEStim} &amp;</v>
      </c>
      <c r="G45" t="str">
        <f t="shared" si="25"/>
        <v>\textbf{CCStim} &amp;</v>
      </c>
      <c r="H45" t="str">
        <f t="shared" si="25"/>
        <v>\textbf{UEStim}</v>
      </c>
      <c r="I45" s="9" t="s">
        <v>46</v>
      </c>
      <c r="J45" t="s">
        <v>45</v>
      </c>
      <c r="M45" t="str">
        <f>M2&amp;" &amp;"</f>
        <v xml:space="preserve"> &amp;</v>
      </c>
      <c r="N45" t="str">
        <f>"\textbf{"&amp;N6&amp;"}"&amp;IF(O45="\\",""," &amp;")</f>
        <v>\textbf{Gurobi} &amp;</v>
      </c>
      <c r="O45" t="str">
        <f t="shared" ref="O45:P45" si="26">"\textbf{"&amp;O6&amp;"}"&amp;IF(P45="\\",""," &amp;")</f>
        <v>\textbf{MIP-SCIP} &amp;</v>
      </c>
      <c r="P45" t="str">
        <f t="shared" si="26"/>
        <v>\textbf{CLISAT} &amp;</v>
      </c>
      <c r="Q45" t="str">
        <f>"\textbf{"&amp;Q6&amp;"}"&amp;IF(R45="\\",""," &amp;")</f>
        <v>\textbf{m4riCC} &amp;</v>
      </c>
      <c r="R45" t="str">
        <f>"\textbf{"&amp;R6&amp;"}"&amp;IF(S45="\\",""," &amp;")</f>
        <v>\textbf{Magma}</v>
      </c>
      <c r="S45" s="9" t="s">
        <v>46</v>
      </c>
      <c r="T45" t="s">
        <v>45</v>
      </c>
      <c r="V45" s="9"/>
    </row>
    <row r="46" spans="1:180" x14ac:dyDescent="0.2">
      <c r="A46" t="str">
        <f t="shared" ref="A46:A55" si="27">"\textbf{"&amp;A7&amp;"} &amp;"</f>
        <v>\textbf{Result Returned} &amp;</v>
      </c>
      <c r="B46" t="str">
        <f t="shared" ref="B46:H55" ca="1" si="28">SUBSTITUTE(TEXT(B7,$J7)&amp;IF(C46="\\",""," &amp;"),"%","\%")</f>
        <v>20 &amp;</v>
      </c>
      <c r="C46" t="str">
        <f t="shared" ca="1" si="28"/>
        <v>20 &amp;</v>
      </c>
      <c r="D46" t="str">
        <f t="shared" ca="1" si="28"/>
        <v>20 &amp;</v>
      </c>
      <c r="E46" t="str">
        <f t="shared" ca="1" si="28"/>
        <v>20 &amp;</v>
      </c>
      <c r="F46" t="str">
        <f t="shared" ca="1" si="28"/>
        <v>0 &amp;</v>
      </c>
      <c r="G46" t="str">
        <f t="shared" ca="1" si="28"/>
        <v>1 &amp;</v>
      </c>
      <c r="H46" t="str">
        <f t="shared" ca="1" si="28"/>
        <v>8</v>
      </c>
      <c r="I46" s="9" t="s">
        <v>46</v>
      </c>
      <c r="M46" t="str">
        <f>"\textbf{"&amp;M7&amp;"} &amp;"</f>
        <v>\textbf{Result Returned} &amp;</v>
      </c>
      <c r="N46" t="str">
        <f t="shared" ref="N46:R54" ca="1" si="29">SUBSTITUTE(TEXT(N7,$S7)&amp;IF(O46="\\",""," &amp;"),"%","\%")</f>
        <v>20 &amp;</v>
      </c>
      <c r="O46" t="str">
        <f t="shared" ca="1" si="29"/>
        <v>20 &amp;</v>
      </c>
      <c r="P46" t="str">
        <f t="shared" ca="1" si="29"/>
        <v>20 &amp;</v>
      </c>
      <c r="Q46" t="str">
        <f t="shared" ca="1" si="29"/>
        <v>5 &amp;</v>
      </c>
      <c r="R46" t="str">
        <f t="shared" ca="1" si="29"/>
        <v>20</v>
      </c>
      <c r="S46" s="9" t="s">
        <v>46</v>
      </c>
      <c r="V46" s="9"/>
    </row>
    <row r="47" spans="1:180" x14ac:dyDescent="0.2">
      <c r="A47" t="str">
        <f t="shared" si="27"/>
        <v>\textbf{No Result} &amp;</v>
      </c>
      <c r="B47" t="str">
        <f t="shared" ca="1" si="28"/>
        <v>0 &amp;</v>
      </c>
      <c r="C47" t="str">
        <f t="shared" ca="1" si="28"/>
        <v>0 &amp;</v>
      </c>
      <c r="D47" t="str">
        <f t="shared" ca="1" si="28"/>
        <v>0 &amp;</v>
      </c>
      <c r="E47" t="str">
        <f t="shared" ca="1" si="28"/>
        <v>0 &amp;</v>
      </c>
      <c r="F47" t="str">
        <f t="shared" ca="1" si="28"/>
        <v>20 &amp;</v>
      </c>
      <c r="G47" t="str">
        <f t="shared" ca="1" si="28"/>
        <v>19 &amp;</v>
      </c>
      <c r="H47" t="str">
        <f t="shared" ca="1" si="28"/>
        <v>12</v>
      </c>
      <c r="I47" s="9" t="s">
        <v>46</v>
      </c>
      <c r="M47" t="str">
        <f t="shared" ref="M47:M54" si="30">"\textbf{"&amp;M8&amp;"} &amp;"</f>
        <v>\textbf{Completed &lt; MaxTime} &amp;</v>
      </c>
      <c r="N47" t="str">
        <f t="shared" ca="1" si="29"/>
        <v>5 &amp;</v>
      </c>
      <c r="O47" t="str">
        <f t="shared" ca="1" si="29"/>
        <v>5 &amp;</v>
      </c>
      <c r="P47" t="str">
        <f t="shared" ca="1" si="29"/>
        <v>5 &amp;</v>
      </c>
      <c r="Q47" t="str">
        <f t="shared" ca="1" si="29"/>
        <v>5 &amp;</v>
      </c>
      <c r="R47" t="str">
        <f t="shared" ca="1" si="29"/>
        <v>1</v>
      </c>
      <c r="S47" s="9" t="s">
        <v>46</v>
      </c>
      <c r="V47" s="9"/>
    </row>
    <row r="48" spans="1:180" x14ac:dyDescent="0.2">
      <c r="A48" t="str">
        <f t="shared" si="27"/>
        <v>\textbf{At lowest distance} &amp;</v>
      </c>
      <c r="B48" t="str">
        <f t="shared" ca="1" si="28"/>
        <v>8 &amp;</v>
      </c>
      <c r="C48" t="str">
        <f t="shared" ca="1" si="28"/>
        <v>8 &amp;</v>
      </c>
      <c r="D48" t="str">
        <f t="shared" ca="1" si="28"/>
        <v>13 &amp;</v>
      </c>
      <c r="E48" t="str">
        <f t="shared" ca="1" si="28"/>
        <v>8 &amp;</v>
      </c>
      <c r="F48" t="str">
        <f t="shared" ca="1" si="28"/>
        <v xml:space="preserve"> &amp;</v>
      </c>
      <c r="G48" t="str">
        <f t="shared" ca="1" si="28"/>
        <v xml:space="preserve"> &amp;</v>
      </c>
      <c r="H48" t="str">
        <f t="shared" ca="1" si="28"/>
        <v>7</v>
      </c>
      <c r="I48" s="9" t="s">
        <v>46</v>
      </c>
      <c r="M48" t="str">
        <f t="shared" si="30"/>
        <v>\textbf{Completed &gt; MaxTime} &amp;</v>
      </c>
      <c r="N48" t="str">
        <f t="shared" ca="1" si="29"/>
        <v>15 &amp;</v>
      </c>
      <c r="O48" t="str">
        <f t="shared" ca="1" si="29"/>
        <v>15 &amp;</v>
      </c>
      <c r="P48" t="str">
        <f t="shared" ca="1" si="29"/>
        <v>15 &amp;</v>
      </c>
      <c r="Q48" t="str">
        <f t="shared" ca="1" si="29"/>
        <v>0 &amp;</v>
      </c>
      <c r="R48" t="str">
        <f t="shared" ca="1" si="29"/>
        <v>19</v>
      </c>
      <c r="S48" s="9" t="s">
        <v>46</v>
      </c>
      <c r="V48" s="9"/>
    </row>
    <row r="49" spans="1:180" x14ac:dyDescent="0.2">
      <c r="A49" t="str">
        <f t="shared" si="27"/>
        <v>\textbf{Overall Success Rate} &amp;</v>
      </c>
      <c r="B49" t="str">
        <f t="shared" ca="1" si="28"/>
        <v>40.0\% &amp;</v>
      </c>
      <c r="C49" t="str">
        <f t="shared" ca="1" si="28"/>
        <v>40.0\% &amp;</v>
      </c>
      <c r="D49" t="str">
        <f t="shared" ca="1" si="28"/>
        <v>65.0\% &amp;</v>
      </c>
      <c r="E49" t="str">
        <f t="shared" ca="1" si="28"/>
        <v>40.0\% &amp;</v>
      </c>
      <c r="F49" t="str">
        <f t="shared" ca="1" si="28"/>
        <v xml:space="preserve"> &amp;</v>
      </c>
      <c r="G49" t="str">
        <f t="shared" ca="1" si="28"/>
        <v xml:space="preserve"> &amp;</v>
      </c>
      <c r="H49" t="str">
        <f t="shared" ca="1" si="28"/>
        <v>35.0\%</v>
      </c>
      <c r="I49" s="9" t="s">
        <v>46</v>
      </c>
      <c r="J49" t="s">
        <v>45</v>
      </c>
      <c r="M49" t="str">
        <f t="shared" si="30"/>
        <v>\textbf{No Result} &amp;</v>
      </c>
      <c r="N49" t="str">
        <f t="shared" ca="1" si="29"/>
        <v>0 &amp;</v>
      </c>
      <c r="O49" t="str">
        <f t="shared" ca="1" si="29"/>
        <v>0 &amp;</v>
      </c>
      <c r="P49" t="str">
        <f t="shared" ca="1" si="29"/>
        <v>0 &amp;</v>
      </c>
      <c r="Q49" t="str">
        <f t="shared" ca="1" si="29"/>
        <v>15 &amp;</v>
      </c>
      <c r="R49" t="str">
        <f t="shared" ca="1" si="29"/>
        <v>0</v>
      </c>
      <c r="S49" s="9" t="s">
        <v>46</v>
      </c>
      <c r="V49" s="9"/>
    </row>
    <row r="50" spans="1:180" x14ac:dyDescent="0.2">
      <c r="A50" t="str">
        <f t="shared" si="27"/>
        <v>\textbf{Total Time (s)} &amp;</v>
      </c>
      <c r="B50" t="str">
        <f t="shared" ca="1" si="28"/>
        <v>7.6E+02 &amp;</v>
      </c>
      <c r="C50" t="str">
        <f t="shared" ca="1" si="28"/>
        <v>9.6E+03 &amp;</v>
      </c>
      <c r="D50" t="str">
        <f t="shared" ca="1" si="28"/>
        <v>9.4E+03 &amp;</v>
      </c>
      <c r="E50" t="str">
        <f t="shared" ca="1" si="28"/>
        <v>1.4E+05 &amp;</v>
      </c>
      <c r="F50" t="str">
        <f t="shared" ca="1" si="28"/>
        <v>3.0E+00 &amp;</v>
      </c>
      <c r="G50" t="str">
        <f t="shared" ca="1" si="28"/>
        <v>3.3E+00 &amp;</v>
      </c>
      <c r="H50" t="str">
        <f t="shared" ca="1" si="28"/>
        <v>3.3E+03</v>
      </c>
      <c r="I50" s="9" t="s">
        <v>46</v>
      </c>
      <c r="M50" t="str">
        <f t="shared" si="30"/>
        <v>\textbf{At lowest distance} &amp;</v>
      </c>
      <c r="N50" t="str">
        <f t="shared" ca="1" si="29"/>
        <v>9 &amp;</v>
      </c>
      <c r="O50" t="str">
        <f t="shared" ca="1" si="29"/>
        <v>12 &amp;</v>
      </c>
      <c r="P50" t="str">
        <f t="shared" ca="1" si="29"/>
        <v>6 &amp;</v>
      </c>
      <c r="Q50" t="str">
        <f t="shared" ca="1" si="29"/>
        <v>5 &amp;</v>
      </c>
      <c r="R50" t="str">
        <f t="shared" ca="1" si="29"/>
        <v>9</v>
      </c>
      <c r="S50" s="9" t="s">
        <v>46</v>
      </c>
      <c r="V50" s="9"/>
    </row>
    <row r="51" spans="1:180" x14ac:dyDescent="0.2">
      <c r="A51" t="str">
        <f t="shared" si="27"/>
        <v>\textbf{Trials} &amp;</v>
      </c>
      <c r="B51" t="str">
        <f t="shared" ca="1" si="28"/>
        <v>0 &amp;</v>
      </c>
      <c r="C51" t="str">
        <f t="shared" ca="1" si="28"/>
        <v>200,000 &amp;</v>
      </c>
      <c r="D51" t="str">
        <f t="shared" ca="1" si="28"/>
        <v>200,000 &amp;</v>
      </c>
      <c r="E51" t="str">
        <f t="shared" ca="1" si="28"/>
        <v>200,000 &amp;</v>
      </c>
      <c r="F51" t="str">
        <f t="shared" ca="1" si="28"/>
        <v>20 &amp;</v>
      </c>
      <c r="G51" t="str">
        <f t="shared" ca="1" si="28"/>
        <v>20 &amp;</v>
      </c>
      <c r="H51" t="str">
        <f t="shared" ca="1" si="28"/>
        <v>37</v>
      </c>
      <c r="I51" s="9" t="s">
        <v>46</v>
      </c>
      <c r="M51" t="str">
        <f t="shared" si="30"/>
        <v>\textbf{Overall success rate} &amp;</v>
      </c>
      <c r="N51" t="str">
        <f t="shared" ca="1" si="29"/>
        <v>45.0\% &amp;</v>
      </c>
      <c r="O51" t="str">
        <f t="shared" ca="1" si="29"/>
        <v>60.0\% &amp;</v>
      </c>
      <c r="P51" t="str">
        <f t="shared" ca="1" si="29"/>
        <v>30.0\% &amp;</v>
      </c>
      <c r="Q51" t="str">
        <f t="shared" ca="1" si="29"/>
        <v>25.0\% &amp;</v>
      </c>
      <c r="R51" t="str">
        <f t="shared" ca="1" si="29"/>
        <v>45.0\%</v>
      </c>
      <c r="S51" s="9" t="s">
        <v>46</v>
      </c>
      <c r="T51" t="s">
        <v>45</v>
      </c>
      <c r="V51" s="9"/>
    </row>
    <row r="52" spans="1:180" x14ac:dyDescent="0.2">
      <c r="A52" t="str">
        <f t="shared" si="27"/>
        <v>\textbf{Trials at lowest distance} &amp;</v>
      </c>
      <c r="B52" t="str">
        <f t="shared" ca="1" si="28"/>
        <v xml:space="preserve"> &amp;</v>
      </c>
      <c r="C52" t="str">
        <f t="shared" ca="1" si="28"/>
        <v>29,787 &amp;</v>
      </c>
      <c r="D52" t="str">
        <f t="shared" ca="1" si="28"/>
        <v>66,166 &amp;</v>
      </c>
      <c r="E52" t="str">
        <f t="shared" ca="1" si="28"/>
        <v>29,389 &amp;</v>
      </c>
      <c r="F52" t="str">
        <f t="shared" ca="1" si="28"/>
        <v xml:space="preserve"> &amp;</v>
      </c>
      <c r="G52" t="str">
        <f t="shared" ca="1" si="28"/>
        <v xml:space="preserve"> &amp;</v>
      </c>
      <c r="H52" t="str">
        <f t="shared" ca="1" si="28"/>
        <v>14</v>
      </c>
      <c r="I52" s="9" t="s">
        <v>46</v>
      </c>
      <c r="M52" t="str">
        <f t="shared" si="30"/>
        <v>\textbf{Total Time} &amp;</v>
      </c>
      <c r="N52" t="str">
        <f t="shared" ca="1" si="29"/>
        <v>4.3E+05 &amp;</v>
      </c>
      <c r="O52" t="str">
        <f t="shared" ca="1" si="29"/>
        <v>4.3E+05 &amp;</v>
      </c>
      <c r="P52" t="str">
        <f t="shared" ca="1" si="29"/>
        <v>4.3E+05 &amp;</v>
      </c>
      <c r="Q52" t="str">
        <f t="shared" ca="1" si="29"/>
        <v>4.3E+05 &amp;</v>
      </c>
      <c r="R52" t="str">
        <f t="shared" ca="1" si="29"/>
        <v>5.5E+05</v>
      </c>
      <c r="S52" s="9" t="s">
        <v>46</v>
      </c>
      <c r="V52" s="9"/>
    </row>
    <row r="53" spans="1:180" x14ac:dyDescent="0.2">
      <c r="A53" t="str">
        <f t="shared" si="27"/>
        <v>\textbf{Trial Success Rate} &amp;</v>
      </c>
      <c r="B53" t="str">
        <f t="shared" ca="1" si="28"/>
        <v xml:space="preserve"> &amp;</v>
      </c>
      <c r="C53" t="str">
        <f t="shared" ca="1" si="28"/>
        <v>14.9\% &amp;</v>
      </c>
      <c r="D53" t="str">
        <f t="shared" ca="1" si="28"/>
        <v>33.1\% &amp;</v>
      </c>
      <c r="E53" t="str">
        <f t="shared" ca="1" si="28"/>
        <v>14.7\% &amp;</v>
      </c>
      <c r="F53" t="str">
        <f t="shared" ca="1" si="28"/>
        <v xml:space="preserve"> &amp;</v>
      </c>
      <c r="G53" t="str">
        <f t="shared" ca="1" si="28"/>
        <v xml:space="preserve"> &amp;</v>
      </c>
      <c r="H53" t="str">
        <f t="shared" ca="1" si="28"/>
        <v>37.8\%</v>
      </c>
      <c r="I53" s="9" t="s">
        <v>46</v>
      </c>
      <c r="M53" t="str">
        <f t="shared" si="30"/>
        <v>\textbf{Time/Trial} &amp;</v>
      </c>
      <c r="N53" t="str">
        <f t="shared" ca="1" si="29"/>
        <v>2.2E+04 &amp;</v>
      </c>
      <c r="O53" t="str">
        <f t="shared" ca="1" si="29"/>
        <v>2.2E+04 &amp;</v>
      </c>
      <c r="P53" t="str">
        <f t="shared" ca="1" si="29"/>
        <v>2.2E+04 &amp;</v>
      </c>
      <c r="Q53" t="str">
        <f t="shared" ca="1" si="29"/>
        <v>2.2E+04 &amp;</v>
      </c>
      <c r="R53" t="str">
        <f t="shared" ca="1" si="29"/>
        <v>2.7E+04</v>
      </c>
      <c r="S53" s="9" t="s">
        <v>46</v>
      </c>
      <c r="V53" s="9"/>
    </row>
    <row r="54" spans="1:180" x14ac:dyDescent="0.2">
      <c r="A54" t="str">
        <f t="shared" si="27"/>
        <v>\textbf{Time/Trial} &amp;</v>
      </c>
      <c r="B54" t="str">
        <f t="shared" ca="1" si="28"/>
        <v xml:space="preserve"> &amp;</v>
      </c>
      <c r="C54" t="str">
        <f t="shared" ca="1" si="28"/>
        <v>4.8E-02 &amp;</v>
      </c>
      <c r="D54" t="str">
        <f t="shared" ca="1" si="28"/>
        <v>4.7E-02 &amp;</v>
      </c>
      <c r="E54" t="str">
        <f t="shared" ca="1" si="28"/>
        <v>6.9E-01 &amp;</v>
      </c>
      <c r="F54" t="str">
        <f t="shared" ca="1" si="28"/>
        <v>1.5E-01 &amp;</v>
      </c>
      <c r="G54" t="str">
        <f t="shared" ca="1" si="28"/>
        <v>1.6E-01 &amp;</v>
      </c>
      <c r="H54" t="str">
        <f t="shared" ca="1" si="28"/>
        <v>8.8E+01</v>
      </c>
      <c r="I54" s="9" t="s">
        <v>46</v>
      </c>
      <c r="M54" t="str">
        <f t="shared" si="30"/>
        <v>\textbf{Time/Successful Trial} &amp;</v>
      </c>
      <c r="N54" t="str">
        <f ca="1">SUBSTITUTE(TEXT(N15,$S15)&amp;IF(O54="\\",""," &amp;"),"%","\%")</f>
        <v>4.8E+04 &amp;</v>
      </c>
      <c r="O54" t="str">
        <f t="shared" ca="1" si="29"/>
        <v>3.6E+04 &amp;</v>
      </c>
      <c r="P54" t="str">
        <f t="shared" ca="1" si="29"/>
        <v>7.2E+04 &amp;</v>
      </c>
      <c r="Q54" t="str">
        <f t="shared" ca="1" si="29"/>
        <v>8.6E+04 &amp;</v>
      </c>
      <c r="R54" t="str">
        <f t="shared" ca="1" si="29"/>
        <v>6.1E+04</v>
      </c>
      <c r="S54" s="9" t="s">
        <v>46</v>
      </c>
      <c r="T54" t="s">
        <v>45</v>
      </c>
      <c r="V54" s="9"/>
    </row>
    <row r="55" spans="1:180" x14ac:dyDescent="0.2">
      <c r="A55" t="str">
        <f t="shared" si="27"/>
        <v>\textbf{Time/Successful Trial} &amp;</v>
      </c>
      <c r="B55" t="str">
        <f t="shared" ca="1" si="28"/>
        <v xml:space="preserve"> &amp;</v>
      </c>
      <c r="C55" t="str">
        <f t="shared" ca="1" si="28"/>
        <v>3.2E-01 &amp;</v>
      </c>
      <c r="D55" t="str">
        <f t="shared" ca="1" si="28"/>
        <v>1.4E-01 &amp;</v>
      </c>
      <c r="E55" t="str">
        <f t="shared" ca="1" si="28"/>
        <v>4.7E+00 &amp;</v>
      </c>
      <c r="F55" t="str">
        <f t="shared" ca="1" si="28"/>
        <v xml:space="preserve"> &amp;</v>
      </c>
      <c r="G55" t="str">
        <f t="shared" ca="1" si="28"/>
        <v xml:space="preserve"> &amp;</v>
      </c>
      <c r="H55" t="str">
        <f t="shared" ca="1" si="28"/>
        <v>2.3E+02</v>
      </c>
      <c r="I55" s="9" t="s">
        <v>46</v>
      </c>
      <c r="J55" t="s">
        <v>45</v>
      </c>
      <c r="M55" t="s">
        <v>47</v>
      </c>
      <c r="V55" s="9"/>
    </row>
    <row r="56" spans="1:180" x14ac:dyDescent="0.2">
      <c r="A56" t="s">
        <v>47</v>
      </c>
      <c r="J56" s="9"/>
      <c r="M56" t="s">
        <v>48</v>
      </c>
      <c r="V56" s="9"/>
    </row>
    <row r="57" spans="1:180" x14ac:dyDescent="0.2">
      <c r="A57" t="s">
        <v>48</v>
      </c>
      <c r="V57" s="9"/>
    </row>
    <row r="59" spans="1:180" x14ac:dyDescent="0.2">
      <c r="V59" s="3"/>
      <c r="W59" s="4"/>
    </row>
    <row r="60" spans="1:180" x14ac:dyDescent="0.2">
      <c r="M60" s="5"/>
      <c r="N60" s="5"/>
      <c r="O60" s="5"/>
      <c r="V60" s="3"/>
      <c r="W60" s="4"/>
    </row>
    <row r="61" spans="1:180" x14ac:dyDescent="0.2">
      <c r="V61" s="3"/>
      <c r="W61" s="4"/>
    </row>
    <row r="62" spans="1:180" x14ac:dyDescent="0.2">
      <c r="E62" s="5"/>
      <c r="F62" s="5"/>
      <c r="G62" s="5"/>
      <c r="H62" s="5"/>
      <c r="I62" s="5"/>
      <c r="J62" s="5"/>
      <c r="K62" s="5"/>
      <c r="L62" s="5"/>
      <c r="M62" s="5"/>
      <c r="N62" s="5"/>
      <c r="O62" s="5"/>
      <c r="Y62" s="3"/>
      <c r="Z62" s="4"/>
      <c r="FW62" s="3"/>
      <c r="FX62" s="4"/>
    </row>
    <row r="63" spans="1:180" x14ac:dyDescent="0.2">
      <c r="Y63" s="3"/>
      <c r="Z63" s="4"/>
      <c r="FW63" s="3"/>
      <c r="FX63" s="4"/>
    </row>
    <row r="64" spans="1:180" x14ac:dyDescent="0.2">
      <c r="A64" t="s">
        <v>49</v>
      </c>
      <c r="B64">
        <f ca="1">MATCH("name",INDIRECT($A$67&amp;"!a:a"),)</f>
        <v>24</v>
      </c>
      <c r="Y64" s="3"/>
      <c r="Z64" s="4"/>
      <c r="FW64" s="3"/>
      <c r="FX64" s="4"/>
    </row>
    <row r="65" spans="1:222" x14ac:dyDescent="0.2">
      <c r="Y65" s="3"/>
      <c r="Z65" s="4"/>
      <c r="FS65" t="s">
        <v>50</v>
      </c>
      <c r="FT65" t="str">
        <f>B19</f>
        <v>QDistRndMW</v>
      </c>
      <c r="FW65" s="3"/>
      <c r="FX65" s="4"/>
    </row>
    <row r="66" spans="1:222" s="5" customFormat="1" x14ac:dyDescent="0.2">
      <c r="E66" s="5" t="s">
        <v>51</v>
      </c>
      <c r="V66" s="5" t="s">
        <v>52</v>
      </c>
      <c r="AM66" s="5" t="s">
        <v>53</v>
      </c>
      <c r="AV66" s="5" t="s">
        <v>578</v>
      </c>
      <c r="BD66" s="5" t="s">
        <v>54</v>
      </c>
      <c r="BU66" s="5" t="s">
        <v>55</v>
      </c>
      <c r="CL66" s="5" t="s">
        <v>56</v>
      </c>
      <c r="DC66" s="5" t="s">
        <v>40</v>
      </c>
      <c r="DT66" s="5" t="s">
        <v>57</v>
      </c>
      <c r="EK66" s="5" t="s">
        <v>58</v>
      </c>
      <c r="FB66" s="5" t="s">
        <v>59</v>
      </c>
      <c r="FS66" s="5" t="s">
        <v>49</v>
      </c>
      <c r="FT66">
        <f>MATCH(B19,E67:Q67,)</f>
        <v>7</v>
      </c>
      <c r="FU66"/>
      <c r="FV66"/>
      <c r="FW66" s="3"/>
      <c r="FX66" s="4"/>
      <c r="FZ66" s="5" t="s">
        <v>632</v>
      </c>
      <c r="GN66" s="5" t="s">
        <v>637</v>
      </c>
      <c r="HB66" s="5" t="s">
        <v>300</v>
      </c>
    </row>
    <row r="67" spans="1:222" s="5" customFormat="1" x14ac:dyDescent="0.2">
      <c r="A67" s="5" t="s">
        <v>60</v>
      </c>
      <c r="B67" s="5" t="s">
        <v>61</v>
      </c>
      <c r="C67" s="5" t="s">
        <v>62</v>
      </c>
      <c r="E67" s="5" t="s">
        <v>15</v>
      </c>
      <c r="F67" s="5" t="s">
        <v>16</v>
      </c>
      <c r="G67" s="5" t="s">
        <v>17</v>
      </c>
      <c r="H67" s="5" t="s">
        <v>63</v>
      </c>
      <c r="I67" s="5" t="s">
        <v>64</v>
      </c>
      <c r="J67" s="5" t="s">
        <v>65</v>
      </c>
      <c r="K67" s="5" t="s">
        <v>9</v>
      </c>
      <c r="L67" s="5" t="s">
        <v>10</v>
      </c>
      <c r="M67" s="5" t="s">
        <v>66</v>
      </c>
      <c r="N67" s="5" t="s">
        <v>12</v>
      </c>
      <c r="O67" s="5" t="s">
        <v>13</v>
      </c>
      <c r="P67" s="5" t="s">
        <v>14</v>
      </c>
      <c r="V67" s="5" t="str">
        <f t="shared" ref="V67:AG67" si="31">E67</f>
        <v>Gurobi</v>
      </c>
      <c r="W67" s="5" t="str">
        <f t="shared" si="31"/>
        <v>MIP-SCIP</v>
      </c>
      <c r="X67" s="5" t="str">
        <f t="shared" si="31"/>
        <v>CLISAT</v>
      </c>
      <c r="Y67" s="5" t="str">
        <f t="shared" si="31"/>
        <v>m4ri_CC</v>
      </c>
      <c r="Z67" s="5" t="str">
        <f t="shared" si="31"/>
        <v>magma</v>
      </c>
      <c r="AA67" s="5" t="str">
        <f t="shared" si="31"/>
        <v>m4ri_RW</v>
      </c>
      <c r="AB67" s="5" t="str">
        <f t="shared" si="31"/>
        <v>QDistRndMW</v>
      </c>
      <c r="AC67" s="5" t="str">
        <f t="shared" si="31"/>
        <v>QDistEvol</v>
      </c>
      <c r="AD67" s="5" t="str">
        <f t="shared" si="31"/>
        <v>bposd</v>
      </c>
      <c r="AE67" s="5" t="str">
        <f t="shared" si="31"/>
        <v>GEStim</v>
      </c>
      <c r="AF67" s="5" t="str">
        <f t="shared" si="31"/>
        <v>CCStim</v>
      </c>
      <c r="AG67" s="5" t="str">
        <f t="shared" si="31"/>
        <v>UEStim</v>
      </c>
      <c r="AM67" s="5" t="str">
        <f t="shared" ref="AM67:AQ67" si="32">E67</f>
        <v>Gurobi</v>
      </c>
      <c r="AN67" s="5" t="str">
        <f t="shared" si="32"/>
        <v>MIP-SCIP</v>
      </c>
      <c r="AO67" s="5" t="str">
        <f t="shared" si="32"/>
        <v>CLISAT</v>
      </c>
      <c r="AP67" s="5" t="str">
        <f t="shared" si="32"/>
        <v>m4ri_CC</v>
      </c>
      <c r="AQ67" s="5" t="str">
        <f t="shared" si="32"/>
        <v>magma</v>
      </c>
      <c r="AV67" s="5" t="str">
        <f>AM67</f>
        <v>Gurobi</v>
      </c>
      <c r="AW67" s="5" t="str">
        <f t="shared" ref="AW67:AZ67" si="33">AN67</f>
        <v>MIP-SCIP</v>
      </c>
      <c r="AX67" s="5" t="str">
        <f t="shared" si="33"/>
        <v>CLISAT</v>
      </c>
      <c r="AY67" s="5" t="str">
        <f t="shared" si="33"/>
        <v>m4ri_CC</v>
      </c>
      <c r="AZ67" s="5" t="str">
        <f t="shared" si="33"/>
        <v>magma</v>
      </c>
      <c r="BD67" s="5" t="str">
        <f t="shared" ref="BD67:BO67" si="34">V67</f>
        <v>Gurobi</v>
      </c>
      <c r="BE67" s="5" t="str">
        <f t="shared" si="34"/>
        <v>MIP-SCIP</v>
      </c>
      <c r="BF67" s="5" t="str">
        <f t="shared" si="34"/>
        <v>CLISAT</v>
      </c>
      <c r="BG67" s="5" t="str">
        <f t="shared" si="34"/>
        <v>m4ri_CC</v>
      </c>
      <c r="BH67" s="5" t="str">
        <f t="shared" si="34"/>
        <v>magma</v>
      </c>
      <c r="BI67" s="5" t="str">
        <f t="shared" si="34"/>
        <v>m4ri_RW</v>
      </c>
      <c r="BJ67" s="5" t="str">
        <f t="shared" si="34"/>
        <v>QDistRndMW</v>
      </c>
      <c r="BK67" s="5" t="str">
        <f t="shared" si="34"/>
        <v>QDistEvol</v>
      </c>
      <c r="BL67" s="5" t="str">
        <f t="shared" si="34"/>
        <v>bposd</v>
      </c>
      <c r="BM67" s="5" t="str">
        <f t="shared" si="34"/>
        <v>GEStim</v>
      </c>
      <c r="BN67" s="5" t="str">
        <f t="shared" si="34"/>
        <v>CCStim</v>
      </c>
      <c r="BO67" s="5" t="str">
        <f t="shared" si="34"/>
        <v>UEStim</v>
      </c>
      <c r="BU67" s="5" t="str">
        <f t="shared" ref="BU67:CF67" si="35">BD67</f>
        <v>Gurobi</v>
      </c>
      <c r="BV67" s="5" t="str">
        <f t="shared" si="35"/>
        <v>MIP-SCIP</v>
      </c>
      <c r="BW67" s="5" t="str">
        <f t="shared" si="35"/>
        <v>CLISAT</v>
      </c>
      <c r="BX67" s="5" t="str">
        <f t="shared" si="35"/>
        <v>m4ri_CC</v>
      </c>
      <c r="BY67" s="5" t="str">
        <f t="shared" si="35"/>
        <v>magma</v>
      </c>
      <c r="BZ67" s="5" t="str">
        <f t="shared" si="35"/>
        <v>m4ri_RW</v>
      </c>
      <c r="CA67" s="5" t="str">
        <f t="shared" si="35"/>
        <v>QDistRndMW</v>
      </c>
      <c r="CB67" s="5" t="str">
        <f t="shared" si="35"/>
        <v>QDistEvol</v>
      </c>
      <c r="CC67" s="5" t="str">
        <f t="shared" si="35"/>
        <v>bposd</v>
      </c>
      <c r="CD67" s="5" t="str">
        <f t="shared" si="35"/>
        <v>GEStim</v>
      </c>
      <c r="CE67" s="5" t="str">
        <f t="shared" si="35"/>
        <v>CCStim</v>
      </c>
      <c r="CF67" s="5" t="str">
        <f t="shared" si="35"/>
        <v>UEStim</v>
      </c>
      <c r="CL67" s="5" t="str">
        <f t="shared" ref="CL67:CW67" si="36">BU67</f>
        <v>Gurobi</v>
      </c>
      <c r="CM67" s="5" t="str">
        <f t="shared" si="36"/>
        <v>MIP-SCIP</v>
      </c>
      <c r="CN67" s="5" t="str">
        <f t="shared" si="36"/>
        <v>CLISAT</v>
      </c>
      <c r="CO67" s="5" t="str">
        <f t="shared" si="36"/>
        <v>m4ri_CC</v>
      </c>
      <c r="CP67" s="5" t="str">
        <f t="shared" si="36"/>
        <v>magma</v>
      </c>
      <c r="CQ67" s="5" t="str">
        <f t="shared" si="36"/>
        <v>m4ri_RW</v>
      </c>
      <c r="CR67" s="5" t="str">
        <f t="shared" si="36"/>
        <v>QDistRndMW</v>
      </c>
      <c r="CS67" s="5" t="str">
        <f t="shared" si="36"/>
        <v>QDistEvol</v>
      </c>
      <c r="CT67" s="5" t="str">
        <f t="shared" si="36"/>
        <v>bposd</v>
      </c>
      <c r="CU67" s="5" t="str">
        <f t="shared" si="36"/>
        <v>GEStim</v>
      </c>
      <c r="CV67" s="5" t="str">
        <f t="shared" si="36"/>
        <v>CCStim</v>
      </c>
      <c r="CW67" s="5" t="str">
        <f t="shared" si="36"/>
        <v>UEStim</v>
      </c>
      <c r="DC67" s="5" t="str">
        <f t="shared" ref="DC67:DN67" si="37">CL67</f>
        <v>Gurobi</v>
      </c>
      <c r="DD67" s="5" t="str">
        <f t="shared" si="37"/>
        <v>MIP-SCIP</v>
      </c>
      <c r="DE67" s="5" t="str">
        <f t="shared" si="37"/>
        <v>CLISAT</v>
      </c>
      <c r="DF67" s="5" t="str">
        <f t="shared" si="37"/>
        <v>m4ri_CC</v>
      </c>
      <c r="DG67" s="5" t="str">
        <f t="shared" si="37"/>
        <v>magma</v>
      </c>
      <c r="DH67" s="5" t="str">
        <f t="shared" si="37"/>
        <v>m4ri_RW</v>
      </c>
      <c r="DI67" s="5" t="str">
        <f t="shared" si="37"/>
        <v>QDistRndMW</v>
      </c>
      <c r="DJ67" s="5" t="str">
        <f t="shared" si="37"/>
        <v>QDistEvol</v>
      </c>
      <c r="DK67" s="5" t="str">
        <f t="shared" si="37"/>
        <v>bposd</v>
      </c>
      <c r="DL67" s="5" t="str">
        <f t="shared" si="37"/>
        <v>GEStim</v>
      </c>
      <c r="DM67" s="5" t="str">
        <f t="shared" si="37"/>
        <v>CCStim</v>
      </c>
      <c r="DN67" s="5" t="str">
        <f t="shared" si="37"/>
        <v>UEStim</v>
      </c>
      <c r="DT67" s="5" t="str">
        <f t="shared" ref="DT67:EE67" si="38">DC67</f>
        <v>Gurobi</v>
      </c>
      <c r="DU67" s="5" t="str">
        <f t="shared" si="38"/>
        <v>MIP-SCIP</v>
      </c>
      <c r="DV67" s="5" t="str">
        <f t="shared" si="38"/>
        <v>CLISAT</v>
      </c>
      <c r="DW67" s="5" t="str">
        <f t="shared" si="38"/>
        <v>m4ri_CC</v>
      </c>
      <c r="DX67" s="5" t="str">
        <f t="shared" si="38"/>
        <v>magma</v>
      </c>
      <c r="DY67" s="5" t="str">
        <f t="shared" si="38"/>
        <v>m4ri_RW</v>
      </c>
      <c r="DZ67" s="5" t="str">
        <f t="shared" si="38"/>
        <v>QDistRndMW</v>
      </c>
      <c r="EA67" s="5" t="str">
        <f t="shared" si="38"/>
        <v>QDistEvol</v>
      </c>
      <c r="EB67" s="5" t="str">
        <f t="shared" si="38"/>
        <v>bposd</v>
      </c>
      <c r="EC67" s="5" t="str">
        <f t="shared" si="38"/>
        <v>GEStim</v>
      </c>
      <c r="ED67" s="5" t="str">
        <f t="shared" si="38"/>
        <v>CCStim</v>
      </c>
      <c r="EE67" s="5" t="str">
        <f t="shared" si="38"/>
        <v>UEStim</v>
      </c>
      <c r="EK67" s="5" t="str">
        <f t="shared" ref="EK67:EV67" si="39">DT67</f>
        <v>Gurobi</v>
      </c>
      <c r="EL67" s="5" t="str">
        <f t="shared" si="39"/>
        <v>MIP-SCIP</v>
      </c>
      <c r="EM67" s="5" t="str">
        <f t="shared" si="39"/>
        <v>CLISAT</v>
      </c>
      <c r="EN67" s="5" t="str">
        <f t="shared" si="39"/>
        <v>m4ri_CC</v>
      </c>
      <c r="EO67" s="5" t="str">
        <f t="shared" si="39"/>
        <v>magma</v>
      </c>
      <c r="EP67" s="5" t="str">
        <f t="shared" si="39"/>
        <v>m4ri_RW</v>
      </c>
      <c r="EQ67" s="5" t="str">
        <f t="shared" si="39"/>
        <v>QDistRndMW</v>
      </c>
      <c r="ER67" s="5" t="str">
        <f t="shared" si="39"/>
        <v>QDistEvol</v>
      </c>
      <c r="ES67" s="5" t="str">
        <f t="shared" si="39"/>
        <v>bposd</v>
      </c>
      <c r="ET67" s="5" t="str">
        <f t="shared" si="39"/>
        <v>GEStim</v>
      </c>
      <c r="EU67" s="5" t="str">
        <f t="shared" si="39"/>
        <v>CCStim</v>
      </c>
      <c r="EV67" s="5" t="str">
        <f t="shared" si="39"/>
        <v>UEStim</v>
      </c>
      <c r="FB67" s="5" t="str">
        <f t="shared" ref="FB67:FM67" si="40">EK67</f>
        <v>Gurobi</v>
      </c>
      <c r="FC67" s="5" t="str">
        <f t="shared" si="40"/>
        <v>MIP-SCIP</v>
      </c>
      <c r="FD67" s="5" t="str">
        <f t="shared" si="40"/>
        <v>CLISAT</v>
      </c>
      <c r="FE67" s="5" t="str">
        <f t="shared" si="40"/>
        <v>m4ri_CC</v>
      </c>
      <c r="FF67" s="5" t="str">
        <f t="shared" si="40"/>
        <v>magma</v>
      </c>
      <c r="FG67" s="5" t="str">
        <f t="shared" si="40"/>
        <v>m4ri_RW</v>
      </c>
      <c r="FH67" s="5" t="str">
        <f t="shared" si="40"/>
        <v>QDistRndMW</v>
      </c>
      <c r="FI67" s="5" t="str">
        <f t="shared" si="40"/>
        <v>QDistEvol</v>
      </c>
      <c r="FJ67" s="5" t="str">
        <f t="shared" si="40"/>
        <v>bposd</v>
      </c>
      <c r="FK67" s="5" t="str">
        <f t="shared" si="40"/>
        <v>GEStim</v>
      </c>
      <c r="FL67" s="5" t="str">
        <f t="shared" si="40"/>
        <v>CCStim</v>
      </c>
      <c r="FM67" s="5" t="str">
        <f t="shared" si="40"/>
        <v>UEStim</v>
      </c>
      <c r="FS67" s="2" t="s">
        <v>61</v>
      </c>
      <c r="FT67" s="2" t="s">
        <v>67</v>
      </c>
      <c r="FU67" t="s">
        <v>58</v>
      </c>
      <c r="FV67" t="s">
        <v>59</v>
      </c>
      <c r="FW67" t="s">
        <v>68</v>
      </c>
      <c r="FX67" t="s">
        <v>69</v>
      </c>
      <c r="FZ67" s="5" t="str">
        <f>GN67</f>
        <v>n</v>
      </c>
      <c r="GA67" s="5" t="s">
        <v>15</v>
      </c>
      <c r="GB67" s="5" t="s">
        <v>16</v>
      </c>
      <c r="GC67" s="5" t="s">
        <v>17</v>
      </c>
      <c r="GD67" s="5" t="s">
        <v>63</v>
      </c>
      <c r="GE67" s="5" t="s">
        <v>64</v>
      </c>
      <c r="GF67" s="5" t="s">
        <v>65</v>
      </c>
      <c r="GG67" s="5" t="s">
        <v>9</v>
      </c>
      <c r="GH67" s="5" t="s">
        <v>10</v>
      </c>
      <c r="GI67" s="5" t="s">
        <v>66</v>
      </c>
      <c r="GJ67" s="5" t="s">
        <v>12</v>
      </c>
      <c r="GK67" s="5" t="s">
        <v>13</v>
      </c>
      <c r="GL67" s="5" t="s">
        <v>14</v>
      </c>
      <c r="GN67" s="5" t="s">
        <v>61</v>
      </c>
      <c r="GO67" s="5" t="str">
        <f>GA67</f>
        <v>Gurobi</v>
      </c>
      <c r="GP67" s="5" t="str">
        <f t="shared" ref="GP67:GZ67" si="41">GB67</f>
        <v>MIP-SCIP</v>
      </c>
      <c r="GQ67" s="5" t="str">
        <f t="shared" si="41"/>
        <v>CLISAT</v>
      </c>
      <c r="GR67" s="5" t="str">
        <f t="shared" si="41"/>
        <v>m4ri_CC</v>
      </c>
      <c r="GS67" s="5" t="str">
        <f t="shared" si="41"/>
        <v>magma</v>
      </c>
      <c r="GT67" s="5" t="str">
        <f t="shared" si="41"/>
        <v>m4ri_RW</v>
      </c>
      <c r="GU67" s="5" t="str">
        <f t="shared" si="41"/>
        <v>QDistRndMW</v>
      </c>
      <c r="GV67" s="5" t="str">
        <f t="shared" si="41"/>
        <v>QDistEvol</v>
      </c>
      <c r="GW67" s="5" t="str">
        <f t="shared" si="41"/>
        <v>bposd</v>
      </c>
      <c r="GX67" s="5" t="str">
        <f t="shared" si="41"/>
        <v>GEStim</v>
      </c>
      <c r="GY67" s="5" t="str">
        <f t="shared" si="41"/>
        <v>CCStim</v>
      </c>
      <c r="GZ67" s="5" t="str">
        <f t="shared" si="41"/>
        <v>UEStim</v>
      </c>
      <c r="HB67" s="5" t="str">
        <f>GN67</f>
        <v>n</v>
      </c>
      <c r="HC67" s="5" t="str">
        <f>GO67</f>
        <v>Gurobi</v>
      </c>
      <c r="HD67" s="5" t="str">
        <f t="shared" ref="HD67:HN67" si="42">GP67</f>
        <v>MIP-SCIP</v>
      </c>
      <c r="HE67" s="5" t="str">
        <f t="shared" si="42"/>
        <v>CLISAT</v>
      </c>
      <c r="HF67" s="5" t="str">
        <f t="shared" si="42"/>
        <v>m4ri_CC</v>
      </c>
      <c r="HG67" s="5" t="str">
        <f t="shared" si="42"/>
        <v>magma</v>
      </c>
      <c r="HH67" s="5" t="str">
        <f t="shared" si="42"/>
        <v>m4ri_RW</v>
      </c>
      <c r="HI67" s="5" t="str">
        <f t="shared" si="42"/>
        <v>QDistRndMW</v>
      </c>
      <c r="HJ67" s="5" t="str">
        <f t="shared" si="42"/>
        <v>QDistEvol</v>
      </c>
      <c r="HK67" s="5" t="str">
        <f t="shared" si="42"/>
        <v>bposd</v>
      </c>
      <c r="HL67" s="5" t="str">
        <f t="shared" si="42"/>
        <v>GEStim</v>
      </c>
      <c r="HM67" s="5" t="str">
        <f t="shared" si="42"/>
        <v>CCStim</v>
      </c>
      <c r="HN67" s="5" t="str">
        <f t="shared" si="42"/>
        <v>UEStim</v>
      </c>
    </row>
    <row r="68" spans="1:222" x14ac:dyDescent="0.2">
      <c r="A68" t="str" cm="1">
        <f t="array" aca="1" ref="A68" ca="1">INDIRECT($A$67&amp;"!A"&amp;ROW(C1)+$B$64)</f>
        <v>[[72,12,6]]</v>
      </c>
      <c r="B68" cm="1">
        <f t="array" aca="1" ref="B68" ca="1">INDIRECT($A$67&amp;"!b"&amp;ROW(D1)+$B$64)</f>
        <v>72</v>
      </c>
      <c r="C68">
        <f ca="1">MIN(INDIRECT($A$67&amp;"!d"&amp;ROW(E1)+$B$64),BU68:CG68)</f>
        <v>6</v>
      </c>
      <c r="E68">
        <f t="shared" ref="E68:P83" ca="1" si="43">MATCH($A68,INDIRECT("'"&amp;E$67&amp;"'!A:A"),)</f>
        <v>25</v>
      </c>
      <c r="F68">
        <f t="shared" ca="1" si="43"/>
        <v>26</v>
      </c>
      <c r="G68">
        <f t="shared" ca="1" si="43"/>
        <v>25</v>
      </c>
      <c r="H68">
        <f t="shared" ca="1" si="43"/>
        <v>25</v>
      </c>
      <c r="I68">
        <f t="shared" ca="1" si="43"/>
        <v>28</v>
      </c>
      <c r="J68">
        <f t="shared" ca="1" si="43"/>
        <v>25</v>
      </c>
      <c r="K68">
        <f t="shared" ca="1" si="43"/>
        <v>32</v>
      </c>
      <c r="L68">
        <f t="shared" ca="1" si="43"/>
        <v>34</v>
      </c>
      <c r="M68">
        <f t="shared" ca="1" si="43"/>
        <v>31</v>
      </c>
      <c r="N68">
        <f t="shared" ca="1" si="43"/>
        <v>25</v>
      </c>
      <c r="O68">
        <f t="shared" ca="1" si="43"/>
        <v>25</v>
      </c>
      <c r="P68">
        <f t="shared" ca="1" si="43"/>
        <v>30</v>
      </c>
      <c r="V68" cm="1">
        <f t="array" aca="1" ref="V68" ca="1">IF(ISNA(E68),$B68,OFFSET(INDIRECT("'"&amp;V$67&amp;"'!d1"),E68-1,))</f>
        <v>6</v>
      </c>
      <c r="W68" cm="1">
        <f t="array" aca="1" ref="W68" ca="1">IF(ISNA(F68),,OFFSET(INDIRECT("'"&amp;W$67&amp;"'!d1"),F68-1,))</f>
        <v>6</v>
      </c>
      <c r="X68" cm="1">
        <f t="array" aca="1" ref="X68" ca="1">IF(ISNA(G68),,OFFSET(INDIRECT("'"&amp;X$67&amp;"'!d1"),G68-1,))</f>
        <v>6</v>
      </c>
      <c r="Y68" cm="1">
        <f t="array" aca="1" ref="Y68" ca="1">IF(ISNA(H68),,OFFSET(INDIRECT("'"&amp;Y$67&amp;"'!d1"),H68-1,))</f>
        <v>6</v>
      </c>
      <c r="Z68" cm="1">
        <f t="array" aca="1" ref="Z68" ca="1">IF(ISNA(I68),,OFFSET(INDIRECT("'"&amp;Z$67&amp;"'!d1"),I68-1,))</f>
        <v>6</v>
      </c>
      <c r="AA68" cm="1">
        <f t="array" aca="1" ref="AA68" ca="1">IF(ISNA(J68),,OFFSET(INDIRECT("'"&amp;AA$67&amp;"'!d1"),J68-1,))</f>
        <v>6</v>
      </c>
      <c r="AB68" cm="1">
        <f t="array" aca="1" ref="AB68" ca="1">IF(ISNA(K68),,OFFSET(INDIRECT("'"&amp;AB$67&amp;"'!d1"),K68-1,))</f>
        <v>6</v>
      </c>
      <c r="AC68" cm="1">
        <f t="array" aca="1" ref="AC68" ca="1">IF(ISNA(L68),,OFFSET(INDIRECT("'"&amp;AC$67&amp;"'!d1"),L68-1,))</f>
        <v>6</v>
      </c>
      <c r="AD68" cm="1">
        <f t="array" aca="1" ref="AD68" ca="1">IF(ISNA(M68),,OFFSET(INDIRECT("'"&amp;AD$67&amp;"'!d1"),M68-1,))</f>
        <v>6</v>
      </c>
      <c r="AE68" cm="1">
        <f t="array" aca="1" ref="AE68" ca="1">IF(ISNA(N68),,OFFSET(INDIRECT("'"&amp;AE$67&amp;"'!d1"),N68-1,))</f>
        <v>0</v>
      </c>
      <c r="AF68" cm="1">
        <f t="array" aca="1" ref="AF68" ca="1">IF(ISNA(O68),,OFFSET(INDIRECT("'"&amp;AF$67&amp;"'!d1"),O68-1,))</f>
        <v>0</v>
      </c>
      <c r="AG68" cm="1">
        <f t="array" aca="1" ref="AG68" ca="1">IF(ISNA(P68),,OFFSET(INDIRECT("'"&amp;AG$67&amp;"'!d1"),P68-1,))</f>
        <v>6</v>
      </c>
      <c r="AM68">
        <f ca="1">IF(DC68&gt;= $N$3,0,BD68)</f>
        <v>1</v>
      </c>
      <c r="AN68">
        <f t="shared" ref="AN68:AP83" ca="1" si="44">IF(DD68&gt;= $N$3,0,BE68)</f>
        <v>1</v>
      </c>
      <c r="AO68">
        <f t="shared" ca="1" si="44"/>
        <v>1</v>
      </c>
      <c r="AP68">
        <f t="shared" ca="1" si="44"/>
        <v>1</v>
      </c>
      <c r="AQ68">
        <f ca="1">IF(DG68*1&gt;= $N$3,0,BH68)</f>
        <v>1</v>
      </c>
      <c r="AV68" t="b">
        <f ca="1">IF(AM68=1,CL68=1,"")</f>
        <v>1</v>
      </c>
      <c r="AW68" t="b">
        <f t="shared" ref="AW68:AZ86" ca="1" si="45">IF(AN68=1,CM68=1,"")</f>
        <v>1</v>
      </c>
      <c r="AX68" t="b">
        <f t="shared" ca="1" si="45"/>
        <v>1</v>
      </c>
      <c r="AY68" t="b">
        <f t="shared" ca="1" si="45"/>
        <v>1</v>
      </c>
      <c r="AZ68" t="b">
        <f t="shared" ca="1" si="45"/>
        <v>1</v>
      </c>
      <c r="BD68">
        <f t="shared" ref="BD68:BO86" ca="1" si="46">IF(AND(V68&gt;0,V68&lt;$B68),1,0)</f>
        <v>1</v>
      </c>
      <c r="BE68">
        <f t="shared" ca="1" si="46"/>
        <v>1</v>
      </c>
      <c r="BF68">
        <f t="shared" ca="1" si="46"/>
        <v>1</v>
      </c>
      <c r="BG68">
        <f t="shared" ca="1" si="46"/>
        <v>1</v>
      </c>
      <c r="BH68">
        <f t="shared" ca="1" si="46"/>
        <v>1</v>
      </c>
      <c r="BI68">
        <f t="shared" ca="1" si="46"/>
        <v>1</v>
      </c>
      <c r="BJ68">
        <f t="shared" ca="1" si="46"/>
        <v>1</v>
      </c>
      <c r="BK68">
        <f t="shared" ca="1" si="46"/>
        <v>1</v>
      </c>
      <c r="BL68">
        <f t="shared" ca="1" si="46"/>
        <v>1</v>
      </c>
      <c r="BM68">
        <f t="shared" ca="1" si="46"/>
        <v>0</v>
      </c>
      <c r="BN68">
        <f t="shared" ca="1" si="46"/>
        <v>0</v>
      </c>
      <c r="BO68">
        <f t="shared" ca="1" si="46"/>
        <v>1</v>
      </c>
      <c r="BU68">
        <f t="shared" ref="BU68:CF86" ca="1" si="47">IF(BD68,V68,$B68)</f>
        <v>6</v>
      </c>
      <c r="BV68">
        <f t="shared" ca="1" si="47"/>
        <v>6</v>
      </c>
      <c r="BW68">
        <f t="shared" ca="1" si="47"/>
        <v>6</v>
      </c>
      <c r="BX68">
        <f t="shared" ca="1" si="47"/>
        <v>6</v>
      </c>
      <c r="BY68">
        <f t="shared" ca="1" si="47"/>
        <v>6</v>
      </c>
      <c r="BZ68">
        <f t="shared" ca="1" si="47"/>
        <v>6</v>
      </c>
      <c r="CA68">
        <f t="shared" ca="1" si="47"/>
        <v>6</v>
      </c>
      <c r="CB68">
        <f t="shared" ca="1" si="47"/>
        <v>6</v>
      </c>
      <c r="CC68">
        <f t="shared" ca="1" si="47"/>
        <v>6</v>
      </c>
      <c r="CD68">
        <f t="shared" ca="1" si="47"/>
        <v>72</v>
      </c>
      <c r="CE68">
        <f t="shared" ca="1" si="47"/>
        <v>72</v>
      </c>
      <c r="CF68">
        <f t="shared" ca="1" si="47"/>
        <v>6</v>
      </c>
      <c r="CL68">
        <f t="shared" ref="CL68:CW86" ca="1" si="48">IF(BU68=$C68,1,0)</f>
        <v>1</v>
      </c>
      <c r="CM68">
        <f t="shared" ca="1" si="48"/>
        <v>1</v>
      </c>
      <c r="CN68">
        <f t="shared" ca="1" si="48"/>
        <v>1</v>
      </c>
      <c r="CO68">
        <f t="shared" ca="1" si="48"/>
        <v>1</v>
      </c>
      <c r="CP68">
        <f t="shared" ca="1" si="48"/>
        <v>1</v>
      </c>
      <c r="CQ68">
        <f t="shared" ca="1" si="48"/>
        <v>1</v>
      </c>
      <c r="CR68">
        <f t="shared" ca="1" si="48"/>
        <v>1</v>
      </c>
      <c r="CS68">
        <f t="shared" ca="1" si="48"/>
        <v>1</v>
      </c>
      <c r="CT68">
        <f t="shared" ca="1" si="48"/>
        <v>1</v>
      </c>
      <c r="CU68">
        <f t="shared" ca="1" si="48"/>
        <v>0</v>
      </c>
      <c r="CV68">
        <f t="shared" ca="1" si="48"/>
        <v>0</v>
      </c>
      <c r="CW68">
        <f t="shared" ca="1" si="48"/>
        <v>1</v>
      </c>
      <c r="DC68" cm="1">
        <f t="array" aca="1" ref="DC68" ca="1">IF(ISNA(E68),,OFFSET(INDIRECT("'"&amp;DT$67&amp;"'!f1"),E68-1,))*1</f>
        <v>0.145194301000003</v>
      </c>
      <c r="DD68" cm="1">
        <f t="array" aca="1" ref="DD68" ca="1">IF(ISNA(F68),,OFFSET(INDIRECT("'"&amp;DU$67&amp;"'!f1"),F68-1,))*1</f>
        <v>0.64200242600000401</v>
      </c>
      <c r="DE68" cm="1">
        <f t="array" aca="1" ref="DE68" ca="1">IF(ISNA(G68),,OFFSET(INDIRECT("'"&amp;DV$67&amp;"'!f1"),G68-1,))*1</f>
        <v>0.19020685399999501</v>
      </c>
      <c r="DF68" cm="1">
        <f t="array" aca="1" ref="DF68" ca="1">IF(ISNA(H68),,OFFSET(INDIRECT("'"&amp;DW$67&amp;"'!f1"),H68-1,))*1</f>
        <v>4.6195259000000898E-2</v>
      </c>
      <c r="DG68" cm="1">
        <f t="array" aca="1" ref="DG68" ca="1">IF(ISNA(I68),,OFFSET(INDIRECT("'"&amp;DX$67&amp;"'!f1"),I68-1,))*1</f>
        <v>1.69016820797696</v>
      </c>
      <c r="DH68" cm="1">
        <f t="array" aca="1" ref="DH68" ca="1">IF(ISNA(J68),,OFFSET(INDIRECT("'"&amp;DY$67&amp;"'!f1"),J68-1,))*1</f>
        <v>0.13708330690860701</v>
      </c>
      <c r="DI68" cm="1">
        <f t="array" aca="1" ref="DI68" ca="1">IF(ISNA(K68),,OFFSET(INDIRECT("'"&amp;DZ$67&amp;"'!f1"),K68-1,))*1</f>
        <v>2.77751107420772</v>
      </c>
      <c r="DJ68" cm="1">
        <f t="array" aca="1" ref="DJ68" ca="1">IF(ISNA(L68),,OFFSET(INDIRECT("'"&amp;EA$67&amp;"'!f1"),L68-1,))*1</f>
        <v>3.6712848264723998</v>
      </c>
      <c r="DK68" cm="1">
        <f t="array" aca="1" ref="DK68" ca="1">IF(ISNA(M68),,OFFSET(INDIRECT("'"&amp;EB$67&amp;"'!f1"),M68-1,))*1</f>
        <v>43.458912516944103</v>
      </c>
      <c r="DL68" cm="1">
        <f t="array" aca="1" ref="DL68" ca="1">IF(ISNA(N68),,OFFSET(INDIRECT("'"&amp;EC$67&amp;"'!f1"),N68-1,))*1</f>
        <v>9.67893699998967E-3</v>
      </c>
      <c r="DM68" cm="1">
        <f t="array" aca="1" ref="DM68" ca="1">IF(ISNA(O68),,OFFSET(INDIRECT("'"&amp;ED$67&amp;"'!f1"),O68-1,))*1</f>
        <v>1.2201688005006799E-2</v>
      </c>
      <c r="DN68" cm="1">
        <f t="array" aca="1" ref="DN68" ca="1">IF(ISNA(P68),,OFFSET(INDIRECT("'"&amp;EE$67&amp;"'!f1"),P68-1,))*1</f>
        <v>0.13912423606961899</v>
      </c>
      <c r="DT68">
        <f ca="1">IF(CL68,EK68,)</f>
        <v>1</v>
      </c>
      <c r="DU68">
        <f t="shared" ref="DU68:EE83" ca="1" si="49">IF(CM68,EL68,)</f>
        <v>1</v>
      </c>
      <c r="DV68">
        <f t="shared" ca="1" si="49"/>
        <v>1</v>
      </c>
      <c r="DW68">
        <f t="shared" ca="1" si="49"/>
        <v>1</v>
      </c>
      <c r="DX68">
        <f t="shared" ca="1" si="49"/>
        <v>1</v>
      </c>
      <c r="DY68">
        <f t="shared" ca="1" si="49"/>
        <v>1</v>
      </c>
      <c r="DZ68">
        <f t="shared" ca="1" si="49"/>
        <v>9477</v>
      </c>
      <c r="EA68">
        <f t="shared" ca="1" si="49"/>
        <v>9992</v>
      </c>
      <c r="EB68">
        <f t="shared" ca="1" si="49"/>
        <v>9279</v>
      </c>
      <c r="EC68">
        <f t="shared" ca="1" si="49"/>
        <v>0</v>
      </c>
      <c r="ED68">
        <f t="shared" ca="1" si="49"/>
        <v>0</v>
      </c>
      <c r="EE68">
        <f t="shared" ca="1" si="49"/>
        <v>2</v>
      </c>
      <c r="EK68" cm="1">
        <f t="array" aca="1" ref="EK68" ca="1">IF(ISNA(E68),0,OFFSET(INDIRECT("'"&amp;EK$67&amp;"'!g1"),E68-1,)*CL68)</f>
        <v>1</v>
      </c>
      <c r="EL68" cm="1">
        <f t="array" aca="1" ref="EL68" ca="1">IF(ISNA(F68),0,OFFSET(INDIRECT("'"&amp;EL$67&amp;"'!g1"),F68-1,)*CM68)</f>
        <v>1</v>
      </c>
      <c r="EM68" cm="1">
        <f t="array" aca="1" ref="EM68" ca="1">IF(ISNA(G68),0,OFFSET(INDIRECT("'"&amp;EM$67&amp;"'!g1"),G68-1,)*CN68)</f>
        <v>1</v>
      </c>
      <c r="EN68" cm="1">
        <f t="array" aca="1" ref="EN68" ca="1">IF(ISNA(H68),0,OFFSET(INDIRECT("'"&amp;EN$67&amp;"'!g1"),H68-1,)*CO68)</f>
        <v>1</v>
      </c>
      <c r="EO68" cm="1">
        <f t="array" aca="1" ref="EO68" ca="1">IF(ISNA(I68),0,OFFSET(INDIRECT("'"&amp;EO$67&amp;"'!g1"),I68-1,)*CP68)</f>
        <v>1</v>
      </c>
      <c r="EP68" cm="1">
        <f t="array" aca="1" ref="EP68" ca="1">IF(ISNA(J68),0,OFFSET(INDIRECT("'"&amp;EP$67&amp;"'!g1"),J68-1,)*CQ68)</f>
        <v>1</v>
      </c>
      <c r="EQ68" cm="1">
        <f t="array" aca="1" ref="EQ68" ca="1">IF(ISNA(K68),0,OFFSET(INDIRECT("'"&amp;EQ$67&amp;"'!g1"),K68-1,)*CR68)</f>
        <v>9477</v>
      </c>
      <c r="ER68" cm="1">
        <f t="array" aca="1" ref="ER68" ca="1">IF(ISNA(L68),0,OFFSET(INDIRECT("'"&amp;ER$67&amp;"'!g1"),L68-1,)*CS68)</f>
        <v>9992</v>
      </c>
      <c r="ES68" cm="1">
        <f t="array" aca="1" ref="ES68" ca="1">IF(ISNA(M68),0,OFFSET(INDIRECT("'"&amp;ES$67&amp;"'!g1"),M68-1,)*CT68)</f>
        <v>9279</v>
      </c>
      <c r="ET68" cm="1">
        <f t="array" aca="1" ref="ET68" ca="1">IF(ISNA(N68),0,OFFSET(INDIRECT("'"&amp;ET$67&amp;"'!g1"),N68-1,)*CU68)</f>
        <v>0</v>
      </c>
      <c r="EU68" cm="1">
        <f t="array" aca="1" ref="EU68" ca="1">IF(ISNA(O68),0,OFFSET(INDIRECT("'"&amp;EU$67&amp;"'!g1"),O68-1,)*CV68)</f>
        <v>0</v>
      </c>
      <c r="EV68" cm="1">
        <f t="array" aca="1" ref="EV68" ca="1">IF(ISNA(P68),0,OFFSET(INDIRECT("'"&amp;EV$67&amp;"'!g1"),P68-1,)*CW68)</f>
        <v>2</v>
      </c>
      <c r="FB68" s="10" cm="1">
        <f t="array" aca="1" ref="FB68" ca="1">IF(ISNA(E68),0,OFFSET(INDIRECT("'"&amp;EK$67&amp;"'!h1"),E68-1,))</f>
        <v>1</v>
      </c>
      <c r="FC68" s="10" cm="1">
        <f t="array" aca="1" ref="FC68" ca="1">IF(ISNA(F68),0,OFFSET(INDIRECT("'"&amp;EL$67&amp;"'!h1"),F68-1,))</f>
        <v>1</v>
      </c>
      <c r="FD68" s="10" cm="1">
        <f t="array" aca="1" ref="FD68" ca="1">IF(ISNA(G68),0,OFFSET(INDIRECT("'"&amp;EM$67&amp;"'!h1"),G68-1,))</f>
        <v>1</v>
      </c>
      <c r="FE68" s="10" cm="1">
        <f t="array" aca="1" ref="FE68" ca="1">IF(ISNA(H68),0,OFFSET(INDIRECT("'"&amp;EN$67&amp;"'!h1"),H68-1,))</f>
        <v>1</v>
      </c>
      <c r="FF68" s="10" cm="1">
        <f t="array" aca="1" ref="FF68" ca="1">IF(ISNA(I68),0,OFFSET(INDIRECT("'"&amp;EO$67&amp;"'!h1"),I68-1,))</f>
        <v>1</v>
      </c>
      <c r="FG68" s="10" cm="1">
        <f t="array" aca="1" ref="FG68" ca="1">IF(ISNA(J68),0,OFFSET(INDIRECT("'"&amp;EP$67&amp;"'!h1"),J68-1,))</f>
        <v>1</v>
      </c>
      <c r="FH68" s="10" cm="1">
        <f t="array" aca="1" ref="FH68" ca="1">IF(ISNA(K68),0,OFFSET(INDIRECT("'"&amp;EQ$67&amp;"'!h1"),K68-1,))</f>
        <v>10000</v>
      </c>
      <c r="FI68" s="10" cm="1">
        <f t="array" aca="1" ref="FI68" ca="1">IF(ISNA(L68),0,OFFSET(INDIRECT("'"&amp;ER$67&amp;"'!h1"),L68-1,))</f>
        <v>10000</v>
      </c>
      <c r="FJ68" s="10" cm="1">
        <f t="array" aca="1" ref="FJ68" ca="1">IF(ISNA(M68),0,OFFSET(INDIRECT("'"&amp;ES$67&amp;"'!h1"),M68-1,))</f>
        <v>10000</v>
      </c>
      <c r="FK68" s="10" cm="1">
        <f t="array" aca="1" ref="FK68" ca="1">IF(ISNA(N68),0,OFFSET(INDIRECT("'"&amp;ET$67&amp;"'!h1"),N68-1,))</f>
        <v>1</v>
      </c>
      <c r="FL68" s="10" cm="1">
        <f t="array" aca="1" ref="FL68" ca="1">IF(ISNA(O68),0,OFFSET(INDIRECT("'"&amp;EU$67&amp;"'!h1"),O68-1,))</f>
        <v>1</v>
      </c>
      <c r="FM68" s="10" cm="1">
        <f t="array" aca="1" ref="FM68" ca="1">IF(ISNA(P68),0,OFFSET(INDIRECT("'"&amp;EV$67&amp;"'!h1"),P68-1,))</f>
        <v>4</v>
      </c>
      <c r="FN68" s="10"/>
      <c r="FO68" s="10"/>
      <c r="FP68" s="10"/>
      <c r="FQ68" s="10"/>
      <c r="FS68">
        <f ca="1">B68</f>
        <v>72</v>
      </c>
      <c r="FT68">
        <f ca="1">OFFSET($DC68,,$FT$66-1)</f>
        <v>2.77751107420772</v>
      </c>
      <c r="FU68">
        <f ca="1">OFFSET($DT68,,$FT$66-1)</f>
        <v>9477</v>
      </c>
      <c r="FV68">
        <f ca="1">OFFSET($FB68,,$FT$66-1)</f>
        <v>10000</v>
      </c>
      <c r="FW68" s="3">
        <f ca="1">IF(FV68,FU68/FV68,NA())</f>
        <v>0.94769999999999999</v>
      </c>
      <c r="FX68" s="4">
        <f ca="1">IF(FU68,FT68/FU68,NA())</f>
        <v>2.9307914679832438E-4</v>
      </c>
      <c r="FZ68" s="12">
        <f t="shared" ref="FZ68:FZ87" ca="1" si="50">GN68</f>
        <v>72</v>
      </c>
      <c r="GA68" s="24">
        <f ca="1">IF(BD68,(BU68-$C68)/$C68,NA())</f>
        <v>0</v>
      </c>
      <c r="GB68" s="24">
        <f t="shared" ref="GB68:GL87" ca="1" si="51">IF(BE68,(BV68-$C68)/$C68,NA())</f>
        <v>0</v>
      </c>
      <c r="GC68" s="24">
        <f t="shared" ca="1" si="51"/>
        <v>0</v>
      </c>
      <c r="GD68" s="24">
        <f t="shared" ca="1" si="51"/>
        <v>0</v>
      </c>
      <c r="GE68" s="24">
        <f t="shared" ca="1" si="51"/>
        <v>0</v>
      </c>
      <c r="GF68" s="24">
        <f t="shared" ca="1" si="51"/>
        <v>0</v>
      </c>
      <c r="GG68" s="24">
        <f t="shared" ca="1" si="51"/>
        <v>0</v>
      </c>
      <c r="GH68" s="24">
        <f t="shared" ca="1" si="51"/>
        <v>0</v>
      </c>
      <c r="GI68" s="24">
        <f t="shared" ca="1" si="51"/>
        <v>0</v>
      </c>
      <c r="GJ68" s="24" t="e">
        <f t="shared" ca="1" si="51"/>
        <v>#N/A</v>
      </c>
      <c r="GK68" s="24" t="e">
        <f t="shared" ca="1" si="51"/>
        <v>#N/A</v>
      </c>
      <c r="GL68" s="24">
        <f t="shared" ca="1" si="51"/>
        <v>0</v>
      </c>
      <c r="GM68" s="24"/>
      <c r="GN68">
        <f ca="1">B68</f>
        <v>72</v>
      </c>
      <c r="GO68" s="4">
        <f ca="1">IF(AND(AM68&gt;0,DT68&gt;0),DC68/DT68,NA())</f>
        <v>0.145194301000003</v>
      </c>
      <c r="GP68" s="4">
        <f t="shared" ref="GP68:GS83" ca="1" si="52">IF(AND(AN68&gt;0,DU68&gt;0),DD68/DU68,NA())</f>
        <v>0.64200242600000401</v>
      </c>
      <c r="GQ68" s="4">
        <f t="shared" ca="1" si="52"/>
        <v>0.19020685399999501</v>
      </c>
      <c r="GR68" s="4">
        <f t="shared" ca="1" si="52"/>
        <v>4.6195259000000898E-2</v>
      </c>
      <c r="GS68" s="4">
        <f t="shared" ca="1" si="52"/>
        <v>1.69016820797696</v>
      </c>
      <c r="GT68" s="4">
        <f ca="1">IF(DY68&gt;0,DH68/DY68,NA())</f>
        <v>0.13708330690860701</v>
      </c>
      <c r="GU68" s="4">
        <f t="shared" ref="GU68:GZ83" ca="1" si="53">IF(DZ68&gt;0,DI68/DZ68,NA())</f>
        <v>2.9307914679832438E-4</v>
      </c>
      <c r="GV68" s="4">
        <f t="shared" ca="1" si="53"/>
        <v>3.6742242058370697E-4</v>
      </c>
      <c r="GW68" s="4">
        <f t="shared" ca="1" si="53"/>
        <v>4.683577165313515E-3</v>
      </c>
      <c r="GX68" s="4" t="e">
        <f t="shared" ca="1" si="53"/>
        <v>#N/A</v>
      </c>
      <c r="GY68" s="4" t="e">
        <f t="shared" ca="1" si="53"/>
        <v>#N/A</v>
      </c>
      <c r="GZ68" s="4">
        <f t="shared" ca="1" si="53"/>
        <v>6.9562118034809495E-2</v>
      </c>
      <c r="HB68" s="12">
        <f t="shared" ref="HB68:HB87" ca="1" si="54">GN68</f>
        <v>72</v>
      </c>
      <c r="HC68" s="3">
        <f ca="1">IF(FB68,DT68/FB68,)</f>
        <v>1</v>
      </c>
      <c r="HD68" s="3">
        <f t="shared" ref="HD68:HN87" ca="1" si="55">IF(FC68,DU68/FC68,)</f>
        <v>1</v>
      </c>
      <c r="HE68" s="3">
        <f t="shared" ca="1" si="55"/>
        <v>1</v>
      </c>
      <c r="HF68" s="3">
        <f t="shared" ca="1" si="55"/>
        <v>1</v>
      </c>
      <c r="HG68" s="3">
        <f t="shared" ca="1" si="55"/>
        <v>1</v>
      </c>
      <c r="HH68" s="3">
        <f t="shared" ca="1" si="55"/>
        <v>1</v>
      </c>
      <c r="HI68" s="3">
        <f t="shared" ca="1" si="55"/>
        <v>0.94769999999999999</v>
      </c>
      <c r="HJ68" s="3">
        <f t="shared" ca="1" si="55"/>
        <v>0.99919999999999998</v>
      </c>
      <c r="HK68" s="3">
        <f t="shared" ca="1" si="55"/>
        <v>0.92789999999999995</v>
      </c>
      <c r="HL68" s="3">
        <f t="shared" ca="1" si="55"/>
        <v>0</v>
      </c>
      <c r="HM68" s="3">
        <f t="shared" ca="1" si="55"/>
        <v>0</v>
      </c>
      <c r="HN68" s="3">
        <f t="shared" ca="1" si="55"/>
        <v>0.5</v>
      </c>
    </row>
    <row r="69" spans="1:222" x14ac:dyDescent="0.2">
      <c r="A69" t="str" cm="1">
        <f t="array" aca="1" ref="A69" ca="1">INDIRECT($A$67&amp;"!A"&amp;ROW(C2)+$B$64)</f>
        <v>[[90,8,10]]</v>
      </c>
      <c r="B69" cm="1">
        <f t="array" aca="1" ref="B69" ca="1">INDIRECT($A$67&amp;"!b"&amp;ROW(D2)+$B$64)</f>
        <v>90</v>
      </c>
      <c r="C69">
        <f t="shared" ref="C69:C87" ca="1" si="56">MIN(INDIRECT($A$67&amp;"!d"&amp;ROW(E2)+$B$64),BU69:CG69)</f>
        <v>10</v>
      </c>
      <c r="E69">
        <f t="shared" ca="1" si="43"/>
        <v>26</v>
      </c>
      <c r="F69">
        <f t="shared" ca="1" si="43"/>
        <v>27</v>
      </c>
      <c r="G69">
        <f t="shared" ca="1" si="43"/>
        <v>26</v>
      </c>
      <c r="H69">
        <f t="shared" ca="1" si="43"/>
        <v>26</v>
      </c>
      <c r="I69">
        <f t="shared" ca="1" si="43"/>
        <v>29</v>
      </c>
      <c r="J69">
        <f t="shared" ca="1" si="43"/>
        <v>26</v>
      </c>
      <c r="K69">
        <f t="shared" ca="1" si="43"/>
        <v>33</v>
      </c>
      <c r="L69">
        <f t="shared" ca="1" si="43"/>
        <v>35</v>
      </c>
      <c r="M69">
        <f t="shared" ca="1" si="43"/>
        <v>32</v>
      </c>
      <c r="N69">
        <f t="shared" ca="1" si="43"/>
        <v>26</v>
      </c>
      <c r="O69">
        <f t="shared" ca="1" si="43"/>
        <v>26</v>
      </c>
      <c r="P69">
        <f t="shared" ca="1" si="43"/>
        <v>31</v>
      </c>
      <c r="V69" cm="1">
        <f t="array" aca="1" ref="V69" ca="1">IF(ISNA(E69),,OFFSET(INDIRECT("'"&amp;V$67&amp;"'!d1"),E69-1,))</f>
        <v>10</v>
      </c>
      <c r="W69" cm="1">
        <f t="array" aca="1" ref="W69" ca="1">IF(ISNA(F69),,OFFSET(INDIRECT("'"&amp;W$67&amp;"'!d1"),F69-1,))</f>
        <v>10</v>
      </c>
      <c r="X69" cm="1">
        <f t="array" aca="1" ref="X69" ca="1">IF(ISNA(G69),,OFFSET(INDIRECT("'"&amp;X$67&amp;"'!d1"),G69-1,))</f>
        <v>10</v>
      </c>
      <c r="Y69" cm="1">
        <f t="array" aca="1" ref="Y69" ca="1">IF(ISNA(H69),,OFFSET(INDIRECT("'"&amp;Y$67&amp;"'!d1"),H69-1,))</f>
        <v>10</v>
      </c>
      <c r="Z69" cm="1">
        <f t="array" aca="1" ref="Z69" ca="1">IF(ISNA(I69),,OFFSET(INDIRECT("'"&amp;Z$67&amp;"'!d1"),I69-1,))</f>
        <v>10</v>
      </c>
      <c r="AA69" cm="1">
        <f t="array" aca="1" ref="AA69" ca="1">IF(ISNA(J69),,OFFSET(INDIRECT("'"&amp;AA$67&amp;"'!d1"),J69-1,))</f>
        <v>10</v>
      </c>
      <c r="AB69" cm="1">
        <f t="array" aca="1" ref="AB69" ca="1">IF(ISNA(K69),,OFFSET(INDIRECT("'"&amp;AB$67&amp;"'!d1"),K69-1,))</f>
        <v>10</v>
      </c>
      <c r="AC69" cm="1">
        <f t="array" aca="1" ref="AC69" ca="1">IF(ISNA(L69),,OFFSET(INDIRECT("'"&amp;AC$67&amp;"'!d1"),L69-1,))</f>
        <v>10</v>
      </c>
      <c r="AD69" cm="1">
        <f t="array" aca="1" ref="AD69" ca="1">IF(ISNA(M69),,OFFSET(INDIRECT("'"&amp;AD$67&amp;"'!d1"),M69-1,))</f>
        <v>10</v>
      </c>
      <c r="AE69" cm="1">
        <f t="array" aca="1" ref="AE69" ca="1">IF(ISNA(N69),,OFFSET(INDIRECT("'"&amp;AE$67&amp;"'!d1"),N69-1,))</f>
        <v>0</v>
      </c>
      <c r="AF69" cm="1">
        <f t="array" aca="1" ref="AF69" ca="1">IF(ISNA(O69),,OFFSET(INDIRECT("'"&amp;AF$67&amp;"'!d1"),O69-1,))</f>
        <v>0</v>
      </c>
      <c r="AG69" cm="1">
        <f t="array" aca="1" ref="AG69" ca="1">IF(ISNA(P69),,OFFSET(INDIRECT("'"&amp;AG$67&amp;"'!d1"),P69-1,))</f>
        <v>10</v>
      </c>
      <c r="AM69">
        <f t="shared" ref="AM69:AP86" ca="1" si="57">IF(DC69&gt;= $N$3,0,BD69)</f>
        <v>1</v>
      </c>
      <c r="AN69">
        <f t="shared" ca="1" si="44"/>
        <v>1</v>
      </c>
      <c r="AO69">
        <f t="shared" ca="1" si="44"/>
        <v>1</v>
      </c>
      <c r="AP69">
        <f t="shared" ca="1" si="44"/>
        <v>1</v>
      </c>
      <c r="AQ69">
        <f t="shared" ref="AQ69:AQ87" ca="1" si="58">IF(DG69*1&gt;= $N$3,0,BH69)</f>
        <v>0</v>
      </c>
      <c r="AV69" t="b">
        <f t="shared" ref="AV69:AZ87" ca="1" si="59">IF(AM69=1,CL69=1,"")</f>
        <v>1</v>
      </c>
      <c r="AW69" t="b">
        <f t="shared" ca="1" si="45"/>
        <v>1</v>
      </c>
      <c r="AX69" t="b">
        <f t="shared" ca="1" si="45"/>
        <v>1</v>
      </c>
      <c r="AY69" t="b">
        <f t="shared" ca="1" si="45"/>
        <v>1</v>
      </c>
      <c r="AZ69" t="str">
        <f t="shared" ca="1" si="45"/>
        <v/>
      </c>
      <c r="BD69">
        <f t="shared" ca="1" si="46"/>
        <v>1</v>
      </c>
      <c r="BE69">
        <f t="shared" ca="1" si="46"/>
        <v>1</v>
      </c>
      <c r="BF69">
        <f t="shared" ca="1" si="46"/>
        <v>1</v>
      </c>
      <c r="BG69">
        <f t="shared" ca="1" si="46"/>
        <v>1</v>
      </c>
      <c r="BH69">
        <f t="shared" ca="1" si="46"/>
        <v>1</v>
      </c>
      <c r="BI69">
        <f t="shared" ca="1" si="46"/>
        <v>1</v>
      </c>
      <c r="BJ69">
        <f t="shared" ca="1" si="46"/>
        <v>1</v>
      </c>
      <c r="BK69">
        <f t="shared" ca="1" si="46"/>
        <v>1</v>
      </c>
      <c r="BL69">
        <f t="shared" ca="1" si="46"/>
        <v>1</v>
      </c>
      <c r="BM69">
        <f t="shared" ca="1" si="46"/>
        <v>0</v>
      </c>
      <c r="BN69">
        <f t="shared" ca="1" si="46"/>
        <v>0</v>
      </c>
      <c r="BO69">
        <f t="shared" ca="1" si="46"/>
        <v>1</v>
      </c>
      <c r="BU69">
        <f t="shared" ca="1" si="47"/>
        <v>10</v>
      </c>
      <c r="BV69">
        <f t="shared" ca="1" si="47"/>
        <v>10</v>
      </c>
      <c r="BW69">
        <f t="shared" ca="1" si="47"/>
        <v>10</v>
      </c>
      <c r="BX69">
        <f t="shared" ca="1" si="47"/>
        <v>10</v>
      </c>
      <c r="BY69">
        <f t="shared" ca="1" si="47"/>
        <v>10</v>
      </c>
      <c r="BZ69">
        <f t="shared" ca="1" si="47"/>
        <v>10</v>
      </c>
      <c r="CA69">
        <f t="shared" ca="1" si="47"/>
        <v>10</v>
      </c>
      <c r="CB69">
        <f t="shared" ca="1" si="47"/>
        <v>10</v>
      </c>
      <c r="CC69">
        <f t="shared" ca="1" si="47"/>
        <v>10</v>
      </c>
      <c r="CD69">
        <f t="shared" ca="1" si="47"/>
        <v>90</v>
      </c>
      <c r="CE69">
        <f t="shared" ca="1" si="47"/>
        <v>90</v>
      </c>
      <c r="CF69">
        <f t="shared" ca="1" si="47"/>
        <v>10</v>
      </c>
      <c r="CL69">
        <f t="shared" ca="1" si="48"/>
        <v>1</v>
      </c>
      <c r="CM69">
        <f t="shared" ca="1" si="48"/>
        <v>1</v>
      </c>
      <c r="CN69">
        <f t="shared" ca="1" si="48"/>
        <v>1</v>
      </c>
      <c r="CO69">
        <f t="shared" ca="1" si="48"/>
        <v>1</v>
      </c>
      <c r="CP69">
        <f t="shared" ca="1" si="48"/>
        <v>1</v>
      </c>
      <c r="CQ69">
        <f t="shared" ca="1" si="48"/>
        <v>1</v>
      </c>
      <c r="CR69">
        <f t="shared" ca="1" si="48"/>
        <v>1</v>
      </c>
      <c r="CS69">
        <f t="shared" ca="1" si="48"/>
        <v>1</v>
      </c>
      <c r="CT69">
        <f t="shared" ca="1" si="48"/>
        <v>1</v>
      </c>
      <c r="CU69">
        <f t="shared" ca="1" si="48"/>
        <v>0</v>
      </c>
      <c r="CV69">
        <f t="shared" ca="1" si="48"/>
        <v>0</v>
      </c>
      <c r="CW69">
        <f t="shared" ca="1" si="48"/>
        <v>1</v>
      </c>
      <c r="DC69" cm="1">
        <f t="array" aca="1" ref="DC69" ca="1">IF(ISNA(E69),,OFFSET(INDIRECT("'"&amp;DT$67&amp;"'!f1"),E69-1,))*1</f>
        <v>4.1579137929999703</v>
      </c>
      <c r="DD69" cm="1">
        <f t="array" aca="1" ref="DD69" ca="1">IF(ISNA(F69),,OFFSET(INDIRECT("'"&amp;DU$67&amp;"'!f1"),F69-1,))*1</f>
        <v>20.711546717999902</v>
      </c>
      <c r="DE69" cm="1">
        <f t="array" aca="1" ref="DE69" ca="1">IF(ISNA(G69),,OFFSET(INDIRECT("'"&amp;DV$67&amp;"'!f1"),G69-1,))*1</f>
        <v>19.342009766</v>
      </c>
      <c r="DF69" cm="1">
        <f t="array" aca="1" ref="DF69" ca="1">IF(ISNA(H69),,OFFSET(INDIRECT("'"&amp;DW$67&amp;"'!f1"),H69-1,))*1</f>
        <v>0.31406962899998803</v>
      </c>
      <c r="DG69" cm="1">
        <f t="array" aca="1" ref="DG69" ca="1">IF(ISNA(I69),,OFFSET(INDIRECT("'"&amp;DX$67&amp;"'!f1"),I69-1,))*1</f>
        <v>28800.032498291901</v>
      </c>
      <c r="DH69" cm="1">
        <f t="array" aca="1" ref="DH69" ca="1">IF(ISNA(J69),,OFFSET(INDIRECT("'"&amp;DY$67&amp;"'!f1"),J69-1,))*1</f>
        <v>0.192242667078971</v>
      </c>
      <c r="DI69" cm="1">
        <f t="array" aca="1" ref="DI69" ca="1">IF(ISNA(K69),,OFFSET(INDIRECT("'"&amp;DZ$67&amp;"'!f1"),K69-1,))*1</f>
        <v>3.3819050565361901</v>
      </c>
      <c r="DJ69" cm="1">
        <f t="array" aca="1" ref="DJ69" ca="1">IF(ISNA(L69),,OFFSET(INDIRECT("'"&amp;EA$67&amp;"'!f1"),L69-1,))*1</f>
        <v>4.4575684517621896</v>
      </c>
      <c r="DK69" cm="1">
        <f t="array" aca="1" ref="DK69" ca="1">IF(ISNA(M69),,OFFSET(INDIRECT("'"&amp;EB$67&amp;"'!f1"),M69-1,))*1</f>
        <v>50.427571890875697</v>
      </c>
      <c r="DL69" cm="1">
        <f t="array" aca="1" ref="DL69" ca="1">IF(ISNA(N69),,OFFSET(INDIRECT("'"&amp;EC$67&amp;"'!f1"),N69-1,))*1</f>
        <v>1.9740432995604299E-2</v>
      </c>
      <c r="DM69" cm="1">
        <f t="array" aca="1" ref="DM69" ca="1">IF(ISNA(O69),,OFFSET(INDIRECT("'"&amp;ED$67&amp;"'!f1"),O69-1,))*1</f>
        <v>1.31719369965139E-2</v>
      </c>
      <c r="DN69" cm="1">
        <f t="array" aca="1" ref="DN69" ca="1">IF(ISNA(P69),,OFFSET(INDIRECT("'"&amp;EE$67&amp;"'!f1"),P69-1,))*1</f>
        <v>0.29451060760766201</v>
      </c>
      <c r="DT69">
        <f t="shared" ref="DT69:EE86" ca="1" si="60">IF(CL69,EK69,)</f>
        <v>1</v>
      </c>
      <c r="DU69">
        <f t="shared" ca="1" si="49"/>
        <v>1</v>
      </c>
      <c r="DV69">
        <f t="shared" ca="1" si="49"/>
        <v>1</v>
      </c>
      <c r="DW69">
        <f t="shared" ca="1" si="49"/>
        <v>1</v>
      </c>
      <c r="DX69">
        <f t="shared" ca="1" si="49"/>
        <v>1</v>
      </c>
      <c r="DY69">
        <f t="shared" ca="1" si="49"/>
        <v>1</v>
      </c>
      <c r="DZ69">
        <f t="shared" ca="1" si="49"/>
        <v>7065</v>
      </c>
      <c r="EA69">
        <f t="shared" ca="1" si="49"/>
        <v>9953</v>
      </c>
      <c r="EB69">
        <f t="shared" ca="1" si="49"/>
        <v>7524</v>
      </c>
      <c r="EC69">
        <f t="shared" ca="1" si="49"/>
        <v>0</v>
      </c>
      <c r="ED69">
        <f t="shared" ca="1" si="49"/>
        <v>0</v>
      </c>
      <c r="EE69">
        <f t="shared" ca="1" si="49"/>
        <v>2</v>
      </c>
      <c r="EK69" cm="1">
        <f t="array" aca="1" ref="EK69" ca="1">IF(ISNA(E69),0,OFFSET(INDIRECT("'"&amp;EK$67&amp;"'!g1"),E69-1,)*CL69)</f>
        <v>1</v>
      </c>
      <c r="EL69" cm="1">
        <f t="array" aca="1" ref="EL69" ca="1">IF(ISNA(F69),0,OFFSET(INDIRECT("'"&amp;EL$67&amp;"'!g1"),F69-1,)*CM69)</f>
        <v>1</v>
      </c>
      <c r="EM69" cm="1">
        <f t="array" aca="1" ref="EM69" ca="1">IF(ISNA(G69),0,OFFSET(INDIRECT("'"&amp;EM$67&amp;"'!g1"),G69-1,)*CN69)</f>
        <v>1</v>
      </c>
      <c r="EN69" cm="1">
        <f t="array" aca="1" ref="EN69" ca="1">IF(ISNA(H69),0,OFFSET(INDIRECT("'"&amp;EN$67&amp;"'!g1"),H69-1,)*CO69)</f>
        <v>1</v>
      </c>
      <c r="EO69" cm="1">
        <f t="array" aca="1" ref="EO69" ca="1">IF(ISNA(I69),0,OFFSET(INDIRECT("'"&amp;EO$67&amp;"'!g1"),I69-1,)*CP69)</f>
        <v>1</v>
      </c>
      <c r="EP69" cm="1">
        <f t="array" aca="1" ref="EP69" ca="1">IF(ISNA(J69),0,OFFSET(INDIRECT("'"&amp;EP$67&amp;"'!g1"),J69-1,)*CQ69)</f>
        <v>1</v>
      </c>
      <c r="EQ69" cm="1">
        <f t="array" aca="1" ref="EQ69" ca="1">IF(ISNA(K69),0,OFFSET(INDIRECT("'"&amp;EQ$67&amp;"'!g1"),K69-1,)*CR69)</f>
        <v>7065</v>
      </c>
      <c r="ER69" cm="1">
        <f t="array" aca="1" ref="ER69" ca="1">IF(ISNA(L69),0,OFFSET(INDIRECT("'"&amp;ER$67&amp;"'!g1"),L69-1,)*CS69)</f>
        <v>9953</v>
      </c>
      <c r="ES69" cm="1">
        <f t="array" aca="1" ref="ES69" ca="1">IF(ISNA(M69),0,OFFSET(INDIRECT("'"&amp;ES$67&amp;"'!g1"),M69-1,)*CT69)</f>
        <v>7524</v>
      </c>
      <c r="ET69" cm="1">
        <f t="array" aca="1" ref="ET69" ca="1">IF(ISNA(N69),0,OFFSET(INDIRECT("'"&amp;ET$67&amp;"'!g1"),N69-1,)*CU69)</f>
        <v>0</v>
      </c>
      <c r="EU69" cm="1">
        <f t="array" aca="1" ref="EU69" ca="1">IF(ISNA(O69),0,OFFSET(INDIRECT("'"&amp;EU$67&amp;"'!g1"),O69-1,)*CV69)</f>
        <v>0</v>
      </c>
      <c r="EV69" cm="1">
        <f t="array" aca="1" ref="EV69" ca="1">IF(ISNA(P69),0,OFFSET(INDIRECT("'"&amp;EV$67&amp;"'!g1"),P69-1,)*CW69)</f>
        <v>2</v>
      </c>
      <c r="FB69" s="10" cm="1">
        <f t="array" aca="1" ref="FB69" ca="1">IF(ISNA(E69),0,OFFSET(INDIRECT("'"&amp;EK$67&amp;"'!h1"),E69-1,))</f>
        <v>1</v>
      </c>
      <c r="FC69" s="10" cm="1">
        <f t="array" aca="1" ref="FC69" ca="1">IF(ISNA(F69),0,OFFSET(INDIRECT("'"&amp;EL$67&amp;"'!h1"),F69-1,))</f>
        <v>1</v>
      </c>
      <c r="FD69" s="10" cm="1">
        <f t="array" aca="1" ref="FD69" ca="1">IF(ISNA(G69),0,OFFSET(INDIRECT("'"&amp;EM$67&amp;"'!h1"),G69-1,))</f>
        <v>1</v>
      </c>
      <c r="FE69" s="10" cm="1">
        <f t="array" aca="1" ref="FE69" ca="1">IF(ISNA(H69),0,OFFSET(INDIRECT("'"&amp;EN$67&amp;"'!h1"),H69-1,))</f>
        <v>1</v>
      </c>
      <c r="FF69" s="10" cm="1">
        <f t="array" aca="1" ref="FF69" ca="1">IF(ISNA(I69),0,OFFSET(INDIRECT("'"&amp;EO$67&amp;"'!h1"),I69-1,))</f>
        <v>1</v>
      </c>
      <c r="FG69" s="10" cm="1">
        <f t="array" aca="1" ref="FG69" ca="1">IF(ISNA(J69),0,OFFSET(INDIRECT("'"&amp;EP$67&amp;"'!h1"),J69-1,))</f>
        <v>1</v>
      </c>
      <c r="FH69" s="10" cm="1">
        <f t="array" aca="1" ref="FH69" ca="1">IF(ISNA(K69),0,OFFSET(INDIRECT("'"&amp;EQ$67&amp;"'!h1"),K69-1,))</f>
        <v>10000</v>
      </c>
      <c r="FI69" s="10" cm="1">
        <f t="array" aca="1" ref="FI69" ca="1">IF(ISNA(L69),0,OFFSET(INDIRECT("'"&amp;ER$67&amp;"'!h1"),L69-1,))</f>
        <v>10000</v>
      </c>
      <c r="FJ69" s="10" cm="1">
        <f t="array" aca="1" ref="FJ69" ca="1">IF(ISNA(M69),0,OFFSET(INDIRECT("'"&amp;ES$67&amp;"'!h1"),M69-1,))</f>
        <v>10000</v>
      </c>
      <c r="FK69" s="10" cm="1">
        <f t="array" aca="1" ref="FK69" ca="1">IF(ISNA(N69),0,OFFSET(INDIRECT("'"&amp;ET$67&amp;"'!h1"),N69-1,))</f>
        <v>1</v>
      </c>
      <c r="FL69" s="10" cm="1">
        <f t="array" aca="1" ref="FL69" ca="1">IF(ISNA(O69),0,OFFSET(INDIRECT("'"&amp;EU$67&amp;"'!h1"),O69-1,))</f>
        <v>1</v>
      </c>
      <c r="FM69" s="10" cm="1">
        <f t="array" aca="1" ref="FM69" ca="1">IF(ISNA(P69),0,OFFSET(INDIRECT("'"&amp;EV$67&amp;"'!h1"),P69-1,))</f>
        <v>4</v>
      </c>
      <c r="FN69" s="10"/>
      <c r="FO69" s="10"/>
      <c r="FP69" s="10"/>
      <c r="FQ69" s="10"/>
      <c r="FS69">
        <f t="shared" ref="FS69:FS87" ca="1" si="61">B69</f>
        <v>90</v>
      </c>
      <c r="FT69">
        <f t="shared" ref="FT69:FT87" ca="1" si="62">OFFSET($DC69,,$FT$66-1)</f>
        <v>3.3819050565361901</v>
      </c>
      <c r="FU69">
        <f t="shared" ref="FU69:FU87" ca="1" si="63">OFFSET($DT69,,$FT$66-1)</f>
        <v>7065</v>
      </c>
      <c r="FV69">
        <f t="shared" ref="FV69:FV87" ca="1" si="64">OFFSET($FB69,,$FT$66-1)</f>
        <v>10000</v>
      </c>
      <c r="FW69" s="3">
        <f t="shared" ref="FW69:FW87" ca="1" si="65">IF(FV69,FU69/FV69,NA())</f>
        <v>0.70650000000000002</v>
      </c>
      <c r="FX69" s="4">
        <f t="shared" ref="FX69:FX87" ca="1" si="66">IF(FU69,FT69/FU69,NA())</f>
        <v>4.7868436752104604E-4</v>
      </c>
      <c r="FZ69" s="12">
        <f t="shared" ca="1" si="50"/>
        <v>90</v>
      </c>
      <c r="GA69" s="24">
        <f t="shared" ref="GA69:GA87" ca="1" si="67">IF(BD69,(BU69-$C69)/$C69,NA())</f>
        <v>0</v>
      </c>
      <c r="GB69" s="24">
        <f t="shared" ca="1" si="51"/>
        <v>0</v>
      </c>
      <c r="GC69" s="24">
        <f t="shared" ca="1" si="51"/>
        <v>0</v>
      </c>
      <c r="GD69" s="24">
        <f t="shared" ca="1" si="51"/>
        <v>0</v>
      </c>
      <c r="GE69" s="24">
        <f t="shared" ca="1" si="51"/>
        <v>0</v>
      </c>
      <c r="GF69" s="24">
        <f t="shared" ca="1" si="51"/>
        <v>0</v>
      </c>
      <c r="GG69" s="24">
        <f t="shared" ca="1" si="51"/>
        <v>0</v>
      </c>
      <c r="GH69" s="24">
        <f t="shared" ca="1" si="51"/>
        <v>0</v>
      </c>
      <c r="GI69" s="24">
        <f t="shared" ca="1" si="51"/>
        <v>0</v>
      </c>
      <c r="GJ69" s="24" t="e">
        <f t="shared" ca="1" si="51"/>
        <v>#N/A</v>
      </c>
      <c r="GK69" s="24" t="e">
        <f t="shared" ca="1" si="51"/>
        <v>#N/A</v>
      </c>
      <c r="GL69" s="24">
        <f t="shared" ca="1" si="51"/>
        <v>0</v>
      </c>
      <c r="GM69" s="24"/>
      <c r="GN69">
        <f t="shared" ref="GN69:GN87" ca="1" si="68">B69</f>
        <v>90</v>
      </c>
      <c r="GO69" s="4">
        <f t="shared" ref="GO69:GS87" ca="1" si="69">IF(AND(AM69&gt;0,DT69&gt;0),DC69/DT69,NA())</f>
        <v>4.1579137929999703</v>
      </c>
      <c r="GP69" s="4">
        <f t="shared" ca="1" si="52"/>
        <v>20.711546717999902</v>
      </c>
      <c r="GQ69" s="4">
        <f t="shared" ca="1" si="52"/>
        <v>19.342009766</v>
      </c>
      <c r="GR69" s="4">
        <f t="shared" ca="1" si="52"/>
        <v>0.31406962899998803</v>
      </c>
      <c r="GS69" s="4" t="e">
        <f t="shared" ca="1" si="52"/>
        <v>#N/A</v>
      </c>
      <c r="GT69" s="4">
        <f t="shared" ref="GT69:GZ87" ca="1" si="70">IF(DY69&gt;0,DH69/DY69,NA())</f>
        <v>0.192242667078971</v>
      </c>
      <c r="GU69" s="4">
        <f t="shared" ca="1" si="53"/>
        <v>4.7868436752104604E-4</v>
      </c>
      <c r="GV69" s="4">
        <f t="shared" ca="1" si="53"/>
        <v>4.4786179561561232E-4</v>
      </c>
      <c r="GW69" s="4">
        <f t="shared" ca="1" si="53"/>
        <v>6.7022291189361635E-3</v>
      </c>
      <c r="GX69" s="4" t="e">
        <f t="shared" ca="1" si="53"/>
        <v>#N/A</v>
      </c>
      <c r="GY69" s="4" t="e">
        <f t="shared" ca="1" si="53"/>
        <v>#N/A</v>
      </c>
      <c r="GZ69" s="4">
        <f t="shared" ca="1" si="53"/>
        <v>0.14725530380383101</v>
      </c>
      <c r="HB69" s="12">
        <f t="shared" ca="1" si="54"/>
        <v>90</v>
      </c>
      <c r="HC69" s="3">
        <f t="shared" ref="HC69:HC87" ca="1" si="71">IF(FB69,DT69/FB69,)</f>
        <v>1</v>
      </c>
      <c r="HD69" s="3">
        <f t="shared" ca="1" si="55"/>
        <v>1</v>
      </c>
      <c r="HE69" s="3">
        <f t="shared" ca="1" si="55"/>
        <v>1</v>
      </c>
      <c r="HF69" s="3">
        <f t="shared" ca="1" si="55"/>
        <v>1</v>
      </c>
      <c r="HG69" s="3">
        <f t="shared" ca="1" si="55"/>
        <v>1</v>
      </c>
      <c r="HH69" s="3">
        <f t="shared" ca="1" si="55"/>
        <v>1</v>
      </c>
      <c r="HI69" s="3">
        <f t="shared" ca="1" si="55"/>
        <v>0.70650000000000002</v>
      </c>
      <c r="HJ69" s="3">
        <f t="shared" ca="1" si="55"/>
        <v>0.99529999999999996</v>
      </c>
      <c r="HK69" s="3">
        <f t="shared" ca="1" si="55"/>
        <v>0.75239999999999996</v>
      </c>
      <c r="HL69" s="3">
        <f t="shared" ca="1" si="55"/>
        <v>0</v>
      </c>
      <c r="HM69" s="3">
        <f t="shared" ca="1" si="55"/>
        <v>0</v>
      </c>
      <c r="HN69" s="3">
        <f t="shared" ca="1" si="55"/>
        <v>0.5</v>
      </c>
    </row>
    <row r="70" spans="1:222" x14ac:dyDescent="0.2">
      <c r="A70" t="str" cm="1">
        <f t="array" aca="1" ref="A70" ca="1">INDIRECT($A$67&amp;"!A"&amp;ROW(C3)+$B$64)</f>
        <v>[[108,8,10]]</v>
      </c>
      <c r="B70" cm="1">
        <f t="array" aca="1" ref="B70" ca="1">INDIRECT($A$67&amp;"!b"&amp;ROW(D3)+$B$64)</f>
        <v>108</v>
      </c>
      <c r="C70">
        <f t="shared" ca="1" si="56"/>
        <v>10</v>
      </c>
      <c r="E70">
        <f t="shared" ca="1" si="43"/>
        <v>27</v>
      </c>
      <c r="F70">
        <f t="shared" ca="1" si="43"/>
        <v>28</v>
      </c>
      <c r="G70">
        <f t="shared" ca="1" si="43"/>
        <v>27</v>
      </c>
      <c r="H70">
        <f t="shared" ca="1" si="43"/>
        <v>27</v>
      </c>
      <c r="I70">
        <f t="shared" ca="1" si="43"/>
        <v>30</v>
      </c>
      <c r="J70">
        <f t="shared" ca="1" si="43"/>
        <v>27</v>
      </c>
      <c r="K70">
        <f t="shared" ca="1" si="43"/>
        <v>34</v>
      </c>
      <c r="L70">
        <f t="shared" ca="1" si="43"/>
        <v>36</v>
      </c>
      <c r="M70">
        <f t="shared" ca="1" si="43"/>
        <v>33</v>
      </c>
      <c r="N70">
        <f t="shared" ca="1" si="43"/>
        <v>27</v>
      </c>
      <c r="O70">
        <f t="shared" ca="1" si="43"/>
        <v>27</v>
      </c>
      <c r="P70">
        <f t="shared" ca="1" si="43"/>
        <v>32</v>
      </c>
      <c r="V70" cm="1">
        <f t="array" aca="1" ref="V70" ca="1">IF(ISNA(E70),,OFFSET(INDIRECT("'"&amp;V$67&amp;"'!d1"),E70-1,))</f>
        <v>10</v>
      </c>
      <c r="W70" cm="1">
        <f t="array" aca="1" ref="W70" ca="1">IF(ISNA(F70),,OFFSET(INDIRECT("'"&amp;W$67&amp;"'!d1"),F70-1,))</f>
        <v>10</v>
      </c>
      <c r="X70" cm="1">
        <f t="array" aca="1" ref="X70" ca="1">IF(ISNA(G70),,OFFSET(INDIRECT("'"&amp;X$67&amp;"'!d1"),G70-1,))</f>
        <v>10</v>
      </c>
      <c r="Y70" cm="1">
        <f t="array" aca="1" ref="Y70" ca="1">IF(ISNA(H70),,OFFSET(INDIRECT("'"&amp;Y$67&amp;"'!d1"),H70-1,))</f>
        <v>10</v>
      </c>
      <c r="Z70" cm="1">
        <f t="array" aca="1" ref="Z70" ca="1">IF(ISNA(I70),,OFFSET(INDIRECT("'"&amp;Z$67&amp;"'!d1"),I70-1,))</f>
        <v>10</v>
      </c>
      <c r="AA70" cm="1">
        <f t="array" aca="1" ref="AA70" ca="1">IF(ISNA(J70),,OFFSET(INDIRECT("'"&amp;AA$67&amp;"'!d1"),J70-1,))</f>
        <v>10</v>
      </c>
      <c r="AB70" cm="1">
        <f t="array" aca="1" ref="AB70" ca="1">IF(ISNA(K70),,OFFSET(INDIRECT("'"&amp;AB$67&amp;"'!d1"),K70-1,))</f>
        <v>10</v>
      </c>
      <c r="AC70" cm="1">
        <f t="array" aca="1" ref="AC70" ca="1">IF(ISNA(L70),,OFFSET(INDIRECT("'"&amp;AC$67&amp;"'!d1"),L70-1,))</f>
        <v>10</v>
      </c>
      <c r="AD70" cm="1">
        <f t="array" aca="1" ref="AD70" ca="1">IF(ISNA(M70),,OFFSET(INDIRECT("'"&amp;AD$67&amp;"'!d1"),M70-1,))</f>
        <v>10</v>
      </c>
      <c r="AE70" cm="1">
        <f t="array" aca="1" ref="AE70" ca="1">IF(ISNA(N70),,OFFSET(INDIRECT("'"&amp;AE$67&amp;"'!d1"),N70-1,))</f>
        <v>0</v>
      </c>
      <c r="AF70" cm="1">
        <f t="array" aca="1" ref="AF70" ca="1">IF(ISNA(O70),,OFFSET(INDIRECT("'"&amp;AF$67&amp;"'!d1"),O70-1,))</f>
        <v>0</v>
      </c>
      <c r="AG70" cm="1">
        <f t="array" aca="1" ref="AG70" ca="1">IF(ISNA(P70),,OFFSET(INDIRECT("'"&amp;AG$67&amp;"'!d1"),P70-1,))</f>
        <v>10</v>
      </c>
      <c r="AM70">
        <f t="shared" ca="1" si="57"/>
        <v>1</v>
      </c>
      <c r="AN70">
        <f t="shared" ca="1" si="44"/>
        <v>1</v>
      </c>
      <c r="AO70">
        <f t="shared" ca="1" si="44"/>
        <v>1</v>
      </c>
      <c r="AP70">
        <f t="shared" ca="1" si="44"/>
        <v>1</v>
      </c>
      <c r="AQ70">
        <f t="shared" ca="1" si="58"/>
        <v>0</v>
      </c>
      <c r="AV70" t="b">
        <f t="shared" ca="1" si="59"/>
        <v>1</v>
      </c>
      <c r="AW70" t="b">
        <f t="shared" ca="1" si="45"/>
        <v>1</v>
      </c>
      <c r="AX70" t="b">
        <f t="shared" ca="1" si="45"/>
        <v>1</v>
      </c>
      <c r="AY70" t="b">
        <f t="shared" ca="1" si="45"/>
        <v>1</v>
      </c>
      <c r="AZ70" t="str">
        <f t="shared" ca="1" si="45"/>
        <v/>
      </c>
      <c r="BD70">
        <f t="shared" ca="1" si="46"/>
        <v>1</v>
      </c>
      <c r="BE70">
        <f t="shared" ca="1" si="46"/>
        <v>1</v>
      </c>
      <c r="BF70">
        <f t="shared" ca="1" si="46"/>
        <v>1</v>
      </c>
      <c r="BG70">
        <f t="shared" ca="1" si="46"/>
        <v>1</v>
      </c>
      <c r="BH70">
        <f t="shared" ca="1" si="46"/>
        <v>1</v>
      </c>
      <c r="BI70">
        <f t="shared" ca="1" si="46"/>
        <v>1</v>
      </c>
      <c r="BJ70">
        <f t="shared" ca="1" si="46"/>
        <v>1</v>
      </c>
      <c r="BK70">
        <f t="shared" ca="1" si="46"/>
        <v>1</v>
      </c>
      <c r="BL70">
        <f t="shared" ca="1" si="46"/>
        <v>1</v>
      </c>
      <c r="BM70">
        <f t="shared" ca="1" si="46"/>
        <v>0</v>
      </c>
      <c r="BN70">
        <f t="shared" ca="1" si="46"/>
        <v>0</v>
      </c>
      <c r="BO70">
        <f t="shared" ca="1" si="46"/>
        <v>1</v>
      </c>
      <c r="BU70">
        <f t="shared" ca="1" si="47"/>
        <v>10</v>
      </c>
      <c r="BV70">
        <f t="shared" ca="1" si="47"/>
        <v>10</v>
      </c>
      <c r="BW70">
        <f t="shared" ca="1" si="47"/>
        <v>10</v>
      </c>
      <c r="BX70">
        <f t="shared" ca="1" si="47"/>
        <v>10</v>
      </c>
      <c r="BY70">
        <f t="shared" ca="1" si="47"/>
        <v>10</v>
      </c>
      <c r="BZ70">
        <f t="shared" ca="1" si="47"/>
        <v>10</v>
      </c>
      <c r="CA70">
        <f t="shared" ca="1" si="47"/>
        <v>10</v>
      </c>
      <c r="CB70">
        <f t="shared" ca="1" si="47"/>
        <v>10</v>
      </c>
      <c r="CC70">
        <f t="shared" ca="1" si="47"/>
        <v>10</v>
      </c>
      <c r="CD70">
        <f t="shared" ca="1" si="47"/>
        <v>108</v>
      </c>
      <c r="CE70">
        <f t="shared" ca="1" si="47"/>
        <v>108</v>
      </c>
      <c r="CF70">
        <f t="shared" ca="1" si="47"/>
        <v>10</v>
      </c>
      <c r="CL70">
        <f t="shared" ca="1" si="48"/>
        <v>1</v>
      </c>
      <c r="CM70">
        <f t="shared" ca="1" si="48"/>
        <v>1</v>
      </c>
      <c r="CN70">
        <f t="shared" ca="1" si="48"/>
        <v>1</v>
      </c>
      <c r="CO70">
        <f t="shared" ca="1" si="48"/>
        <v>1</v>
      </c>
      <c r="CP70">
        <f t="shared" ca="1" si="48"/>
        <v>1</v>
      </c>
      <c r="CQ70">
        <f t="shared" ca="1" si="48"/>
        <v>1</v>
      </c>
      <c r="CR70">
        <f t="shared" ca="1" si="48"/>
        <v>1</v>
      </c>
      <c r="CS70">
        <f t="shared" ca="1" si="48"/>
        <v>1</v>
      </c>
      <c r="CT70">
        <f t="shared" ca="1" si="48"/>
        <v>1</v>
      </c>
      <c r="CU70">
        <f t="shared" ca="1" si="48"/>
        <v>0</v>
      </c>
      <c r="CV70">
        <f t="shared" ca="1" si="48"/>
        <v>0</v>
      </c>
      <c r="CW70">
        <f t="shared" ca="1" si="48"/>
        <v>1</v>
      </c>
      <c r="DC70" cm="1">
        <f t="array" aca="1" ref="DC70" ca="1">IF(ISNA(E70),,OFFSET(INDIRECT("'"&amp;DT$67&amp;"'!f1"),E70-1,))*1</f>
        <v>6.46211680800001</v>
      </c>
      <c r="DD70" cm="1">
        <f t="array" aca="1" ref="DD70" ca="1">IF(ISNA(F70),,OFFSET(INDIRECT("'"&amp;DU$67&amp;"'!f1"),F70-1,))*1</f>
        <v>32.492171583999998</v>
      </c>
      <c r="DE70" cm="1">
        <f t="array" aca="1" ref="DE70" ca="1">IF(ISNA(G70),,OFFSET(INDIRECT("'"&amp;DV$67&amp;"'!f1"),G70-1,))*1</f>
        <v>33.570045236999903</v>
      </c>
      <c r="DF70" cm="1">
        <f t="array" aca="1" ref="DF70" ca="1">IF(ISNA(H70),,OFFSET(INDIRECT("'"&amp;DW$67&amp;"'!f1"),H70-1,))*1</f>
        <v>0.35824539300000402</v>
      </c>
      <c r="DG70" cm="1">
        <f t="array" aca="1" ref="DG70" ca="1">IF(ISNA(I70),,OFFSET(INDIRECT("'"&amp;DX$67&amp;"'!f1"),I70-1,))*1</f>
        <v>28800.130500416999</v>
      </c>
      <c r="DH70" cm="1">
        <f t="array" aca="1" ref="DH70" ca="1">IF(ISNA(J70),,OFFSET(INDIRECT("'"&amp;DY$67&amp;"'!f1"),J70-1,))*1</f>
        <v>0.31088519841432499</v>
      </c>
      <c r="DI70" cm="1">
        <f t="array" aca="1" ref="DI70" ca="1">IF(ISNA(K70),,OFFSET(INDIRECT("'"&amp;DZ$67&amp;"'!f1"),K70-1,))*1</f>
        <v>3.93928512185812</v>
      </c>
      <c r="DJ70" cm="1">
        <f t="array" aca="1" ref="DJ70" ca="1">IF(ISNA(L70),,OFFSET(INDIRECT("'"&amp;EA$67&amp;"'!f1"),L70-1,))*1</f>
        <v>4.5929387696087298</v>
      </c>
      <c r="DK70" cm="1">
        <f t="array" aca="1" ref="DK70" ca="1">IF(ISNA(M70),,OFFSET(INDIRECT("'"&amp;EB$67&amp;"'!f1"),M70-1,))*1</f>
        <v>60.401312255300503</v>
      </c>
      <c r="DL70" cm="1">
        <f t="array" aca="1" ref="DL70" ca="1">IF(ISNA(N70),,OFFSET(INDIRECT("'"&amp;EC$67&amp;"'!f1"),N70-1,))*1</f>
        <v>1.44375160016352E-2</v>
      </c>
      <c r="DM70" cm="1">
        <f t="array" aca="1" ref="DM70" ca="1">IF(ISNA(O70),,OFFSET(INDIRECT("'"&amp;ED$67&amp;"'!f1"),O70-1,))*1</f>
        <v>1.3231035991339001E-2</v>
      </c>
      <c r="DN70" cm="1">
        <f t="array" aca="1" ref="DN70" ca="1">IF(ISNA(P70),,OFFSET(INDIRECT("'"&amp;EE$67&amp;"'!f1"),P70-1,))*1</f>
        <v>1.3629492083564401</v>
      </c>
      <c r="DT70">
        <f t="shared" ca="1" si="60"/>
        <v>1</v>
      </c>
      <c r="DU70">
        <f t="shared" ca="1" si="49"/>
        <v>1</v>
      </c>
      <c r="DV70">
        <f t="shared" ca="1" si="49"/>
        <v>1</v>
      </c>
      <c r="DW70">
        <f t="shared" ca="1" si="49"/>
        <v>1</v>
      </c>
      <c r="DX70">
        <f t="shared" ca="1" si="49"/>
        <v>1</v>
      </c>
      <c r="DY70">
        <f t="shared" ca="1" si="49"/>
        <v>1</v>
      </c>
      <c r="DZ70">
        <f t="shared" ca="1" si="49"/>
        <v>1451</v>
      </c>
      <c r="EA70">
        <f t="shared" ca="1" si="49"/>
        <v>7766</v>
      </c>
      <c r="EB70">
        <f t="shared" ca="1" si="49"/>
        <v>1535</v>
      </c>
      <c r="EC70">
        <f t="shared" ca="1" si="49"/>
        <v>0</v>
      </c>
      <c r="ED70">
        <f t="shared" ca="1" si="49"/>
        <v>0</v>
      </c>
      <c r="EE70">
        <f t="shared" ca="1" si="49"/>
        <v>2</v>
      </c>
      <c r="EK70" cm="1">
        <f t="array" aca="1" ref="EK70" ca="1">IF(ISNA(E70),0,OFFSET(INDIRECT("'"&amp;EK$67&amp;"'!g1"),E70-1,)*CL70)</f>
        <v>1</v>
      </c>
      <c r="EL70" cm="1">
        <f t="array" aca="1" ref="EL70" ca="1">IF(ISNA(F70),0,OFFSET(INDIRECT("'"&amp;EL$67&amp;"'!g1"),F70-1,)*CM70)</f>
        <v>1</v>
      </c>
      <c r="EM70" cm="1">
        <f t="array" aca="1" ref="EM70" ca="1">IF(ISNA(G70),0,OFFSET(INDIRECT("'"&amp;EM$67&amp;"'!g1"),G70-1,)*CN70)</f>
        <v>1</v>
      </c>
      <c r="EN70" cm="1">
        <f t="array" aca="1" ref="EN70" ca="1">IF(ISNA(H70),0,OFFSET(INDIRECT("'"&amp;EN$67&amp;"'!g1"),H70-1,)*CO70)</f>
        <v>1</v>
      </c>
      <c r="EO70" cm="1">
        <f t="array" aca="1" ref="EO70" ca="1">IF(ISNA(I70),0,OFFSET(INDIRECT("'"&amp;EO$67&amp;"'!g1"),I70-1,)*CP70)</f>
        <v>1</v>
      </c>
      <c r="EP70" cm="1">
        <f t="array" aca="1" ref="EP70" ca="1">IF(ISNA(J70),0,OFFSET(INDIRECT("'"&amp;EP$67&amp;"'!g1"),J70-1,)*CQ70)</f>
        <v>1</v>
      </c>
      <c r="EQ70" cm="1">
        <f t="array" aca="1" ref="EQ70" ca="1">IF(ISNA(K70),0,OFFSET(INDIRECT("'"&amp;EQ$67&amp;"'!g1"),K70-1,)*CR70)</f>
        <v>1451</v>
      </c>
      <c r="ER70" cm="1">
        <f t="array" aca="1" ref="ER70" ca="1">IF(ISNA(L70),0,OFFSET(INDIRECT("'"&amp;ER$67&amp;"'!g1"),L70-1,)*CS70)</f>
        <v>7766</v>
      </c>
      <c r="ES70" cm="1">
        <f t="array" aca="1" ref="ES70" ca="1">IF(ISNA(M70),0,OFFSET(INDIRECT("'"&amp;ES$67&amp;"'!g1"),M70-1,)*CT70)</f>
        <v>1535</v>
      </c>
      <c r="ET70" cm="1">
        <f t="array" aca="1" ref="ET70" ca="1">IF(ISNA(N70),0,OFFSET(INDIRECT("'"&amp;ET$67&amp;"'!g1"),N70-1,)*CU70)</f>
        <v>0</v>
      </c>
      <c r="EU70" cm="1">
        <f t="array" aca="1" ref="EU70" ca="1">IF(ISNA(O70),0,OFFSET(INDIRECT("'"&amp;EU$67&amp;"'!g1"),O70-1,)*CV70)</f>
        <v>0</v>
      </c>
      <c r="EV70" cm="1">
        <f t="array" aca="1" ref="EV70" ca="1">IF(ISNA(P70),0,OFFSET(INDIRECT("'"&amp;EV$67&amp;"'!g1"),P70-1,)*CW70)</f>
        <v>2</v>
      </c>
      <c r="FB70" s="10" cm="1">
        <f t="array" aca="1" ref="FB70" ca="1">IF(ISNA(E70),0,OFFSET(INDIRECT("'"&amp;EK$67&amp;"'!h1"),E70-1,))</f>
        <v>1</v>
      </c>
      <c r="FC70" s="10" cm="1">
        <f t="array" aca="1" ref="FC70" ca="1">IF(ISNA(F70),0,OFFSET(INDIRECT("'"&amp;EL$67&amp;"'!h1"),F70-1,))</f>
        <v>1</v>
      </c>
      <c r="FD70" s="10" cm="1">
        <f t="array" aca="1" ref="FD70" ca="1">IF(ISNA(G70),0,OFFSET(INDIRECT("'"&amp;EM$67&amp;"'!h1"),G70-1,))</f>
        <v>1</v>
      </c>
      <c r="FE70" s="10" cm="1">
        <f t="array" aca="1" ref="FE70" ca="1">IF(ISNA(H70),0,OFFSET(INDIRECT("'"&amp;EN$67&amp;"'!h1"),H70-1,))</f>
        <v>1</v>
      </c>
      <c r="FF70" s="10" cm="1">
        <f t="array" aca="1" ref="FF70" ca="1">IF(ISNA(I70),0,OFFSET(INDIRECT("'"&amp;EO$67&amp;"'!h1"),I70-1,))</f>
        <v>1</v>
      </c>
      <c r="FG70" s="10" cm="1">
        <f t="array" aca="1" ref="FG70" ca="1">IF(ISNA(J70),0,OFFSET(INDIRECT("'"&amp;EP$67&amp;"'!h1"),J70-1,))</f>
        <v>1</v>
      </c>
      <c r="FH70" s="10" cm="1">
        <f t="array" aca="1" ref="FH70" ca="1">IF(ISNA(K70),0,OFFSET(INDIRECT("'"&amp;EQ$67&amp;"'!h1"),K70-1,))</f>
        <v>10000</v>
      </c>
      <c r="FI70" s="10" cm="1">
        <f t="array" aca="1" ref="FI70" ca="1">IF(ISNA(L70),0,OFFSET(INDIRECT("'"&amp;ER$67&amp;"'!h1"),L70-1,))</f>
        <v>10000</v>
      </c>
      <c r="FJ70" s="10" cm="1">
        <f t="array" aca="1" ref="FJ70" ca="1">IF(ISNA(M70),0,OFFSET(INDIRECT("'"&amp;ES$67&amp;"'!h1"),M70-1,))</f>
        <v>10000</v>
      </c>
      <c r="FK70" s="10" cm="1">
        <f t="array" aca="1" ref="FK70" ca="1">IF(ISNA(N70),0,OFFSET(INDIRECT("'"&amp;ET$67&amp;"'!h1"),N70-1,))</f>
        <v>1</v>
      </c>
      <c r="FL70" s="10" cm="1">
        <f t="array" aca="1" ref="FL70" ca="1">IF(ISNA(O70),0,OFFSET(INDIRECT("'"&amp;EU$67&amp;"'!h1"),O70-1,))</f>
        <v>1</v>
      </c>
      <c r="FM70" s="10" cm="1">
        <f t="array" aca="1" ref="FM70" ca="1">IF(ISNA(P70),0,OFFSET(INDIRECT("'"&amp;EV$67&amp;"'!h1"),P70-1,))</f>
        <v>5</v>
      </c>
      <c r="FN70" s="10"/>
      <c r="FO70" s="10"/>
      <c r="FP70" s="10"/>
      <c r="FQ70" s="10"/>
      <c r="FS70">
        <f t="shared" ca="1" si="61"/>
        <v>108</v>
      </c>
      <c r="FT70">
        <f t="shared" ca="1" si="62"/>
        <v>3.93928512185812</v>
      </c>
      <c r="FU70">
        <f t="shared" ca="1" si="63"/>
        <v>1451</v>
      </c>
      <c r="FV70">
        <f t="shared" ca="1" si="64"/>
        <v>10000</v>
      </c>
      <c r="FW70" s="3">
        <f t="shared" ca="1" si="65"/>
        <v>0.14510000000000001</v>
      </c>
      <c r="FX70" s="4">
        <f t="shared" ca="1" si="66"/>
        <v>2.7148760316044935E-3</v>
      </c>
      <c r="FZ70" s="12">
        <f t="shared" ca="1" si="50"/>
        <v>108</v>
      </c>
      <c r="GA70" s="24">
        <f t="shared" ca="1" si="67"/>
        <v>0</v>
      </c>
      <c r="GB70" s="24">
        <f t="shared" ca="1" si="51"/>
        <v>0</v>
      </c>
      <c r="GC70" s="24">
        <f t="shared" ca="1" si="51"/>
        <v>0</v>
      </c>
      <c r="GD70" s="24">
        <f t="shared" ca="1" si="51"/>
        <v>0</v>
      </c>
      <c r="GE70" s="24">
        <f t="shared" ca="1" si="51"/>
        <v>0</v>
      </c>
      <c r="GF70" s="24">
        <f t="shared" ca="1" si="51"/>
        <v>0</v>
      </c>
      <c r="GG70" s="24">
        <f t="shared" ca="1" si="51"/>
        <v>0</v>
      </c>
      <c r="GH70" s="24">
        <f t="shared" ca="1" si="51"/>
        <v>0</v>
      </c>
      <c r="GI70" s="24">
        <f t="shared" ca="1" si="51"/>
        <v>0</v>
      </c>
      <c r="GJ70" s="24" t="e">
        <f t="shared" ca="1" si="51"/>
        <v>#N/A</v>
      </c>
      <c r="GK70" s="24" t="e">
        <f t="shared" ca="1" si="51"/>
        <v>#N/A</v>
      </c>
      <c r="GL70" s="24">
        <f t="shared" ca="1" si="51"/>
        <v>0</v>
      </c>
      <c r="GM70" s="24"/>
      <c r="GN70">
        <f t="shared" ca="1" si="68"/>
        <v>108</v>
      </c>
      <c r="GO70" s="4">
        <f t="shared" ca="1" si="69"/>
        <v>6.46211680800001</v>
      </c>
      <c r="GP70" s="4">
        <f t="shared" ca="1" si="52"/>
        <v>32.492171583999998</v>
      </c>
      <c r="GQ70" s="4">
        <f t="shared" ca="1" si="52"/>
        <v>33.570045236999903</v>
      </c>
      <c r="GR70" s="4">
        <f t="shared" ca="1" si="52"/>
        <v>0.35824539300000402</v>
      </c>
      <c r="GS70" s="4" t="e">
        <f t="shared" ca="1" si="52"/>
        <v>#N/A</v>
      </c>
      <c r="GT70" s="4">
        <f t="shared" ca="1" si="70"/>
        <v>0.31088519841432499</v>
      </c>
      <c r="GU70" s="4">
        <f t="shared" ca="1" si="53"/>
        <v>2.7148760316044935E-3</v>
      </c>
      <c r="GV70" s="4">
        <f t="shared" ca="1" si="53"/>
        <v>5.9141627216182464E-4</v>
      </c>
      <c r="GW70" s="4">
        <f t="shared" ca="1" si="53"/>
        <v>3.9349389091400983E-2</v>
      </c>
      <c r="GX70" s="4" t="e">
        <f t="shared" ca="1" si="53"/>
        <v>#N/A</v>
      </c>
      <c r="GY70" s="4" t="e">
        <f t="shared" ca="1" si="53"/>
        <v>#N/A</v>
      </c>
      <c r="GZ70" s="4">
        <f t="shared" ca="1" si="53"/>
        <v>0.68147460417822003</v>
      </c>
      <c r="HB70" s="12">
        <f t="shared" ca="1" si="54"/>
        <v>108</v>
      </c>
      <c r="HC70" s="3">
        <f t="shared" ca="1" si="71"/>
        <v>1</v>
      </c>
      <c r="HD70" s="3">
        <f t="shared" ca="1" si="55"/>
        <v>1</v>
      </c>
      <c r="HE70" s="3">
        <f t="shared" ca="1" si="55"/>
        <v>1</v>
      </c>
      <c r="HF70" s="3">
        <f t="shared" ca="1" si="55"/>
        <v>1</v>
      </c>
      <c r="HG70" s="3">
        <f t="shared" ca="1" si="55"/>
        <v>1</v>
      </c>
      <c r="HH70" s="3">
        <f t="shared" ca="1" si="55"/>
        <v>1</v>
      </c>
      <c r="HI70" s="3">
        <f t="shared" ca="1" si="55"/>
        <v>0.14510000000000001</v>
      </c>
      <c r="HJ70" s="3">
        <f t="shared" ca="1" si="55"/>
        <v>0.77659999999999996</v>
      </c>
      <c r="HK70" s="3">
        <f t="shared" ca="1" si="55"/>
        <v>0.1535</v>
      </c>
      <c r="HL70" s="3">
        <f t="shared" ca="1" si="55"/>
        <v>0</v>
      </c>
      <c r="HM70" s="3">
        <f t="shared" ca="1" si="55"/>
        <v>0</v>
      </c>
      <c r="HN70" s="3">
        <f t="shared" ca="1" si="55"/>
        <v>0.4</v>
      </c>
    </row>
    <row r="71" spans="1:222" x14ac:dyDescent="0.2">
      <c r="A71" t="str" cm="1">
        <f t="array" aca="1" ref="A71" ca="1">INDIRECT($A$67&amp;"!A"&amp;ROW(C4)+$B$64)</f>
        <v>[[144,12,12]]</v>
      </c>
      <c r="B71" cm="1">
        <f t="array" aca="1" ref="B71" ca="1">INDIRECT($A$67&amp;"!b"&amp;ROW(D4)+$B$64)</f>
        <v>144</v>
      </c>
      <c r="C71">
        <f t="shared" ca="1" si="56"/>
        <v>12</v>
      </c>
      <c r="E71">
        <f t="shared" ca="1" si="43"/>
        <v>28</v>
      </c>
      <c r="F71">
        <f t="shared" ca="1" si="43"/>
        <v>29</v>
      </c>
      <c r="G71">
        <f t="shared" ca="1" si="43"/>
        <v>28</v>
      </c>
      <c r="H71">
        <f t="shared" ca="1" si="43"/>
        <v>28</v>
      </c>
      <c r="I71">
        <f t="shared" ca="1" si="43"/>
        <v>31</v>
      </c>
      <c r="J71">
        <f t="shared" ca="1" si="43"/>
        <v>28</v>
      </c>
      <c r="K71">
        <f t="shared" ca="1" si="43"/>
        <v>35</v>
      </c>
      <c r="L71">
        <f t="shared" ca="1" si="43"/>
        <v>37</v>
      </c>
      <c r="M71">
        <f t="shared" ca="1" si="43"/>
        <v>34</v>
      </c>
      <c r="N71">
        <f t="shared" ca="1" si="43"/>
        <v>28</v>
      </c>
      <c r="O71">
        <f t="shared" ca="1" si="43"/>
        <v>28</v>
      </c>
      <c r="P71">
        <f t="shared" ca="1" si="43"/>
        <v>33</v>
      </c>
      <c r="V71" cm="1">
        <f t="array" aca="1" ref="V71" ca="1">IF(ISNA(E71),,OFFSET(INDIRECT("'"&amp;V$67&amp;"'!d1"),E71-1,))</f>
        <v>12</v>
      </c>
      <c r="W71" cm="1">
        <f t="array" aca="1" ref="W71" ca="1">IF(ISNA(F71),,OFFSET(INDIRECT("'"&amp;W$67&amp;"'!d1"),F71-1,))</f>
        <v>12</v>
      </c>
      <c r="X71" cm="1">
        <f t="array" aca="1" ref="X71" ca="1">IF(ISNA(G71),,OFFSET(INDIRECT("'"&amp;X$67&amp;"'!d1"),G71-1,))</f>
        <v>12</v>
      </c>
      <c r="Y71" cm="1">
        <f t="array" aca="1" ref="Y71" ca="1">IF(ISNA(H71),,OFFSET(INDIRECT("'"&amp;Y$67&amp;"'!d1"),H71-1,))</f>
        <v>12</v>
      </c>
      <c r="Z71" cm="1">
        <f t="array" aca="1" ref="Z71" ca="1">IF(ISNA(I71),,OFFSET(INDIRECT("'"&amp;Z$67&amp;"'!d1"),I71-1,))</f>
        <v>12</v>
      </c>
      <c r="AA71" cm="1">
        <f t="array" aca="1" ref="AA71" ca="1">IF(ISNA(J71),,OFFSET(INDIRECT("'"&amp;AA$67&amp;"'!d1"),J71-1,))</f>
        <v>12</v>
      </c>
      <c r="AB71" cm="1">
        <f t="array" aca="1" ref="AB71" ca="1">IF(ISNA(K71),,OFFSET(INDIRECT("'"&amp;AB$67&amp;"'!d1"),K71-1,))</f>
        <v>12</v>
      </c>
      <c r="AC71" cm="1">
        <f t="array" aca="1" ref="AC71" ca="1">IF(ISNA(L71),,OFFSET(INDIRECT("'"&amp;AC$67&amp;"'!d1"),L71-1,))</f>
        <v>12</v>
      </c>
      <c r="AD71" cm="1">
        <f t="array" aca="1" ref="AD71" ca="1">IF(ISNA(M71),,OFFSET(INDIRECT("'"&amp;AD$67&amp;"'!d1"),M71-1,))</f>
        <v>12</v>
      </c>
      <c r="AE71" cm="1">
        <f t="array" aca="1" ref="AE71" ca="1">IF(ISNA(N71),,OFFSET(INDIRECT("'"&amp;AE$67&amp;"'!d1"),N71-1,))</f>
        <v>0</v>
      </c>
      <c r="AF71" cm="1">
        <f t="array" aca="1" ref="AF71" ca="1">IF(ISNA(O71),,OFFSET(INDIRECT("'"&amp;AF$67&amp;"'!d1"),O71-1,))</f>
        <v>0</v>
      </c>
      <c r="AG71" cm="1">
        <f t="array" aca="1" ref="AG71" ca="1">IF(ISNA(P71),,OFFSET(INDIRECT("'"&amp;AG$67&amp;"'!d1"),P71-1,))</f>
        <v>12</v>
      </c>
      <c r="AM71">
        <f t="shared" ca="1" si="57"/>
        <v>1</v>
      </c>
      <c r="AN71">
        <f t="shared" ca="1" si="44"/>
        <v>1</v>
      </c>
      <c r="AO71">
        <f t="shared" ca="1" si="44"/>
        <v>1</v>
      </c>
      <c r="AP71">
        <f t="shared" ca="1" si="44"/>
        <v>1</v>
      </c>
      <c r="AQ71">
        <f t="shared" ca="1" si="58"/>
        <v>0</v>
      </c>
      <c r="AV71" t="b">
        <f t="shared" ca="1" si="59"/>
        <v>1</v>
      </c>
      <c r="AW71" t="b">
        <f t="shared" ca="1" si="45"/>
        <v>1</v>
      </c>
      <c r="AX71" t="b">
        <f t="shared" ca="1" si="45"/>
        <v>1</v>
      </c>
      <c r="AY71" t="b">
        <f t="shared" ca="1" si="45"/>
        <v>1</v>
      </c>
      <c r="AZ71" t="str">
        <f t="shared" ca="1" si="45"/>
        <v/>
      </c>
      <c r="BD71">
        <f t="shared" ca="1" si="46"/>
        <v>1</v>
      </c>
      <c r="BE71">
        <f t="shared" ca="1" si="46"/>
        <v>1</v>
      </c>
      <c r="BF71">
        <f t="shared" ca="1" si="46"/>
        <v>1</v>
      </c>
      <c r="BG71">
        <f t="shared" ca="1" si="46"/>
        <v>1</v>
      </c>
      <c r="BH71">
        <f t="shared" ca="1" si="46"/>
        <v>1</v>
      </c>
      <c r="BI71">
        <f t="shared" ca="1" si="46"/>
        <v>1</v>
      </c>
      <c r="BJ71">
        <f t="shared" ca="1" si="46"/>
        <v>1</v>
      </c>
      <c r="BK71">
        <f t="shared" ca="1" si="46"/>
        <v>1</v>
      </c>
      <c r="BL71">
        <f t="shared" ca="1" si="46"/>
        <v>1</v>
      </c>
      <c r="BM71">
        <f t="shared" ca="1" si="46"/>
        <v>0</v>
      </c>
      <c r="BN71">
        <f t="shared" ca="1" si="46"/>
        <v>0</v>
      </c>
      <c r="BO71">
        <f t="shared" ca="1" si="46"/>
        <v>1</v>
      </c>
      <c r="BU71">
        <f t="shared" ca="1" si="47"/>
        <v>12</v>
      </c>
      <c r="BV71">
        <f t="shared" ca="1" si="47"/>
        <v>12</v>
      </c>
      <c r="BW71">
        <f t="shared" ca="1" si="47"/>
        <v>12</v>
      </c>
      <c r="BX71">
        <f t="shared" ca="1" si="47"/>
        <v>12</v>
      </c>
      <c r="BY71">
        <f t="shared" ca="1" si="47"/>
        <v>12</v>
      </c>
      <c r="BZ71">
        <f t="shared" ca="1" si="47"/>
        <v>12</v>
      </c>
      <c r="CA71">
        <f t="shared" ca="1" si="47"/>
        <v>12</v>
      </c>
      <c r="CB71">
        <f t="shared" ca="1" si="47"/>
        <v>12</v>
      </c>
      <c r="CC71">
        <f t="shared" ca="1" si="47"/>
        <v>12</v>
      </c>
      <c r="CD71">
        <f t="shared" ca="1" si="47"/>
        <v>144</v>
      </c>
      <c r="CE71">
        <f t="shared" ca="1" si="47"/>
        <v>144</v>
      </c>
      <c r="CF71">
        <f t="shared" ca="1" si="47"/>
        <v>12</v>
      </c>
      <c r="CL71">
        <f t="shared" ca="1" si="48"/>
        <v>1</v>
      </c>
      <c r="CM71">
        <f t="shared" ca="1" si="48"/>
        <v>1</v>
      </c>
      <c r="CN71">
        <f t="shared" ca="1" si="48"/>
        <v>1</v>
      </c>
      <c r="CO71">
        <f t="shared" ca="1" si="48"/>
        <v>1</v>
      </c>
      <c r="CP71">
        <f t="shared" ca="1" si="48"/>
        <v>1</v>
      </c>
      <c r="CQ71">
        <f t="shared" ca="1" si="48"/>
        <v>1</v>
      </c>
      <c r="CR71">
        <f t="shared" ca="1" si="48"/>
        <v>1</v>
      </c>
      <c r="CS71">
        <f t="shared" ca="1" si="48"/>
        <v>1</v>
      </c>
      <c r="CT71">
        <f t="shared" ca="1" si="48"/>
        <v>1</v>
      </c>
      <c r="CU71">
        <f t="shared" ca="1" si="48"/>
        <v>0</v>
      </c>
      <c r="CV71">
        <f t="shared" ca="1" si="48"/>
        <v>0</v>
      </c>
      <c r="CW71">
        <f t="shared" ca="1" si="48"/>
        <v>1</v>
      </c>
      <c r="DC71" cm="1">
        <f t="array" aca="1" ref="DC71" ca="1">IF(ISNA(E71),,OFFSET(INDIRECT("'"&amp;DT$67&amp;"'!f1"),E71-1,))*1</f>
        <v>58.641775220999897</v>
      </c>
      <c r="DD71" cm="1">
        <f t="array" aca="1" ref="DD71" ca="1">IF(ISNA(F71),,OFFSET(INDIRECT("'"&amp;DU$67&amp;"'!f1"),F71-1,))*1</f>
        <v>215.899390141</v>
      </c>
      <c r="DE71" cm="1">
        <f t="array" aca="1" ref="DE71" ca="1">IF(ISNA(G71),,OFFSET(INDIRECT("'"&amp;DV$67&amp;"'!f1"),G71-1,))*1</f>
        <v>209.939482</v>
      </c>
      <c r="DF71" cm="1">
        <f t="array" aca="1" ref="DF71" ca="1">IF(ISNA(H71),,OFFSET(INDIRECT("'"&amp;DW$67&amp;"'!f1"),H71-1,))*1</f>
        <v>5.6777290530000002</v>
      </c>
      <c r="DG71" cm="1">
        <f t="array" aca="1" ref="DG71" ca="1">IF(ISNA(I71),,OFFSET(INDIRECT("'"&amp;DX$67&amp;"'!f1"),I71-1,))*1</f>
        <v>28800.032903624899</v>
      </c>
      <c r="DH71" cm="1">
        <f t="array" aca="1" ref="DH71" ca="1">IF(ISNA(J71),,OFFSET(INDIRECT("'"&amp;DY$67&amp;"'!f1"),J71-1,))*1</f>
        <v>0.41726019978523199</v>
      </c>
      <c r="DI71" cm="1">
        <f t="array" aca="1" ref="DI71" ca="1">IF(ISNA(K71),,OFFSET(INDIRECT("'"&amp;DZ$67&amp;"'!f1"),K71-1,))*1</f>
        <v>6.5266861468553499</v>
      </c>
      <c r="DJ71" cm="1">
        <f t="array" aca="1" ref="DJ71" ca="1">IF(ISNA(L71),,OFFSET(INDIRECT("'"&amp;EA$67&amp;"'!f1"),L71-1,))*1</f>
        <v>7.7314472096040801</v>
      </c>
      <c r="DK71" cm="1">
        <f t="array" aca="1" ref="DK71" ca="1">IF(ISNA(M71),,OFFSET(INDIRECT("'"&amp;EB$67&amp;"'!f1"),M71-1,))*1</f>
        <v>78.297852490097199</v>
      </c>
      <c r="DL71" cm="1">
        <f t="array" aca="1" ref="DL71" ca="1">IF(ISNA(N71),,OFFSET(INDIRECT("'"&amp;EC$67&amp;"'!f1"),N71-1,))*1</f>
        <v>2.06588510045548E-2</v>
      </c>
      <c r="DM71" cm="1">
        <f t="array" aca="1" ref="DM71" ca="1">IF(ISNA(O71),,OFFSET(INDIRECT("'"&amp;ED$67&amp;"'!f1"),O71-1,))*1</f>
        <v>1.9115003000479101E-2</v>
      </c>
      <c r="DN71" cm="1">
        <f t="array" aca="1" ref="DN71" ca="1">IF(ISNA(P71),,OFFSET(INDIRECT("'"&amp;EE$67&amp;"'!f1"),P71-1,))*1</f>
        <v>0.25054663605987998</v>
      </c>
      <c r="DT71">
        <f t="shared" ca="1" si="60"/>
        <v>1</v>
      </c>
      <c r="DU71">
        <f t="shared" ca="1" si="49"/>
        <v>1</v>
      </c>
      <c r="DV71">
        <f t="shared" ca="1" si="49"/>
        <v>1</v>
      </c>
      <c r="DW71">
        <f t="shared" ca="1" si="49"/>
        <v>1</v>
      </c>
      <c r="DX71">
        <f t="shared" ca="1" si="49"/>
        <v>1</v>
      </c>
      <c r="DY71">
        <f t="shared" ca="1" si="49"/>
        <v>1</v>
      </c>
      <c r="DZ71">
        <f t="shared" ca="1" si="49"/>
        <v>5708</v>
      </c>
      <c r="EA71">
        <f t="shared" ca="1" si="49"/>
        <v>9818</v>
      </c>
      <c r="EB71">
        <f t="shared" ca="1" si="49"/>
        <v>6426</v>
      </c>
      <c r="EC71">
        <f t="shared" ca="1" si="49"/>
        <v>0</v>
      </c>
      <c r="ED71">
        <f t="shared" ca="1" si="49"/>
        <v>0</v>
      </c>
      <c r="EE71">
        <f t="shared" ca="1" si="49"/>
        <v>2</v>
      </c>
      <c r="EK71" cm="1">
        <f t="array" aca="1" ref="EK71" ca="1">IF(ISNA(E71),0,OFFSET(INDIRECT("'"&amp;EK$67&amp;"'!g1"),E71-1,)*CL71)</f>
        <v>1</v>
      </c>
      <c r="EL71" cm="1">
        <f t="array" aca="1" ref="EL71" ca="1">IF(ISNA(F71),0,OFFSET(INDIRECT("'"&amp;EL$67&amp;"'!g1"),F71-1,)*CM71)</f>
        <v>1</v>
      </c>
      <c r="EM71" cm="1">
        <f t="array" aca="1" ref="EM71" ca="1">IF(ISNA(G71),0,OFFSET(INDIRECT("'"&amp;EM$67&amp;"'!g1"),G71-1,)*CN71)</f>
        <v>1</v>
      </c>
      <c r="EN71" cm="1">
        <f t="array" aca="1" ref="EN71" ca="1">IF(ISNA(H71),0,OFFSET(INDIRECT("'"&amp;EN$67&amp;"'!g1"),H71-1,)*CO71)</f>
        <v>1</v>
      </c>
      <c r="EO71" cm="1">
        <f t="array" aca="1" ref="EO71" ca="1">IF(ISNA(I71),0,OFFSET(INDIRECT("'"&amp;EO$67&amp;"'!g1"),I71-1,)*CP71)</f>
        <v>1</v>
      </c>
      <c r="EP71" cm="1">
        <f t="array" aca="1" ref="EP71" ca="1">IF(ISNA(J71),0,OFFSET(INDIRECT("'"&amp;EP$67&amp;"'!g1"),J71-1,)*CQ71)</f>
        <v>1</v>
      </c>
      <c r="EQ71" cm="1">
        <f t="array" aca="1" ref="EQ71" ca="1">IF(ISNA(K71),0,OFFSET(INDIRECT("'"&amp;EQ$67&amp;"'!g1"),K71-1,)*CR71)</f>
        <v>5708</v>
      </c>
      <c r="ER71" cm="1">
        <f t="array" aca="1" ref="ER71" ca="1">IF(ISNA(L71),0,OFFSET(INDIRECT("'"&amp;ER$67&amp;"'!g1"),L71-1,)*CS71)</f>
        <v>9818</v>
      </c>
      <c r="ES71" cm="1">
        <f t="array" aca="1" ref="ES71" ca="1">IF(ISNA(M71),0,OFFSET(INDIRECT("'"&amp;ES$67&amp;"'!g1"),M71-1,)*CT71)</f>
        <v>6426</v>
      </c>
      <c r="ET71" cm="1">
        <f t="array" aca="1" ref="ET71" ca="1">IF(ISNA(N71),0,OFFSET(INDIRECT("'"&amp;ET$67&amp;"'!g1"),N71-1,)*CU71)</f>
        <v>0</v>
      </c>
      <c r="EU71" cm="1">
        <f t="array" aca="1" ref="EU71" ca="1">IF(ISNA(O71),0,OFFSET(INDIRECT("'"&amp;EU$67&amp;"'!g1"),O71-1,)*CV71)</f>
        <v>0</v>
      </c>
      <c r="EV71" cm="1">
        <f t="array" aca="1" ref="EV71" ca="1">IF(ISNA(P71),0,OFFSET(INDIRECT("'"&amp;EV$67&amp;"'!g1"),P71-1,)*CW71)</f>
        <v>2</v>
      </c>
      <c r="FB71" s="10" cm="1">
        <f t="array" aca="1" ref="FB71" ca="1">IF(ISNA(E71),0,OFFSET(INDIRECT("'"&amp;EK$67&amp;"'!h1"),E71-1,))</f>
        <v>1</v>
      </c>
      <c r="FC71" s="10" cm="1">
        <f t="array" aca="1" ref="FC71" ca="1">IF(ISNA(F71),0,OFFSET(INDIRECT("'"&amp;EL$67&amp;"'!h1"),F71-1,))</f>
        <v>1</v>
      </c>
      <c r="FD71" s="10" cm="1">
        <f t="array" aca="1" ref="FD71" ca="1">IF(ISNA(G71),0,OFFSET(INDIRECT("'"&amp;EM$67&amp;"'!h1"),G71-1,))</f>
        <v>1</v>
      </c>
      <c r="FE71" s="10" cm="1">
        <f t="array" aca="1" ref="FE71" ca="1">IF(ISNA(H71),0,OFFSET(INDIRECT("'"&amp;EN$67&amp;"'!h1"),H71-1,))</f>
        <v>1</v>
      </c>
      <c r="FF71" s="10" cm="1">
        <f t="array" aca="1" ref="FF71" ca="1">IF(ISNA(I71),0,OFFSET(INDIRECT("'"&amp;EO$67&amp;"'!h1"),I71-1,))</f>
        <v>1</v>
      </c>
      <c r="FG71" s="10" cm="1">
        <f t="array" aca="1" ref="FG71" ca="1">IF(ISNA(J71),0,OFFSET(INDIRECT("'"&amp;EP$67&amp;"'!h1"),J71-1,))</f>
        <v>1</v>
      </c>
      <c r="FH71" s="10" cm="1">
        <f t="array" aca="1" ref="FH71" ca="1">IF(ISNA(K71),0,OFFSET(INDIRECT("'"&amp;EQ$67&amp;"'!h1"),K71-1,))</f>
        <v>10000</v>
      </c>
      <c r="FI71" s="10" cm="1">
        <f t="array" aca="1" ref="FI71" ca="1">IF(ISNA(L71),0,OFFSET(INDIRECT("'"&amp;ER$67&amp;"'!h1"),L71-1,))</f>
        <v>10000</v>
      </c>
      <c r="FJ71" s="10" cm="1">
        <f t="array" aca="1" ref="FJ71" ca="1">IF(ISNA(M71),0,OFFSET(INDIRECT("'"&amp;ES$67&amp;"'!h1"),M71-1,))</f>
        <v>10000</v>
      </c>
      <c r="FK71" s="10" cm="1">
        <f t="array" aca="1" ref="FK71" ca="1">IF(ISNA(N71),0,OFFSET(INDIRECT("'"&amp;ET$67&amp;"'!h1"),N71-1,))</f>
        <v>1</v>
      </c>
      <c r="FL71" s="10" cm="1">
        <f t="array" aca="1" ref="FL71" ca="1">IF(ISNA(O71),0,OFFSET(INDIRECT("'"&amp;EU$67&amp;"'!h1"),O71-1,))</f>
        <v>1</v>
      </c>
      <c r="FM71" s="10" cm="1">
        <f t="array" aca="1" ref="FM71" ca="1">IF(ISNA(P71),0,OFFSET(INDIRECT("'"&amp;EV$67&amp;"'!h1"),P71-1,))</f>
        <v>4</v>
      </c>
      <c r="FN71" s="10"/>
      <c r="FO71" s="10"/>
      <c r="FP71" s="10"/>
      <c r="FQ71" s="10"/>
      <c r="FS71">
        <f t="shared" ca="1" si="61"/>
        <v>144</v>
      </c>
      <c r="FT71">
        <f t="shared" ca="1" si="62"/>
        <v>6.5266861468553499</v>
      </c>
      <c r="FU71">
        <f t="shared" ca="1" si="63"/>
        <v>5708</v>
      </c>
      <c r="FV71">
        <f t="shared" ca="1" si="64"/>
        <v>10000</v>
      </c>
      <c r="FW71" s="3">
        <f t="shared" ca="1" si="65"/>
        <v>0.57079999999999997</v>
      </c>
      <c r="FX71" s="4">
        <f t="shared" ca="1" si="66"/>
        <v>1.1434278463306499E-3</v>
      </c>
      <c r="FZ71" s="12">
        <f t="shared" ca="1" si="50"/>
        <v>144</v>
      </c>
      <c r="GA71" s="24">
        <f t="shared" ca="1" si="67"/>
        <v>0</v>
      </c>
      <c r="GB71" s="24">
        <f t="shared" ca="1" si="51"/>
        <v>0</v>
      </c>
      <c r="GC71" s="24">
        <f t="shared" ca="1" si="51"/>
        <v>0</v>
      </c>
      <c r="GD71" s="24">
        <f t="shared" ca="1" si="51"/>
        <v>0</v>
      </c>
      <c r="GE71" s="24">
        <f t="shared" ca="1" si="51"/>
        <v>0</v>
      </c>
      <c r="GF71" s="24">
        <f t="shared" ca="1" si="51"/>
        <v>0</v>
      </c>
      <c r="GG71" s="24">
        <f t="shared" ca="1" si="51"/>
        <v>0</v>
      </c>
      <c r="GH71" s="24">
        <f t="shared" ca="1" si="51"/>
        <v>0</v>
      </c>
      <c r="GI71" s="24">
        <f t="shared" ca="1" si="51"/>
        <v>0</v>
      </c>
      <c r="GJ71" s="24" t="e">
        <f t="shared" ca="1" si="51"/>
        <v>#N/A</v>
      </c>
      <c r="GK71" s="24" t="e">
        <f t="shared" ca="1" si="51"/>
        <v>#N/A</v>
      </c>
      <c r="GL71" s="24">
        <f t="shared" ca="1" si="51"/>
        <v>0</v>
      </c>
      <c r="GM71" s="24"/>
      <c r="GN71">
        <f t="shared" ca="1" si="68"/>
        <v>144</v>
      </c>
      <c r="GO71" s="4">
        <f t="shared" ca="1" si="69"/>
        <v>58.641775220999897</v>
      </c>
      <c r="GP71" s="4">
        <f t="shared" ca="1" si="52"/>
        <v>215.899390141</v>
      </c>
      <c r="GQ71" s="4">
        <f t="shared" ca="1" si="52"/>
        <v>209.939482</v>
      </c>
      <c r="GR71" s="4">
        <f t="shared" ca="1" si="52"/>
        <v>5.6777290530000002</v>
      </c>
      <c r="GS71" s="4" t="e">
        <f t="shared" ca="1" si="52"/>
        <v>#N/A</v>
      </c>
      <c r="GT71" s="4">
        <f t="shared" ca="1" si="70"/>
        <v>0.41726019978523199</v>
      </c>
      <c r="GU71" s="4">
        <f t="shared" ca="1" si="53"/>
        <v>1.1434278463306499E-3</v>
      </c>
      <c r="GV71" s="4">
        <f t="shared" ca="1" si="53"/>
        <v>7.8747679869668773E-4</v>
      </c>
      <c r="GW71" s="4">
        <f t="shared" ca="1" si="53"/>
        <v>1.2184539758807532E-2</v>
      </c>
      <c r="GX71" s="4" t="e">
        <f t="shared" ca="1" si="53"/>
        <v>#N/A</v>
      </c>
      <c r="GY71" s="4" t="e">
        <f t="shared" ca="1" si="53"/>
        <v>#N/A</v>
      </c>
      <c r="GZ71" s="4">
        <f t="shared" ca="1" si="53"/>
        <v>0.12527331802993999</v>
      </c>
      <c r="HB71" s="12">
        <f t="shared" ca="1" si="54"/>
        <v>144</v>
      </c>
      <c r="HC71" s="3">
        <f t="shared" ca="1" si="71"/>
        <v>1</v>
      </c>
      <c r="HD71" s="3">
        <f t="shared" ca="1" si="55"/>
        <v>1</v>
      </c>
      <c r="HE71" s="3">
        <f t="shared" ca="1" si="55"/>
        <v>1</v>
      </c>
      <c r="HF71" s="3">
        <f t="shared" ca="1" si="55"/>
        <v>1</v>
      </c>
      <c r="HG71" s="3">
        <f t="shared" ca="1" si="55"/>
        <v>1</v>
      </c>
      <c r="HH71" s="3">
        <f t="shared" ca="1" si="55"/>
        <v>1</v>
      </c>
      <c r="HI71" s="3">
        <f t="shared" ca="1" si="55"/>
        <v>0.57079999999999997</v>
      </c>
      <c r="HJ71" s="3">
        <f t="shared" ca="1" si="55"/>
        <v>0.98180000000000001</v>
      </c>
      <c r="HK71" s="3">
        <f t="shared" ca="1" si="55"/>
        <v>0.64259999999999995</v>
      </c>
      <c r="HL71" s="3">
        <f t="shared" ca="1" si="55"/>
        <v>0</v>
      </c>
      <c r="HM71" s="3">
        <f t="shared" ca="1" si="55"/>
        <v>0</v>
      </c>
      <c r="HN71" s="3">
        <f t="shared" ca="1" si="55"/>
        <v>0.5</v>
      </c>
    </row>
    <row r="72" spans="1:222" x14ac:dyDescent="0.2">
      <c r="A72" t="str" cm="1">
        <f t="array" aca="1" ref="A72" ca="1">INDIRECT($A$67&amp;"!A"&amp;ROW(C5)+$B$64)</f>
        <v>[[288,12,18]]</v>
      </c>
      <c r="B72" cm="1">
        <f t="array" aca="1" ref="B72" ca="1">INDIRECT($A$67&amp;"!b"&amp;ROW(D5)+$B$64)</f>
        <v>288</v>
      </c>
      <c r="C72">
        <f t="shared" ca="1" si="56"/>
        <v>18</v>
      </c>
      <c r="E72">
        <f t="shared" ca="1" si="43"/>
        <v>29</v>
      </c>
      <c r="F72">
        <f t="shared" ca="1" si="43"/>
        <v>30</v>
      </c>
      <c r="G72">
        <f t="shared" ca="1" si="43"/>
        <v>29</v>
      </c>
      <c r="H72">
        <f t="shared" ca="1" si="43"/>
        <v>29</v>
      </c>
      <c r="I72">
        <f t="shared" ca="1" si="43"/>
        <v>32</v>
      </c>
      <c r="J72">
        <f t="shared" ca="1" si="43"/>
        <v>29</v>
      </c>
      <c r="K72">
        <f t="shared" ca="1" si="43"/>
        <v>36</v>
      </c>
      <c r="L72">
        <f t="shared" ca="1" si="43"/>
        <v>38</v>
      </c>
      <c r="M72">
        <f t="shared" ca="1" si="43"/>
        <v>35</v>
      </c>
      <c r="N72">
        <f t="shared" ca="1" si="43"/>
        <v>29</v>
      </c>
      <c r="O72">
        <f t="shared" ca="1" si="43"/>
        <v>29</v>
      </c>
      <c r="P72">
        <f t="shared" ca="1" si="43"/>
        <v>34</v>
      </c>
      <c r="V72" cm="1">
        <f t="array" aca="1" ref="V72" ca="1">IF(ISNA(E72),,OFFSET(INDIRECT("'"&amp;V$67&amp;"'!d1"),E72-1,))</f>
        <v>18</v>
      </c>
      <c r="W72" cm="1">
        <f t="array" aca="1" ref="W72" ca="1">IF(ISNA(F72),,OFFSET(INDIRECT("'"&amp;W$67&amp;"'!d1"),F72-1,))</f>
        <v>18</v>
      </c>
      <c r="X72" cm="1">
        <f t="array" aca="1" ref="X72" ca="1">IF(ISNA(G72),,OFFSET(INDIRECT("'"&amp;X$67&amp;"'!d1"),G72-1,))</f>
        <v>18</v>
      </c>
      <c r="Y72" cm="1">
        <f t="array" aca="1" ref="Y72" ca="1">IF(ISNA(H72),,OFFSET(INDIRECT("'"&amp;Y$67&amp;"'!d1"),H72-1,))</f>
        <v>0</v>
      </c>
      <c r="Z72" cm="1">
        <f t="array" aca="1" ref="Z72" ca="1">IF(ISNA(I72),,OFFSET(INDIRECT("'"&amp;Z$67&amp;"'!d1"),I72-1,))</f>
        <v>18</v>
      </c>
      <c r="AA72" cm="1">
        <f t="array" aca="1" ref="AA72" ca="1">IF(ISNA(J72),,OFFSET(INDIRECT("'"&amp;AA$67&amp;"'!d1"),J72-1,))</f>
        <v>18</v>
      </c>
      <c r="AB72" cm="1">
        <f t="array" aca="1" ref="AB72" ca="1">IF(ISNA(K72),,OFFSET(INDIRECT("'"&amp;AB$67&amp;"'!d1"),K72-1,))</f>
        <v>18</v>
      </c>
      <c r="AC72" cm="1">
        <f t="array" aca="1" ref="AC72" ca="1">IF(ISNA(L72),,OFFSET(INDIRECT("'"&amp;AC$67&amp;"'!d1"),L72-1,))</f>
        <v>18</v>
      </c>
      <c r="AD72" cm="1">
        <f t="array" aca="1" ref="AD72" ca="1">IF(ISNA(M72),,OFFSET(INDIRECT("'"&amp;AD$67&amp;"'!d1"),M72-1,))</f>
        <v>18</v>
      </c>
      <c r="AE72" cm="1">
        <f t="array" aca="1" ref="AE72" ca="1">IF(ISNA(N72),,OFFSET(INDIRECT("'"&amp;AE$67&amp;"'!d1"),N72-1,))</f>
        <v>0</v>
      </c>
      <c r="AF72" cm="1">
        <f t="array" aca="1" ref="AF72" ca="1">IF(ISNA(O72),,OFFSET(INDIRECT("'"&amp;AF$67&amp;"'!d1"),O72-1,))</f>
        <v>0</v>
      </c>
      <c r="AG72" cm="1">
        <f t="array" aca="1" ref="AG72" ca="1">IF(ISNA(P72),,OFFSET(INDIRECT("'"&amp;AG$67&amp;"'!d1"),P72-1,))</f>
        <v>18</v>
      </c>
      <c r="AM72">
        <f t="shared" ca="1" si="57"/>
        <v>0</v>
      </c>
      <c r="AN72">
        <f t="shared" ca="1" si="44"/>
        <v>0</v>
      </c>
      <c r="AO72">
        <f t="shared" ca="1" si="44"/>
        <v>0</v>
      </c>
      <c r="AP72">
        <f t="shared" ca="1" si="44"/>
        <v>0</v>
      </c>
      <c r="AQ72">
        <f t="shared" ca="1" si="58"/>
        <v>0</v>
      </c>
      <c r="AV72" t="str">
        <f t="shared" ca="1" si="59"/>
        <v/>
      </c>
      <c r="AW72" t="str">
        <f t="shared" ca="1" si="45"/>
        <v/>
      </c>
      <c r="AX72" t="str">
        <f t="shared" ca="1" si="45"/>
        <v/>
      </c>
      <c r="AY72" t="str">
        <f t="shared" ca="1" si="45"/>
        <v/>
      </c>
      <c r="AZ72" t="str">
        <f t="shared" ca="1" si="45"/>
        <v/>
      </c>
      <c r="BD72">
        <f t="shared" ca="1" si="46"/>
        <v>1</v>
      </c>
      <c r="BE72">
        <f t="shared" ca="1" si="46"/>
        <v>1</v>
      </c>
      <c r="BF72">
        <f t="shared" ca="1" si="46"/>
        <v>1</v>
      </c>
      <c r="BG72">
        <f t="shared" ca="1" si="46"/>
        <v>0</v>
      </c>
      <c r="BH72">
        <f t="shared" ca="1" si="46"/>
        <v>1</v>
      </c>
      <c r="BI72">
        <f t="shared" ca="1" si="46"/>
        <v>1</v>
      </c>
      <c r="BJ72">
        <f t="shared" ca="1" si="46"/>
        <v>1</v>
      </c>
      <c r="BK72">
        <f t="shared" ca="1" si="46"/>
        <v>1</v>
      </c>
      <c r="BL72">
        <f t="shared" ca="1" si="46"/>
        <v>1</v>
      </c>
      <c r="BM72">
        <f t="shared" ca="1" si="46"/>
        <v>0</v>
      </c>
      <c r="BN72">
        <f t="shared" ca="1" si="46"/>
        <v>0</v>
      </c>
      <c r="BO72">
        <f t="shared" ca="1" si="46"/>
        <v>1</v>
      </c>
      <c r="BU72">
        <f t="shared" ca="1" si="47"/>
        <v>18</v>
      </c>
      <c r="BV72">
        <f t="shared" ca="1" si="47"/>
        <v>18</v>
      </c>
      <c r="BW72">
        <f t="shared" ca="1" si="47"/>
        <v>18</v>
      </c>
      <c r="BX72">
        <f t="shared" ca="1" si="47"/>
        <v>288</v>
      </c>
      <c r="BY72">
        <f t="shared" ca="1" si="47"/>
        <v>18</v>
      </c>
      <c r="BZ72">
        <f t="shared" ca="1" si="47"/>
        <v>18</v>
      </c>
      <c r="CA72">
        <f t="shared" ca="1" si="47"/>
        <v>18</v>
      </c>
      <c r="CB72">
        <f t="shared" ca="1" si="47"/>
        <v>18</v>
      </c>
      <c r="CC72">
        <f t="shared" ca="1" si="47"/>
        <v>18</v>
      </c>
      <c r="CD72">
        <f t="shared" ca="1" si="47"/>
        <v>288</v>
      </c>
      <c r="CE72">
        <f t="shared" ca="1" si="47"/>
        <v>288</v>
      </c>
      <c r="CF72">
        <f t="shared" ca="1" si="47"/>
        <v>18</v>
      </c>
      <c r="CL72">
        <f t="shared" ca="1" si="48"/>
        <v>1</v>
      </c>
      <c r="CM72">
        <f t="shared" ca="1" si="48"/>
        <v>1</v>
      </c>
      <c r="CN72">
        <f t="shared" ca="1" si="48"/>
        <v>1</v>
      </c>
      <c r="CO72">
        <f t="shared" ca="1" si="48"/>
        <v>0</v>
      </c>
      <c r="CP72">
        <f t="shared" ca="1" si="48"/>
        <v>1</v>
      </c>
      <c r="CQ72">
        <f t="shared" ca="1" si="48"/>
        <v>1</v>
      </c>
      <c r="CR72">
        <f t="shared" ca="1" si="48"/>
        <v>1</v>
      </c>
      <c r="CS72">
        <f t="shared" ca="1" si="48"/>
        <v>1</v>
      </c>
      <c r="CT72">
        <f t="shared" ca="1" si="48"/>
        <v>1</v>
      </c>
      <c r="CU72">
        <f t="shared" ca="1" si="48"/>
        <v>0</v>
      </c>
      <c r="CV72">
        <f t="shared" ca="1" si="48"/>
        <v>0</v>
      </c>
      <c r="CW72">
        <f t="shared" ca="1" si="48"/>
        <v>1</v>
      </c>
      <c r="DC72" cm="1">
        <f t="array" aca="1" ref="DC72" ca="1">IF(ISNA(E72),,OFFSET(INDIRECT("'"&amp;DT$67&amp;"'!f1"),E72-1,))*1</f>
        <v>28862.900614214999</v>
      </c>
      <c r="DD72" cm="1">
        <f t="array" aca="1" ref="DD72" ca="1">IF(ISNA(F72),,OFFSET(INDIRECT("'"&amp;DU$67&amp;"'!f1"),F72-1,))*1</f>
        <v>28820.421635354</v>
      </c>
      <c r="DE72" cm="1">
        <f t="array" aca="1" ref="DE72" ca="1">IF(ISNA(G72),,OFFSET(INDIRECT("'"&amp;DV$67&amp;"'!f1"),G72-1,))*1</f>
        <v>28800.1216760549</v>
      </c>
      <c r="DF72" cm="1">
        <f t="array" aca="1" ref="DF72" ca="1">IF(ISNA(H72),,OFFSET(INDIRECT("'"&amp;DW$67&amp;"'!f1"),H72-1,))*1</f>
        <v>28800.127683113002</v>
      </c>
      <c r="DG72" cm="1">
        <f t="array" aca="1" ref="DG72" ca="1">IF(ISNA(I72),,OFFSET(INDIRECT("'"&amp;DX$67&amp;"'!f1"),I72-1,))*1</f>
        <v>28800.103084167</v>
      </c>
      <c r="DH72" cm="1">
        <f t="array" aca="1" ref="DH72" ca="1">IF(ISNA(J72),,OFFSET(INDIRECT("'"&amp;DY$67&amp;"'!f1"),J72-1,))*1</f>
        <v>1.6984138116240499</v>
      </c>
      <c r="DI72" cm="1">
        <f t="array" aca="1" ref="DI72" ca="1">IF(ISNA(K72),,OFFSET(INDIRECT("'"&amp;DZ$67&amp;"'!f1"),K72-1,))*1</f>
        <v>20.549650442786501</v>
      </c>
      <c r="DJ72" cm="1">
        <f t="array" aca="1" ref="DJ72" ca="1">IF(ISNA(L72),,OFFSET(INDIRECT("'"&amp;EA$67&amp;"'!f1"),L72-1,))*1</f>
        <v>20.78781648539</v>
      </c>
      <c r="DK72" cm="1">
        <f t="array" aca="1" ref="DK72" ca="1">IF(ISNA(M72),,OFFSET(INDIRECT("'"&amp;EB$67&amp;"'!f1"),M72-1,))*1</f>
        <v>141.435008610598</v>
      </c>
      <c r="DL72" cm="1">
        <f t="array" aca="1" ref="DL72" ca="1">IF(ISNA(N72),,OFFSET(INDIRECT("'"&amp;EC$67&amp;"'!f1"),N72-1,))*1</f>
        <v>3.3099113992648199E-2</v>
      </c>
      <c r="DM72" cm="1">
        <f t="array" aca="1" ref="DM72" ca="1">IF(ISNA(O72),,OFFSET(INDIRECT("'"&amp;ED$67&amp;"'!f1"),O72-1,))*1</f>
        <v>3.8316631005727603E-2</v>
      </c>
      <c r="DN72" cm="1">
        <f t="array" aca="1" ref="DN72" ca="1">IF(ISNA(P72),,OFFSET(INDIRECT("'"&amp;EE$67&amp;"'!f1"),P72-1,))*1</f>
        <v>11.3436766890808</v>
      </c>
      <c r="DT72">
        <f t="shared" ca="1" si="60"/>
        <v>1</v>
      </c>
      <c r="DU72">
        <f t="shared" ca="1" si="49"/>
        <v>1</v>
      </c>
      <c r="DV72">
        <f t="shared" ca="1" si="49"/>
        <v>1</v>
      </c>
      <c r="DW72">
        <f t="shared" ca="1" si="49"/>
        <v>0</v>
      </c>
      <c r="DX72">
        <f t="shared" ca="1" si="49"/>
        <v>1</v>
      </c>
      <c r="DY72">
        <f t="shared" ca="1" si="49"/>
        <v>1</v>
      </c>
      <c r="DZ72">
        <f t="shared" ca="1" si="49"/>
        <v>65</v>
      </c>
      <c r="EA72">
        <f t="shared" ca="1" si="49"/>
        <v>5741</v>
      </c>
      <c r="EB72">
        <f t="shared" ca="1" si="49"/>
        <v>195</v>
      </c>
      <c r="EC72">
        <f t="shared" ca="1" si="49"/>
        <v>0</v>
      </c>
      <c r="ED72">
        <f t="shared" ca="1" si="49"/>
        <v>0</v>
      </c>
      <c r="EE72">
        <f t="shared" ca="1" si="49"/>
        <v>2</v>
      </c>
      <c r="EK72" cm="1">
        <f t="array" aca="1" ref="EK72" ca="1">IF(ISNA(E72),0,OFFSET(INDIRECT("'"&amp;EK$67&amp;"'!g1"),E72-1,)*CL72)</f>
        <v>1</v>
      </c>
      <c r="EL72" cm="1">
        <f t="array" aca="1" ref="EL72" ca="1">IF(ISNA(F72),0,OFFSET(INDIRECT("'"&amp;EL$67&amp;"'!g1"),F72-1,)*CM72)</f>
        <v>1</v>
      </c>
      <c r="EM72" cm="1">
        <f t="array" aca="1" ref="EM72" ca="1">IF(ISNA(G72),0,OFFSET(INDIRECT("'"&amp;EM$67&amp;"'!g1"),G72-1,)*CN72)</f>
        <v>1</v>
      </c>
      <c r="EN72" cm="1">
        <f t="array" aca="1" ref="EN72" ca="1">IF(ISNA(H72),0,OFFSET(INDIRECT("'"&amp;EN$67&amp;"'!g1"),H72-1,)*CO72)</f>
        <v>0</v>
      </c>
      <c r="EO72" cm="1">
        <f t="array" aca="1" ref="EO72" ca="1">IF(ISNA(I72),0,OFFSET(INDIRECT("'"&amp;EO$67&amp;"'!g1"),I72-1,)*CP72)</f>
        <v>1</v>
      </c>
      <c r="EP72" cm="1">
        <f t="array" aca="1" ref="EP72" ca="1">IF(ISNA(J72),0,OFFSET(INDIRECT("'"&amp;EP$67&amp;"'!g1"),J72-1,)*CQ72)</f>
        <v>1</v>
      </c>
      <c r="EQ72" cm="1">
        <f t="array" aca="1" ref="EQ72" ca="1">IF(ISNA(K72),0,OFFSET(INDIRECT("'"&amp;EQ$67&amp;"'!g1"),K72-1,)*CR72)</f>
        <v>65</v>
      </c>
      <c r="ER72" cm="1">
        <f t="array" aca="1" ref="ER72" ca="1">IF(ISNA(L72),0,OFFSET(INDIRECT("'"&amp;ER$67&amp;"'!g1"),L72-1,)*CS72)</f>
        <v>5741</v>
      </c>
      <c r="ES72" cm="1">
        <f t="array" aca="1" ref="ES72" ca="1">IF(ISNA(M72),0,OFFSET(INDIRECT("'"&amp;ES$67&amp;"'!g1"),M72-1,)*CT72)</f>
        <v>195</v>
      </c>
      <c r="ET72" cm="1">
        <f t="array" aca="1" ref="ET72" ca="1">IF(ISNA(N72),0,OFFSET(INDIRECT("'"&amp;ET$67&amp;"'!g1"),N72-1,)*CU72)</f>
        <v>0</v>
      </c>
      <c r="EU72" cm="1">
        <f t="array" aca="1" ref="EU72" ca="1">IF(ISNA(O72),0,OFFSET(INDIRECT("'"&amp;EU$67&amp;"'!g1"),O72-1,)*CV72)</f>
        <v>0</v>
      </c>
      <c r="EV72" cm="1">
        <f t="array" aca="1" ref="EV72" ca="1">IF(ISNA(P72),0,OFFSET(INDIRECT("'"&amp;EV$67&amp;"'!g1"),P72-1,)*CW72)</f>
        <v>2</v>
      </c>
      <c r="FB72" s="10" cm="1">
        <f t="array" aca="1" ref="FB72" ca="1">IF(ISNA(E72),0,OFFSET(INDIRECT("'"&amp;EK$67&amp;"'!h1"),E72-1,))</f>
        <v>1</v>
      </c>
      <c r="FC72" s="10" cm="1">
        <f t="array" aca="1" ref="FC72" ca="1">IF(ISNA(F72),0,OFFSET(INDIRECT("'"&amp;EL$67&amp;"'!h1"),F72-1,))</f>
        <v>1</v>
      </c>
      <c r="FD72" s="10" cm="1">
        <f t="array" aca="1" ref="FD72" ca="1">IF(ISNA(G72),0,OFFSET(INDIRECT("'"&amp;EM$67&amp;"'!h1"),G72-1,))</f>
        <v>1</v>
      </c>
      <c r="FE72" s="10" cm="1">
        <f t="array" aca="1" ref="FE72" ca="1">IF(ISNA(H72),0,OFFSET(INDIRECT("'"&amp;EN$67&amp;"'!h1"),H72-1,))</f>
        <v>1</v>
      </c>
      <c r="FF72" s="10" cm="1">
        <f t="array" aca="1" ref="FF72" ca="1">IF(ISNA(I72),0,OFFSET(INDIRECT("'"&amp;EO$67&amp;"'!h1"),I72-1,))</f>
        <v>1</v>
      </c>
      <c r="FG72" s="10" cm="1">
        <f t="array" aca="1" ref="FG72" ca="1">IF(ISNA(J72),0,OFFSET(INDIRECT("'"&amp;EP$67&amp;"'!h1"),J72-1,))</f>
        <v>1</v>
      </c>
      <c r="FH72" s="10" cm="1">
        <f t="array" aca="1" ref="FH72" ca="1">IF(ISNA(K72),0,OFFSET(INDIRECT("'"&amp;EQ$67&amp;"'!h1"),K72-1,))</f>
        <v>10000</v>
      </c>
      <c r="FI72" s="10" cm="1">
        <f t="array" aca="1" ref="FI72" ca="1">IF(ISNA(L72),0,OFFSET(INDIRECT("'"&amp;ER$67&amp;"'!h1"),L72-1,))</f>
        <v>10000</v>
      </c>
      <c r="FJ72" s="10" cm="1">
        <f t="array" aca="1" ref="FJ72" ca="1">IF(ISNA(M72),0,OFFSET(INDIRECT("'"&amp;ES$67&amp;"'!h1"),M72-1,))</f>
        <v>10000</v>
      </c>
      <c r="FK72" s="10" cm="1">
        <f t="array" aca="1" ref="FK72" ca="1">IF(ISNA(N72),0,OFFSET(INDIRECT("'"&amp;ET$67&amp;"'!h1"),N72-1,))</f>
        <v>1</v>
      </c>
      <c r="FL72" s="10" cm="1">
        <f t="array" aca="1" ref="FL72" ca="1">IF(ISNA(O72),0,OFFSET(INDIRECT("'"&amp;EU$67&amp;"'!h1"),O72-1,))</f>
        <v>1</v>
      </c>
      <c r="FM72" s="10" cm="1">
        <f t="array" aca="1" ref="FM72" ca="1">IF(ISNA(P72),0,OFFSET(INDIRECT("'"&amp;EV$67&amp;"'!h1"),P72-1,))</f>
        <v>5</v>
      </c>
      <c r="FN72" s="10"/>
      <c r="FO72" s="10"/>
      <c r="FP72" s="10"/>
      <c r="FQ72" s="10"/>
      <c r="FS72">
        <f t="shared" ca="1" si="61"/>
        <v>288</v>
      </c>
      <c r="FT72">
        <f t="shared" ca="1" si="62"/>
        <v>20.549650442786501</v>
      </c>
      <c r="FU72">
        <f t="shared" ca="1" si="63"/>
        <v>65</v>
      </c>
      <c r="FV72">
        <f t="shared" ca="1" si="64"/>
        <v>10000</v>
      </c>
      <c r="FW72" s="3">
        <f t="shared" ca="1" si="65"/>
        <v>6.4999999999999997E-3</v>
      </c>
      <c r="FX72" s="4">
        <f t="shared" ca="1" si="66"/>
        <v>0.31614846835056154</v>
      </c>
      <c r="FZ72" s="12">
        <f t="shared" ca="1" si="50"/>
        <v>288</v>
      </c>
      <c r="GA72" s="24">
        <f t="shared" ca="1" si="67"/>
        <v>0</v>
      </c>
      <c r="GB72" s="24">
        <f t="shared" ca="1" si="51"/>
        <v>0</v>
      </c>
      <c r="GC72" s="24">
        <f t="shared" ca="1" si="51"/>
        <v>0</v>
      </c>
      <c r="GD72" s="24" t="e">
        <f t="shared" ca="1" si="51"/>
        <v>#N/A</v>
      </c>
      <c r="GE72" s="24">
        <f t="shared" ca="1" si="51"/>
        <v>0</v>
      </c>
      <c r="GF72" s="24">
        <f t="shared" ca="1" si="51"/>
        <v>0</v>
      </c>
      <c r="GG72" s="24">
        <f t="shared" ca="1" si="51"/>
        <v>0</v>
      </c>
      <c r="GH72" s="24">
        <f t="shared" ca="1" si="51"/>
        <v>0</v>
      </c>
      <c r="GI72" s="24">
        <f t="shared" ca="1" si="51"/>
        <v>0</v>
      </c>
      <c r="GJ72" s="24" t="e">
        <f t="shared" ca="1" si="51"/>
        <v>#N/A</v>
      </c>
      <c r="GK72" s="24" t="e">
        <f t="shared" ca="1" si="51"/>
        <v>#N/A</v>
      </c>
      <c r="GL72" s="24">
        <f t="shared" ca="1" si="51"/>
        <v>0</v>
      </c>
      <c r="GM72" s="24"/>
      <c r="GN72">
        <f t="shared" ca="1" si="68"/>
        <v>288</v>
      </c>
      <c r="GO72" s="4" t="e">
        <f t="shared" ca="1" si="69"/>
        <v>#N/A</v>
      </c>
      <c r="GP72" s="4" t="e">
        <f t="shared" ca="1" si="52"/>
        <v>#N/A</v>
      </c>
      <c r="GQ72" s="4" t="e">
        <f t="shared" ca="1" si="52"/>
        <v>#N/A</v>
      </c>
      <c r="GR72" s="4" t="e">
        <f t="shared" ca="1" si="52"/>
        <v>#N/A</v>
      </c>
      <c r="GS72" s="4" t="e">
        <f t="shared" ca="1" si="52"/>
        <v>#N/A</v>
      </c>
      <c r="GT72" s="4">
        <f t="shared" ca="1" si="70"/>
        <v>1.6984138116240499</v>
      </c>
      <c r="GU72" s="4">
        <f t="shared" ca="1" si="53"/>
        <v>0.31614846835056154</v>
      </c>
      <c r="GV72" s="4">
        <f t="shared" ca="1" si="53"/>
        <v>3.6209399904877197E-3</v>
      </c>
      <c r="GW72" s="4">
        <f t="shared" ca="1" si="53"/>
        <v>0.72530773646460511</v>
      </c>
      <c r="GX72" s="4" t="e">
        <f t="shared" ca="1" si="53"/>
        <v>#N/A</v>
      </c>
      <c r="GY72" s="4" t="e">
        <f t="shared" ca="1" si="53"/>
        <v>#N/A</v>
      </c>
      <c r="GZ72" s="4">
        <f t="shared" ca="1" si="53"/>
        <v>5.6718383445403999</v>
      </c>
      <c r="HB72" s="12">
        <f t="shared" ca="1" si="54"/>
        <v>288</v>
      </c>
      <c r="HC72" s="3">
        <f t="shared" ca="1" si="71"/>
        <v>1</v>
      </c>
      <c r="HD72" s="3">
        <f t="shared" ca="1" si="55"/>
        <v>1</v>
      </c>
      <c r="HE72" s="3">
        <f t="shared" ca="1" si="55"/>
        <v>1</v>
      </c>
      <c r="HF72" s="3">
        <f t="shared" ca="1" si="55"/>
        <v>0</v>
      </c>
      <c r="HG72" s="3">
        <f t="shared" ca="1" si="55"/>
        <v>1</v>
      </c>
      <c r="HH72" s="3">
        <f t="shared" ca="1" si="55"/>
        <v>1</v>
      </c>
      <c r="HI72" s="3">
        <f t="shared" ca="1" si="55"/>
        <v>6.4999999999999997E-3</v>
      </c>
      <c r="HJ72" s="3">
        <f t="shared" ca="1" si="55"/>
        <v>0.57410000000000005</v>
      </c>
      <c r="HK72" s="3">
        <f t="shared" ca="1" si="55"/>
        <v>1.95E-2</v>
      </c>
      <c r="HL72" s="3">
        <f t="shared" ca="1" si="55"/>
        <v>0</v>
      </c>
      <c r="HM72" s="3">
        <f t="shared" ca="1" si="55"/>
        <v>0</v>
      </c>
      <c r="HN72" s="3">
        <f t="shared" ca="1" si="55"/>
        <v>0.4</v>
      </c>
    </row>
    <row r="73" spans="1:222" x14ac:dyDescent="0.2">
      <c r="A73" t="str" cm="1">
        <f t="array" aca="1" ref="A73" ca="1">INDIRECT($A$67&amp;"!A"&amp;ROW(C6)+$B$64)</f>
        <v>[[360,12,24]]</v>
      </c>
      <c r="B73" cm="1">
        <f t="array" aca="1" ref="B73" ca="1">INDIRECT($A$67&amp;"!b"&amp;ROW(D6)+$B$64)</f>
        <v>360</v>
      </c>
      <c r="C73">
        <f t="shared" ca="1" si="56"/>
        <v>24</v>
      </c>
      <c r="E73">
        <f t="shared" ca="1" si="43"/>
        <v>30</v>
      </c>
      <c r="F73">
        <f t="shared" ca="1" si="43"/>
        <v>31</v>
      </c>
      <c r="G73">
        <f t="shared" ca="1" si="43"/>
        <v>30</v>
      </c>
      <c r="H73">
        <f t="shared" ca="1" si="43"/>
        <v>30</v>
      </c>
      <c r="I73">
        <f t="shared" ca="1" si="43"/>
        <v>33</v>
      </c>
      <c r="J73">
        <f t="shared" ca="1" si="43"/>
        <v>30</v>
      </c>
      <c r="K73">
        <f t="shared" ca="1" si="43"/>
        <v>37</v>
      </c>
      <c r="L73">
        <f t="shared" ca="1" si="43"/>
        <v>39</v>
      </c>
      <c r="M73">
        <f t="shared" ca="1" si="43"/>
        <v>36</v>
      </c>
      <c r="N73">
        <f t="shared" ca="1" si="43"/>
        <v>30</v>
      </c>
      <c r="O73">
        <f t="shared" ca="1" si="43"/>
        <v>30</v>
      </c>
      <c r="P73">
        <f t="shared" ca="1" si="43"/>
        <v>35</v>
      </c>
      <c r="V73" cm="1">
        <f t="array" aca="1" ref="V73" ca="1">IF(ISNA(E73),,OFFSET(INDIRECT("'"&amp;V$67&amp;"'!d1"),E73-1,))</f>
        <v>24</v>
      </c>
      <c r="W73" cm="1">
        <f t="array" aca="1" ref="W73" ca="1">IF(ISNA(F73),,OFFSET(INDIRECT("'"&amp;W$67&amp;"'!d1"),F73-1,))</f>
        <v>24</v>
      </c>
      <c r="X73" cm="1">
        <f t="array" aca="1" ref="X73" ca="1">IF(ISNA(G73),,OFFSET(INDIRECT("'"&amp;X$67&amp;"'!d1"),G73-1,))</f>
        <v>48</v>
      </c>
      <c r="Y73" cm="1">
        <f t="array" aca="1" ref="Y73" ca="1">IF(ISNA(H73),,OFFSET(INDIRECT("'"&amp;Y$67&amp;"'!d1"),H73-1,))</f>
        <v>0</v>
      </c>
      <c r="Z73" cm="1">
        <f t="array" aca="1" ref="Z73" ca="1">IF(ISNA(I73),,OFFSET(INDIRECT("'"&amp;Z$67&amp;"'!d1"),I73-1,))</f>
        <v>24</v>
      </c>
      <c r="AA73" cm="1">
        <f t="array" aca="1" ref="AA73" ca="1">IF(ISNA(J73),,OFFSET(INDIRECT("'"&amp;AA$67&amp;"'!d1"),J73-1,))</f>
        <v>24</v>
      </c>
      <c r="AB73" cm="1">
        <f t="array" aca="1" ref="AB73" ca="1">IF(ISNA(K73),,OFFSET(INDIRECT("'"&amp;AB$67&amp;"'!d1"),K73-1,))</f>
        <v>24</v>
      </c>
      <c r="AC73" cm="1">
        <f t="array" aca="1" ref="AC73" ca="1">IF(ISNA(L73),,OFFSET(INDIRECT("'"&amp;AC$67&amp;"'!d1"),L73-1,))</f>
        <v>24</v>
      </c>
      <c r="AD73" cm="1">
        <f t="array" aca="1" ref="AD73" ca="1">IF(ISNA(M73),,OFFSET(INDIRECT("'"&amp;AD$67&amp;"'!d1"),M73-1,))</f>
        <v>24</v>
      </c>
      <c r="AE73" cm="1">
        <f t="array" aca="1" ref="AE73" ca="1">IF(ISNA(N73),,OFFSET(INDIRECT("'"&amp;AE$67&amp;"'!d1"),N73-1,))</f>
        <v>0</v>
      </c>
      <c r="AF73" cm="1">
        <f t="array" aca="1" ref="AF73" ca="1">IF(ISNA(O73),,OFFSET(INDIRECT("'"&amp;AF$67&amp;"'!d1"),O73-1,))</f>
        <v>0</v>
      </c>
      <c r="AG73" cm="1">
        <f t="array" aca="1" ref="AG73" ca="1">IF(ISNA(P73),,OFFSET(INDIRECT("'"&amp;AG$67&amp;"'!d1"),P73-1,))</f>
        <v>24</v>
      </c>
      <c r="AM73">
        <f t="shared" ca="1" si="57"/>
        <v>0</v>
      </c>
      <c r="AN73">
        <f t="shared" ca="1" si="44"/>
        <v>0</v>
      </c>
      <c r="AO73">
        <f t="shared" ca="1" si="44"/>
        <v>0</v>
      </c>
      <c r="AP73">
        <f t="shared" ca="1" si="44"/>
        <v>0</v>
      </c>
      <c r="AQ73">
        <f t="shared" ca="1" si="58"/>
        <v>0</v>
      </c>
      <c r="AV73" t="str">
        <f t="shared" ca="1" si="59"/>
        <v/>
      </c>
      <c r="AW73" t="str">
        <f t="shared" ca="1" si="45"/>
        <v/>
      </c>
      <c r="AX73" t="str">
        <f t="shared" ca="1" si="45"/>
        <v/>
      </c>
      <c r="AY73" t="str">
        <f t="shared" ca="1" si="45"/>
        <v/>
      </c>
      <c r="AZ73" t="str">
        <f t="shared" ca="1" si="45"/>
        <v/>
      </c>
      <c r="BD73">
        <f t="shared" ca="1" si="46"/>
        <v>1</v>
      </c>
      <c r="BE73">
        <f t="shared" ca="1" si="46"/>
        <v>1</v>
      </c>
      <c r="BF73">
        <f t="shared" ca="1" si="46"/>
        <v>1</v>
      </c>
      <c r="BG73">
        <f t="shared" ca="1" si="46"/>
        <v>0</v>
      </c>
      <c r="BH73">
        <f t="shared" ca="1" si="46"/>
        <v>1</v>
      </c>
      <c r="BI73">
        <f t="shared" ca="1" si="46"/>
        <v>1</v>
      </c>
      <c r="BJ73">
        <f t="shared" ca="1" si="46"/>
        <v>1</v>
      </c>
      <c r="BK73">
        <f t="shared" ca="1" si="46"/>
        <v>1</v>
      </c>
      <c r="BL73">
        <f t="shared" ca="1" si="46"/>
        <v>1</v>
      </c>
      <c r="BM73">
        <f t="shared" ca="1" si="46"/>
        <v>0</v>
      </c>
      <c r="BN73">
        <f t="shared" ca="1" si="46"/>
        <v>0</v>
      </c>
      <c r="BO73">
        <f t="shared" ca="1" si="46"/>
        <v>1</v>
      </c>
      <c r="BU73">
        <f t="shared" ca="1" si="47"/>
        <v>24</v>
      </c>
      <c r="BV73">
        <f t="shared" ca="1" si="47"/>
        <v>24</v>
      </c>
      <c r="BW73">
        <f t="shared" ca="1" si="47"/>
        <v>48</v>
      </c>
      <c r="BX73">
        <f t="shared" ca="1" si="47"/>
        <v>360</v>
      </c>
      <c r="BY73">
        <f t="shared" ca="1" si="47"/>
        <v>24</v>
      </c>
      <c r="BZ73">
        <f t="shared" ca="1" si="47"/>
        <v>24</v>
      </c>
      <c r="CA73">
        <f t="shared" ca="1" si="47"/>
        <v>24</v>
      </c>
      <c r="CB73">
        <f t="shared" ca="1" si="47"/>
        <v>24</v>
      </c>
      <c r="CC73">
        <f t="shared" ca="1" si="47"/>
        <v>24</v>
      </c>
      <c r="CD73">
        <f t="shared" ca="1" si="47"/>
        <v>360</v>
      </c>
      <c r="CE73">
        <f t="shared" ca="1" si="47"/>
        <v>360</v>
      </c>
      <c r="CF73">
        <f t="shared" ca="1" si="47"/>
        <v>24</v>
      </c>
      <c r="CL73">
        <f t="shared" ca="1" si="48"/>
        <v>1</v>
      </c>
      <c r="CM73">
        <f t="shared" ca="1" si="48"/>
        <v>1</v>
      </c>
      <c r="CN73">
        <f t="shared" ca="1" si="48"/>
        <v>0</v>
      </c>
      <c r="CO73">
        <f t="shared" ca="1" si="48"/>
        <v>0</v>
      </c>
      <c r="CP73">
        <f t="shared" ca="1" si="48"/>
        <v>1</v>
      </c>
      <c r="CQ73">
        <f t="shared" ca="1" si="48"/>
        <v>1</v>
      </c>
      <c r="CR73">
        <f t="shared" ca="1" si="48"/>
        <v>1</v>
      </c>
      <c r="CS73">
        <f t="shared" ca="1" si="48"/>
        <v>1</v>
      </c>
      <c r="CT73">
        <f t="shared" ca="1" si="48"/>
        <v>1</v>
      </c>
      <c r="CU73">
        <f t="shared" ca="1" si="48"/>
        <v>0</v>
      </c>
      <c r="CV73">
        <f t="shared" ca="1" si="48"/>
        <v>0</v>
      </c>
      <c r="CW73">
        <f t="shared" ca="1" si="48"/>
        <v>1</v>
      </c>
      <c r="DC73" cm="1">
        <f t="array" aca="1" ref="DC73" ca="1">IF(ISNA(E73),,OFFSET(INDIRECT("'"&amp;DT$67&amp;"'!f1"),E73-1,))*1</f>
        <v>28963.661256711999</v>
      </c>
      <c r="DD73" cm="1">
        <f t="array" aca="1" ref="DD73" ca="1">IF(ISNA(F73),,OFFSET(INDIRECT("'"&amp;DU$67&amp;"'!f1"),F73-1,))*1</f>
        <v>28824.707667926999</v>
      </c>
      <c r="DE73" cm="1">
        <f t="array" aca="1" ref="DE73" ca="1">IF(ISNA(G73),,OFFSET(INDIRECT("'"&amp;DV$67&amp;"'!f1"),G73-1,))*1</f>
        <v>28800.142668353899</v>
      </c>
      <c r="DF73" cm="1">
        <f t="array" aca="1" ref="DF73" ca="1">IF(ISNA(H73),,OFFSET(INDIRECT("'"&amp;DW$67&amp;"'!f1"),H73-1,))*1</f>
        <v>28800.817919377001</v>
      </c>
      <c r="DG73" cm="1">
        <f t="array" aca="1" ref="DG73" ca="1">IF(ISNA(I73),,OFFSET(INDIRECT("'"&amp;DX$67&amp;"'!f1"),I73-1,))*1</f>
        <v>28800.0716284589</v>
      </c>
      <c r="DH73" cm="1">
        <f t="array" aca="1" ref="DH73" ca="1">IF(ISNA(J73),,OFFSET(INDIRECT("'"&amp;DY$67&amp;"'!f1"),J73-1,))*1</f>
        <v>2.5287815108895302</v>
      </c>
      <c r="DI73" cm="1">
        <f t="array" aca="1" ref="DI73" ca="1">IF(ISNA(K73),,OFFSET(INDIRECT("'"&amp;DZ$67&amp;"'!f1"),K73-1,))*1</f>
        <v>31.400534946471399</v>
      </c>
      <c r="DJ73" cm="1">
        <f t="array" aca="1" ref="DJ73" ca="1">IF(ISNA(L73),,OFFSET(INDIRECT("'"&amp;EA$67&amp;"'!f1"),L73-1,))*1</f>
        <v>31.156845213845301</v>
      </c>
      <c r="DK73" cm="1">
        <f t="array" aca="1" ref="DK73" ca="1">IF(ISNA(M73),,OFFSET(INDIRECT("'"&amp;EB$67&amp;"'!f1"),M73-1,))*1</f>
        <v>152.446878725197</v>
      </c>
      <c r="DL73" cm="1">
        <f t="array" aca="1" ref="DL73" ca="1">IF(ISNA(N73),,OFFSET(INDIRECT("'"&amp;EC$67&amp;"'!f1"),N73-1,))*1</f>
        <v>3.60392849979689E-2</v>
      </c>
      <c r="DM73" cm="1">
        <f t="array" aca="1" ref="DM73" ca="1">IF(ISNA(O73),,OFFSET(INDIRECT("'"&amp;ED$67&amp;"'!f1"),O73-1,))*1</f>
        <v>4.0069723007036297E-2</v>
      </c>
      <c r="DN73" cm="1">
        <f t="array" aca="1" ref="DN73" ca="1">IF(ISNA(P73),,OFFSET(INDIRECT("'"&amp;EE$67&amp;"'!f1"),P73-1,))*1</f>
        <v>2834.2726955590701</v>
      </c>
      <c r="DT73">
        <f t="shared" ca="1" si="60"/>
        <v>1</v>
      </c>
      <c r="DU73">
        <f t="shared" ca="1" si="49"/>
        <v>1</v>
      </c>
      <c r="DV73">
        <f t="shared" ca="1" si="49"/>
        <v>0</v>
      </c>
      <c r="DW73">
        <f t="shared" ca="1" si="49"/>
        <v>0</v>
      </c>
      <c r="DX73">
        <f t="shared" ca="1" si="49"/>
        <v>1</v>
      </c>
      <c r="DY73">
        <f t="shared" ca="1" si="49"/>
        <v>1</v>
      </c>
      <c r="DZ73">
        <f t="shared" ca="1" si="49"/>
        <v>29</v>
      </c>
      <c r="EA73">
        <f t="shared" ca="1" si="49"/>
        <v>4153</v>
      </c>
      <c r="EB73">
        <f t="shared" ca="1" si="49"/>
        <v>29</v>
      </c>
      <c r="EC73">
        <f t="shared" ca="1" si="49"/>
        <v>0</v>
      </c>
      <c r="ED73">
        <f t="shared" ca="1" si="49"/>
        <v>0</v>
      </c>
      <c r="EE73">
        <f t="shared" ca="1" si="49"/>
        <v>2</v>
      </c>
      <c r="EK73" cm="1">
        <f t="array" aca="1" ref="EK73" ca="1">IF(ISNA(E73),0,OFFSET(INDIRECT("'"&amp;EK$67&amp;"'!g1"),E73-1,)*CL73)</f>
        <v>1</v>
      </c>
      <c r="EL73" cm="1">
        <f t="array" aca="1" ref="EL73" ca="1">IF(ISNA(F73),0,OFFSET(INDIRECT("'"&amp;EL$67&amp;"'!g1"),F73-1,)*CM73)</f>
        <v>1</v>
      </c>
      <c r="EM73" cm="1">
        <f t="array" aca="1" ref="EM73" ca="1">IF(ISNA(G73),0,OFFSET(INDIRECT("'"&amp;EM$67&amp;"'!g1"),G73-1,)*CN73)</f>
        <v>0</v>
      </c>
      <c r="EN73" cm="1">
        <f t="array" aca="1" ref="EN73" ca="1">IF(ISNA(H73),0,OFFSET(INDIRECT("'"&amp;EN$67&amp;"'!g1"),H73-1,)*CO73)</f>
        <v>0</v>
      </c>
      <c r="EO73" cm="1">
        <f t="array" aca="1" ref="EO73" ca="1">IF(ISNA(I73),0,OFFSET(INDIRECT("'"&amp;EO$67&amp;"'!g1"),I73-1,)*CP73)</f>
        <v>1</v>
      </c>
      <c r="EP73" cm="1">
        <f t="array" aca="1" ref="EP73" ca="1">IF(ISNA(J73),0,OFFSET(INDIRECT("'"&amp;EP$67&amp;"'!g1"),J73-1,)*CQ73)</f>
        <v>1</v>
      </c>
      <c r="EQ73" cm="1">
        <f t="array" aca="1" ref="EQ73" ca="1">IF(ISNA(K73),0,OFFSET(INDIRECT("'"&amp;EQ$67&amp;"'!g1"),K73-1,)*CR73)</f>
        <v>29</v>
      </c>
      <c r="ER73" cm="1">
        <f t="array" aca="1" ref="ER73" ca="1">IF(ISNA(L73),0,OFFSET(INDIRECT("'"&amp;ER$67&amp;"'!g1"),L73-1,)*CS73)</f>
        <v>4153</v>
      </c>
      <c r="ES73" cm="1">
        <f t="array" aca="1" ref="ES73" ca="1">IF(ISNA(M73),0,OFFSET(INDIRECT("'"&amp;ES$67&amp;"'!g1"),M73-1,)*CT73)</f>
        <v>29</v>
      </c>
      <c r="ET73" cm="1">
        <f t="array" aca="1" ref="ET73" ca="1">IF(ISNA(N73),0,OFFSET(INDIRECT("'"&amp;ET$67&amp;"'!g1"),N73-1,)*CU73)</f>
        <v>0</v>
      </c>
      <c r="EU73" cm="1">
        <f t="array" aca="1" ref="EU73" ca="1">IF(ISNA(O73),0,OFFSET(INDIRECT("'"&amp;EU$67&amp;"'!g1"),O73-1,)*CV73)</f>
        <v>0</v>
      </c>
      <c r="EV73" cm="1">
        <f t="array" aca="1" ref="EV73" ca="1">IF(ISNA(P73),0,OFFSET(INDIRECT("'"&amp;EV$67&amp;"'!g1"),P73-1,)*CW73)</f>
        <v>2</v>
      </c>
      <c r="FB73" s="10" cm="1">
        <f t="array" aca="1" ref="FB73" ca="1">IF(ISNA(E73),0,OFFSET(INDIRECT("'"&amp;EK$67&amp;"'!h1"),E73-1,))</f>
        <v>1</v>
      </c>
      <c r="FC73" s="10" cm="1">
        <f t="array" aca="1" ref="FC73" ca="1">IF(ISNA(F73),0,OFFSET(INDIRECT("'"&amp;EL$67&amp;"'!h1"),F73-1,))</f>
        <v>1</v>
      </c>
      <c r="FD73" s="10" cm="1">
        <f t="array" aca="1" ref="FD73" ca="1">IF(ISNA(G73),0,OFFSET(INDIRECT("'"&amp;EM$67&amp;"'!h1"),G73-1,))</f>
        <v>1</v>
      </c>
      <c r="FE73" s="10" cm="1">
        <f t="array" aca="1" ref="FE73" ca="1">IF(ISNA(H73),0,OFFSET(INDIRECT("'"&amp;EN$67&amp;"'!h1"),H73-1,))</f>
        <v>1</v>
      </c>
      <c r="FF73" s="10" cm="1">
        <f t="array" aca="1" ref="FF73" ca="1">IF(ISNA(I73),0,OFFSET(INDIRECT("'"&amp;EO$67&amp;"'!h1"),I73-1,))</f>
        <v>1</v>
      </c>
      <c r="FG73" s="10" cm="1">
        <f t="array" aca="1" ref="FG73" ca="1">IF(ISNA(J73),0,OFFSET(INDIRECT("'"&amp;EP$67&amp;"'!h1"),J73-1,))</f>
        <v>1</v>
      </c>
      <c r="FH73" s="10" cm="1">
        <f t="array" aca="1" ref="FH73" ca="1">IF(ISNA(K73),0,OFFSET(INDIRECT("'"&amp;EQ$67&amp;"'!h1"),K73-1,))</f>
        <v>10000</v>
      </c>
      <c r="FI73" s="10" cm="1">
        <f t="array" aca="1" ref="FI73" ca="1">IF(ISNA(L73),0,OFFSET(INDIRECT("'"&amp;ER$67&amp;"'!h1"),L73-1,))</f>
        <v>10000</v>
      </c>
      <c r="FJ73" s="10" cm="1">
        <f t="array" aca="1" ref="FJ73" ca="1">IF(ISNA(M73),0,OFFSET(INDIRECT("'"&amp;ES$67&amp;"'!h1"),M73-1,))</f>
        <v>10000</v>
      </c>
      <c r="FK73" s="10" cm="1">
        <f t="array" aca="1" ref="FK73" ca="1">IF(ISNA(N73),0,OFFSET(INDIRECT("'"&amp;ET$67&amp;"'!h1"),N73-1,))</f>
        <v>1</v>
      </c>
      <c r="FL73" s="10" cm="1">
        <f t="array" aca="1" ref="FL73" ca="1">IF(ISNA(O73),0,OFFSET(INDIRECT("'"&amp;EU$67&amp;"'!h1"),O73-1,))</f>
        <v>1</v>
      </c>
      <c r="FM73" s="10" cm="1">
        <f t="array" aca="1" ref="FM73" ca="1">IF(ISNA(P73),0,OFFSET(INDIRECT("'"&amp;EV$67&amp;"'!h1"),P73-1,))</f>
        <v>6</v>
      </c>
      <c r="FN73" s="10"/>
      <c r="FO73" s="10"/>
      <c r="FP73" s="10"/>
      <c r="FQ73" s="10"/>
      <c r="FS73">
        <f t="shared" ca="1" si="61"/>
        <v>360</v>
      </c>
      <c r="FT73">
        <f t="shared" ca="1" si="62"/>
        <v>31.400534946471399</v>
      </c>
      <c r="FU73">
        <f t="shared" ca="1" si="63"/>
        <v>29</v>
      </c>
      <c r="FV73">
        <f t="shared" ca="1" si="64"/>
        <v>10000</v>
      </c>
      <c r="FW73" s="3">
        <f t="shared" ca="1" si="65"/>
        <v>2.8999999999999998E-3</v>
      </c>
      <c r="FX73" s="4">
        <f t="shared" ca="1" si="66"/>
        <v>1.0827770671197035</v>
      </c>
      <c r="FZ73" s="12">
        <f t="shared" ca="1" si="50"/>
        <v>360</v>
      </c>
      <c r="GA73" s="24">
        <f t="shared" ca="1" si="67"/>
        <v>0</v>
      </c>
      <c r="GB73" s="24">
        <f t="shared" ca="1" si="51"/>
        <v>0</v>
      </c>
      <c r="GC73" s="24">
        <f t="shared" ca="1" si="51"/>
        <v>1</v>
      </c>
      <c r="GD73" s="24" t="e">
        <f t="shared" ca="1" si="51"/>
        <v>#N/A</v>
      </c>
      <c r="GE73" s="24">
        <f t="shared" ca="1" si="51"/>
        <v>0</v>
      </c>
      <c r="GF73" s="24">
        <f t="shared" ca="1" si="51"/>
        <v>0</v>
      </c>
      <c r="GG73" s="24">
        <f t="shared" ca="1" si="51"/>
        <v>0</v>
      </c>
      <c r="GH73" s="24">
        <f t="shared" ca="1" si="51"/>
        <v>0</v>
      </c>
      <c r="GI73" s="24">
        <f t="shared" ca="1" si="51"/>
        <v>0</v>
      </c>
      <c r="GJ73" s="24" t="e">
        <f t="shared" ca="1" si="51"/>
        <v>#N/A</v>
      </c>
      <c r="GK73" s="24" t="e">
        <f t="shared" ca="1" si="51"/>
        <v>#N/A</v>
      </c>
      <c r="GL73" s="24">
        <f t="shared" ca="1" si="51"/>
        <v>0</v>
      </c>
      <c r="GM73" s="24"/>
      <c r="GN73">
        <f t="shared" ca="1" si="68"/>
        <v>360</v>
      </c>
      <c r="GO73" s="4" t="e">
        <f t="shared" ca="1" si="69"/>
        <v>#N/A</v>
      </c>
      <c r="GP73" s="4" t="e">
        <f t="shared" ca="1" si="52"/>
        <v>#N/A</v>
      </c>
      <c r="GQ73" s="4" t="e">
        <f t="shared" ca="1" si="52"/>
        <v>#N/A</v>
      </c>
      <c r="GR73" s="4" t="e">
        <f t="shared" ca="1" si="52"/>
        <v>#N/A</v>
      </c>
      <c r="GS73" s="4" t="e">
        <f t="shared" ca="1" si="52"/>
        <v>#N/A</v>
      </c>
      <c r="GT73" s="4">
        <f t="shared" ca="1" si="70"/>
        <v>2.5287815108895302</v>
      </c>
      <c r="GU73" s="4">
        <f t="shared" ca="1" si="53"/>
        <v>1.0827770671197035</v>
      </c>
      <c r="GV73" s="4">
        <f t="shared" ca="1" si="53"/>
        <v>7.5022502320841082E-3</v>
      </c>
      <c r="GW73" s="4">
        <f t="shared" ca="1" si="53"/>
        <v>5.2567889215585168</v>
      </c>
      <c r="GX73" s="4" t="e">
        <f t="shared" ca="1" si="53"/>
        <v>#N/A</v>
      </c>
      <c r="GY73" s="4" t="e">
        <f t="shared" ca="1" si="53"/>
        <v>#N/A</v>
      </c>
      <c r="GZ73" s="4">
        <f t="shared" ca="1" si="53"/>
        <v>1417.1363477795351</v>
      </c>
      <c r="HB73" s="12">
        <f t="shared" ca="1" si="54"/>
        <v>360</v>
      </c>
      <c r="HC73" s="3">
        <f t="shared" ca="1" si="71"/>
        <v>1</v>
      </c>
      <c r="HD73" s="3">
        <f t="shared" ca="1" si="55"/>
        <v>1</v>
      </c>
      <c r="HE73" s="3">
        <f t="shared" ca="1" si="55"/>
        <v>0</v>
      </c>
      <c r="HF73" s="3">
        <f t="shared" ca="1" si="55"/>
        <v>0</v>
      </c>
      <c r="HG73" s="3">
        <f t="shared" ca="1" si="55"/>
        <v>1</v>
      </c>
      <c r="HH73" s="3">
        <f t="shared" ca="1" si="55"/>
        <v>1</v>
      </c>
      <c r="HI73" s="3">
        <f t="shared" ca="1" si="55"/>
        <v>2.8999999999999998E-3</v>
      </c>
      <c r="HJ73" s="3">
        <f t="shared" ca="1" si="55"/>
        <v>0.4153</v>
      </c>
      <c r="HK73" s="3">
        <f t="shared" ca="1" si="55"/>
        <v>2.8999999999999998E-3</v>
      </c>
      <c r="HL73" s="3">
        <f t="shared" ca="1" si="55"/>
        <v>0</v>
      </c>
      <c r="HM73" s="3">
        <f t="shared" ca="1" si="55"/>
        <v>0</v>
      </c>
      <c r="HN73" s="3">
        <f t="shared" ca="1" si="55"/>
        <v>0.33333333333333331</v>
      </c>
    </row>
    <row r="74" spans="1:222" x14ac:dyDescent="0.2">
      <c r="A74" t="str" cm="1">
        <f t="array" aca="1" ref="A74" ca="1">INDIRECT($A$67&amp;"!A"&amp;ROW(C7)+$B$64)</f>
        <v>[[756,16,34]]</v>
      </c>
      <c r="B74" cm="1">
        <f t="array" aca="1" ref="B74" ca="1">INDIRECT($A$67&amp;"!b"&amp;ROW(D7)+$B$64)</f>
        <v>756</v>
      </c>
      <c r="C74">
        <f t="shared" ca="1" si="56"/>
        <v>34</v>
      </c>
      <c r="E74">
        <f t="shared" ca="1" si="43"/>
        <v>31</v>
      </c>
      <c r="F74">
        <f t="shared" ca="1" si="43"/>
        <v>32</v>
      </c>
      <c r="G74">
        <f t="shared" ca="1" si="43"/>
        <v>31</v>
      </c>
      <c r="H74">
        <f t="shared" ca="1" si="43"/>
        <v>31</v>
      </c>
      <c r="I74">
        <f t="shared" ca="1" si="43"/>
        <v>36</v>
      </c>
      <c r="J74">
        <f t="shared" ca="1" si="43"/>
        <v>31</v>
      </c>
      <c r="K74">
        <f t="shared" ca="1" si="43"/>
        <v>38</v>
      </c>
      <c r="L74">
        <f t="shared" ca="1" si="43"/>
        <v>40</v>
      </c>
      <c r="M74">
        <f t="shared" ca="1" si="43"/>
        <v>37</v>
      </c>
      <c r="N74">
        <f t="shared" ca="1" si="43"/>
        <v>31</v>
      </c>
      <c r="O74">
        <f t="shared" ca="1" si="43"/>
        <v>31</v>
      </c>
      <c r="P74" t="e">
        <f t="shared" ca="1" si="43"/>
        <v>#N/A</v>
      </c>
      <c r="V74" cm="1">
        <f t="array" aca="1" ref="V74" ca="1">IF(ISNA(E74),,OFFSET(INDIRECT("'"&amp;V$67&amp;"'!d1"),E74-1,))</f>
        <v>34</v>
      </c>
      <c r="W74" cm="1">
        <f t="array" aca="1" ref="W74" ca="1">IF(ISNA(F74),,OFFSET(INDIRECT("'"&amp;W$67&amp;"'!d1"),F74-1,))</f>
        <v>38</v>
      </c>
      <c r="X74" cm="1">
        <f t="array" aca="1" ref="X74" ca="1">IF(ISNA(G74),,OFFSET(INDIRECT("'"&amp;X$67&amp;"'!d1"),G74-1,))</f>
        <v>86</v>
      </c>
      <c r="Y74" cm="1">
        <f t="array" aca="1" ref="Y74" ca="1">IF(ISNA(H74),,OFFSET(INDIRECT("'"&amp;Y$67&amp;"'!d1"),H74-1,))</f>
        <v>0</v>
      </c>
      <c r="Z74" cm="1">
        <f t="array" aca="1" ref="Z74" ca="1">IF(ISNA(I74),,OFFSET(INDIRECT("'"&amp;Z$67&amp;"'!d1"),I74-1,))</f>
        <v>42</v>
      </c>
      <c r="AA74" cm="1">
        <f t="array" aca="1" ref="AA74" ca="1">IF(ISNA(J74),,OFFSET(INDIRECT("'"&amp;AA$67&amp;"'!d1"),J74-1,))</f>
        <v>40</v>
      </c>
      <c r="AB74" cm="1">
        <f t="array" aca="1" ref="AB74" ca="1">IF(ISNA(K74),,OFFSET(INDIRECT("'"&amp;AB$67&amp;"'!d1"),K74-1,))</f>
        <v>40</v>
      </c>
      <c r="AC74" cm="1">
        <f t="array" aca="1" ref="AC74" ca="1">IF(ISNA(L74),,OFFSET(INDIRECT("'"&amp;AC$67&amp;"'!d1"),L74-1,))</f>
        <v>36</v>
      </c>
      <c r="AD74" cm="1">
        <f t="array" aca="1" ref="AD74" ca="1">IF(ISNA(M74),,OFFSET(INDIRECT("'"&amp;AD$67&amp;"'!d1"),M74-1,))</f>
        <v>42</v>
      </c>
      <c r="AE74" cm="1">
        <f t="array" aca="1" ref="AE74" ca="1">IF(ISNA(N74),,OFFSET(INDIRECT("'"&amp;AE$67&amp;"'!d1"),N74-1,))</f>
        <v>0</v>
      </c>
      <c r="AF74" cm="1">
        <f t="array" aca="1" ref="AF74" ca="1">IF(ISNA(O74),,OFFSET(INDIRECT("'"&amp;AF$67&amp;"'!d1"),O74-1,))</f>
        <v>0</v>
      </c>
      <c r="AG74" cm="1">
        <f t="array" aca="1" ref="AG74" ca="1">IF(ISNA(P74),,OFFSET(INDIRECT("'"&amp;AG$67&amp;"'!d1"),P74-1,))</f>
        <v>0</v>
      </c>
      <c r="AM74">
        <f t="shared" ca="1" si="57"/>
        <v>0</v>
      </c>
      <c r="AN74">
        <f t="shared" ca="1" si="44"/>
        <v>0</v>
      </c>
      <c r="AO74">
        <f t="shared" ca="1" si="44"/>
        <v>0</v>
      </c>
      <c r="AP74">
        <f t="shared" ca="1" si="44"/>
        <v>0</v>
      </c>
      <c r="AQ74">
        <f t="shared" ca="1" si="58"/>
        <v>0</v>
      </c>
      <c r="AV74" t="str">
        <f t="shared" ca="1" si="59"/>
        <v/>
      </c>
      <c r="AW74" t="str">
        <f t="shared" ca="1" si="45"/>
        <v/>
      </c>
      <c r="AX74" t="str">
        <f t="shared" ca="1" si="45"/>
        <v/>
      </c>
      <c r="AY74" t="str">
        <f t="shared" ca="1" si="45"/>
        <v/>
      </c>
      <c r="AZ74" t="str">
        <f t="shared" ca="1" si="45"/>
        <v/>
      </c>
      <c r="BD74">
        <f t="shared" ca="1" si="46"/>
        <v>1</v>
      </c>
      <c r="BE74">
        <f t="shared" ca="1" si="46"/>
        <v>1</v>
      </c>
      <c r="BF74">
        <f t="shared" ca="1" si="46"/>
        <v>1</v>
      </c>
      <c r="BG74">
        <f t="shared" ca="1" si="46"/>
        <v>0</v>
      </c>
      <c r="BH74">
        <f t="shared" ca="1" si="46"/>
        <v>1</v>
      </c>
      <c r="BI74">
        <f t="shared" ca="1" si="46"/>
        <v>1</v>
      </c>
      <c r="BJ74">
        <f t="shared" ca="1" si="46"/>
        <v>1</v>
      </c>
      <c r="BK74">
        <f t="shared" ca="1" si="46"/>
        <v>1</v>
      </c>
      <c r="BL74">
        <f t="shared" ca="1" si="46"/>
        <v>1</v>
      </c>
      <c r="BM74">
        <f t="shared" ca="1" si="46"/>
        <v>0</v>
      </c>
      <c r="BN74">
        <f t="shared" ca="1" si="46"/>
        <v>0</v>
      </c>
      <c r="BO74">
        <f t="shared" ca="1" si="46"/>
        <v>0</v>
      </c>
      <c r="BU74">
        <f t="shared" ca="1" si="47"/>
        <v>34</v>
      </c>
      <c r="BV74">
        <f t="shared" ca="1" si="47"/>
        <v>38</v>
      </c>
      <c r="BW74">
        <f t="shared" ca="1" si="47"/>
        <v>86</v>
      </c>
      <c r="BX74">
        <f t="shared" ca="1" si="47"/>
        <v>756</v>
      </c>
      <c r="BY74">
        <f t="shared" ca="1" si="47"/>
        <v>42</v>
      </c>
      <c r="BZ74">
        <f t="shared" ca="1" si="47"/>
        <v>40</v>
      </c>
      <c r="CA74">
        <f t="shared" ca="1" si="47"/>
        <v>40</v>
      </c>
      <c r="CB74">
        <f t="shared" ca="1" si="47"/>
        <v>36</v>
      </c>
      <c r="CC74">
        <f t="shared" ca="1" si="47"/>
        <v>42</v>
      </c>
      <c r="CD74">
        <f t="shared" ca="1" si="47"/>
        <v>756</v>
      </c>
      <c r="CE74">
        <f t="shared" ca="1" si="47"/>
        <v>756</v>
      </c>
      <c r="CF74">
        <f t="shared" ca="1" si="47"/>
        <v>756</v>
      </c>
      <c r="CL74">
        <f t="shared" ca="1" si="48"/>
        <v>1</v>
      </c>
      <c r="CM74">
        <f t="shared" ca="1" si="48"/>
        <v>0</v>
      </c>
      <c r="CN74">
        <f t="shared" ca="1" si="48"/>
        <v>0</v>
      </c>
      <c r="CO74">
        <f t="shared" ca="1" si="48"/>
        <v>0</v>
      </c>
      <c r="CP74">
        <f t="shared" ca="1" si="48"/>
        <v>0</v>
      </c>
      <c r="CQ74">
        <f t="shared" ca="1" si="48"/>
        <v>0</v>
      </c>
      <c r="CR74">
        <f t="shared" ca="1" si="48"/>
        <v>0</v>
      </c>
      <c r="CS74">
        <f t="shared" ca="1" si="48"/>
        <v>0</v>
      </c>
      <c r="CT74">
        <f t="shared" ca="1" si="48"/>
        <v>0</v>
      </c>
      <c r="CU74">
        <f t="shared" ca="1" si="48"/>
        <v>0</v>
      </c>
      <c r="CV74">
        <f t="shared" ca="1" si="48"/>
        <v>0</v>
      </c>
      <c r="CW74">
        <f t="shared" ca="1" si="48"/>
        <v>0</v>
      </c>
      <c r="DC74" cm="1">
        <f t="array" aca="1" ref="DC74" ca="1">IF(ISNA(E74),,OFFSET(INDIRECT("'"&amp;DT$67&amp;"'!f1"),E74-1,))*1</f>
        <v>28801.030362588899</v>
      </c>
      <c r="DD74" cm="1">
        <f t="array" aca="1" ref="DD74" ca="1">IF(ISNA(F74),,OFFSET(INDIRECT("'"&amp;DU$67&amp;"'!f1"),F74-1,))*1</f>
        <v>28808.019443771998</v>
      </c>
      <c r="DE74" cm="1">
        <f t="array" aca="1" ref="DE74" ca="1">IF(ISNA(G74),,OFFSET(INDIRECT("'"&amp;DV$67&amp;"'!f1"),G74-1,))*1</f>
        <v>28800.264287779999</v>
      </c>
      <c r="DF74" cm="1">
        <f t="array" aca="1" ref="DF74" ca="1">IF(ISNA(H74),,OFFSET(INDIRECT("'"&amp;DW$67&amp;"'!f1"),H74-1,))*1</f>
        <v>28800.966412894901</v>
      </c>
      <c r="DG74" cm="1">
        <f t="array" aca="1" ref="DG74" ca="1">IF(ISNA(I74),,OFFSET(INDIRECT("'"&amp;DX$67&amp;"'!f1"),I74-1,))*1</f>
        <v>28800.467267749998</v>
      </c>
      <c r="DH74" cm="1">
        <f t="array" aca="1" ref="DH74" ca="1">IF(ISNA(J74),,OFFSET(INDIRECT("'"&amp;DY$67&amp;"'!f1"),J74-1,))*1</f>
        <v>11.7924217656254</v>
      </c>
      <c r="DI74" cm="1">
        <f t="array" aca="1" ref="DI74" ca="1">IF(ISNA(K74),,OFFSET(INDIRECT("'"&amp;DZ$67&amp;"'!f1"),K74-1,))*1</f>
        <v>156.689089961349</v>
      </c>
      <c r="DJ74" cm="1">
        <f t="array" aca="1" ref="DJ74" ca="1">IF(ISNA(L74),,OFFSET(INDIRECT("'"&amp;EA$67&amp;"'!f1"),L74-1,))*1</f>
        <v>156.367003560066</v>
      </c>
      <c r="DK74" cm="1">
        <f t="array" aca="1" ref="DK74" ca="1">IF(ISNA(M74),,OFFSET(INDIRECT("'"&amp;EB$67&amp;"'!f1"),M74-1,))*1</f>
        <v>863.02037689089696</v>
      </c>
      <c r="DL74" cm="1">
        <f t="array" aca="1" ref="DL74" ca="1">IF(ISNA(N74),,OFFSET(INDIRECT("'"&amp;EC$67&amp;"'!f1"),N74-1,))*1</f>
        <v>0.119559307000599</v>
      </c>
      <c r="DM74" cm="1">
        <f t="array" aca="1" ref="DM74" ca="1">IF(ISNA(O74),,OFFSET(INDIRECT("'"&amp;ED$67&amp;"'!f1"),O74-1,))*1</f>
        <v>0.13509333199181101</v>
      </c>
      <c r="DN74" cm="1">
        <f t="array" aca="1" ref="DN74" ca="1">IF(ISNA(P74),,OFFSET(INDIRECT("'"&amp;EE$67&amp;"'!f1"),P74-1,))*1</f>
        <v>0</v>
      </c>
      <c r="DT74">
        <f t="shared" ca="1" si="60"/>
        <v>1</v>
      </c>
      <c r="DU74">
        <f t="shared" ca="1" si="49"/>
        <v>0</v>
      </c>
      <c r="DV74">
        <f t="shared" ca="1" si="49"/>
        <v>0</v>
      </c>
      <c r="DW74">
        <f t="shared" ca="1" si="49"/>
        <v>0</v>
      </c>
      <c r="DX74">
        <f t="shared" ca="1" si="49"/>
        <v>0</v>
      </c>
      <c r="DY74">
        <f t="shared" ca="1" si="49"/>
        <v>0</v>
      </c>
      <c r="DZ74">
        <f t="shared" ca="1" si="49"/>
        <v>0</v>
      </c>
      <c r="EA74">
        <f t="shared" ca="1" si="49"/>
        <v>0</v>
      </c>
      <c r="EB74">
        <f t="shared" ca="1" si="49"/>
        <v>0</v>
      </c>
      <c r="EC74">
        <f t="shared" ca="1" si="49"/>
        <v>0</v>
      </c>
      <c r="ED74">
        <f t="shared" ca="1" si="49"/>
        <v>0</v>
      </c>
      <c r="EE74">
        <f t="shared" ca="1" si="49"/>
        <v>0</v>
      </c>
      <c r="EK74" cm="1">
        <f t="array" aca="1" ref="EK74" ca="1">IF(ISNA(E74),0,OFFSET(INDIRECT("'"&amp;EK$67&amp;"'!g1"),E74-1,)*CL74)</f>
        <v>1</v>
      </c>
      <c r="EL74" cm="1">
        <f t="array" aca="1" ref="EL74" ca="1">IF(ISNA(F74),0,OFFSET(INDIRECT("'"&amp;EL$67&amp;"'!g1"),F74-1,)*CM74)</f>
        <v>0</v>
      </c>
      <c r="EM74" cm="1">
        <f t="array" aca="1" ref="EM74" ca="1">IF(ISNA(G74),0,OFFSET(INDIRECT("'"&amp;EM$67&amp;"'!g1"),G74-1,)*CN74)</f>
        <v>0</v>
      </c>
      <c r="EN74" cm="1">
        <f t="array" aca="1" ref="EN74" ca="1">IF(ISNA(H74),0,OFFSET(INDIRECT("'"&amp;EN$67&amp;"'!g1"),H74-1,)*CO74)</f>
        <v>0</v>
      </c>
      <c r="EO74" cm="1">
        <f t="array" aca="1" ref="EO74" ca="1">IF(ISNA(I74),0,OFFSET(INDIRECT("'"&amp;EO$67&amp;"'!g1"),I74-1,)*CP74)</f>
        <v>0</v>
      </c>
      <c r="EP74" cm="1">
        <f t="array" aca="1" ref="EP74" ca="1">IF(ISNA(J74),0,OFFSET(INDIRECT("'"&amp;EP$67&amp;"'!g1"),J74-1,)*CQ74)</f>
        <v>0</v>
      </c>
      <c r="EQ74" cm="1">
        <f t="array" aca="1" ref="EQ74" ca="1">IF(ISNA(K74),0,OFFSET(INDIRECT("'"&amp;EQ$67&amp;"'!g1"),K74-1,)*CR74)</f>
        <v>0</v>
      </c>
      <c r="ER74" cm="1">
        <f t="array" aca="1" ref="ER74" ca="1">IF(ISNA(L74),0,OFFSET(INDIRECT("'"&amp;ER$67&amp;"'!g1"),L74-1,)*CS74)</f>
        <v>0</v>
      </c>
      <c r="ES74" cm="1">
        <f t="array" aca="1" ref="ES74" ca="1">IF(ISNA(M74),0,OFFSET(INDIRECT("'"&amp;ES$67&amp;"'!g1"),M74-1,)*CT74)</f>
        <v>0</v>
      </c>
      <c r="ET74" cm="1">
        <f t="array" aca="1" ref="ET74" ca="1">IF(ISNA(N74),0,OFFSET(INDIRECT("'"&amp;ET$67&amp;"'!g1"),N74-1,)*CU74)</f>
        <v>0</v>
      </c>
      <c r="EU74" cm="1">
        <f t="array" aca="1" ref="EU74" ca="1">IF(ISNA(O74),0,OFFSET(INDIRECT("'"&amp;EU$67&amp;"'!g1"),O74-1,)*CV74)</f>
        <v>0</v>
      </c>
      <c r="EV74" cm="1">
        <f t="array" aca="1" ref="EV74" ca="1">IF(ISNA(P74),0,OFFSET(INDIRECT("'"&amp;EV$67&amp;"'!g1"),P74-1,)*CW74)</f>
        <v>0</v>
      </c>
      <c r="FB74" s="10" cm="1">
        <f t="array" aca="1" ref="FB74" ca="1">IF(ISNA(E74),0,OFFSET(INDIRECT("'"&amp;EK$67&amp;"'!h1"),E74-1,))</f>
        <v>1</v>
      </c>
      <c r="FC74" s="10" cm="1">
        <f t="array" aca="1" ref="FC74" ca="1">IF(ISNA(F74),0,OFFSET(INDIRECT("'"&amp;EL$67&amp;"'!h1"),F74-1,))</f>
        <v>1</v>
      </c>
      <c r="FD74" s="10" cm="1">
        <f t="array" aca="1" ref="FD74" ca="1">IF(ISNA(G74),0,OFFSET(INDIRECT("'"&amp;EM$67&amp;"'!h1"),G74-1,))</f>
        <v>1</v>
      </c>
      <c r="FE74" s="10" cm="1">
        <f t="array" aca="1" ref="FE74" ca="1">IF(ISNA(H74),0,OFFSET(INDIRECT("'"&amp;EN$67&amp;"'!h1"),H74-1,))</f>
        <v>1</v>
      </c>
      <c r="FF74" s="10" cm="1">
        <f t="array" aca="1" ref="FF74" ca="1">IF(ISNA(I74),0,OFFSET(INDIRECT("'"&amp;EO$67&amp;"'!h1"),I74-1,))</f>
        <v>1</v>
      </c>
      <c r="FG74" s="10" cm="1">
        <f t="array" aca="1" ref="FG74" ca="1">IF(ISNA(J74),0,OFFSET(INDIRECT("'"&amp;EP$67&amp;"'!h1"),J74-1,))</f>
        <v>1</v>
      </c>
      <c r="FH74" s="10" cm="1">
        <f t="array" aca="1" ref="FH74" ca="1">IF(ISNA(K74),0,OFFSET(INDIRECT("'"&amp;EQ$67&amp;"'!h1"),K74-1,))</f>
        <v>10000</v>
      </c>
      <c r="FI74" s="10" cm="1">
        <f t="array" aca="1" ref="FI74" ca="1">IF(ISNA(L74),0,OFFSET(INDIRECT("'"&amp;ER$67&amp;"'!h1"),L74-1,))</f>
        <v>10000</v>
      </c>
      <c r="FJ74" s="10" cm="1">
        <f t="array" aca="1" ref="FJ74" ca="1">IF(ISNA(M74),0,OFFSET(INDIRECT("'"&amp;ES$67&amp;"'!h1"),M74-1,))</f>
        <v>10000</v>
      </c>
      <c r="FK74" s="10" cm="1">
        <f t="array" aca="1" ref="FK74" ca="1">IF(ISNA(N74),0,OFFSET(INDIRECT("'"&amp;ET$67&amp;"'!h1"),N74-1,))</f>
        <v>1</v>
      </c>
      <c r="FL74" s="10" cm="1">
        <f t="array" aca="1" ref="FL74" ca="1">IF(ISNA(O74),0,OFFSET(INDIRECT("'"&amp;EU$67&amp;"'!h1"),O74-1,))</f>
        <v>1</v>
      </c>
      <c r="FM74" s="10" cm="1">
        <f t="array" aca="1" ref="FM74" ca="1">IF(ISNA(P74),0,OFFSET(INDIRECT("'"&amp;EV$67&amp;"'!h1"),P74-1,))</f>
        <v>0</v>
      </c>
      <c r="FN74" s="10"/>
      <c r="FO74" s="10"/>
      <c r="FP74" s="10"/>
      <c r="FQ74" s="10"/>
      <c r="FS74">
        <f t="shared" ca="1" si="61"/>
        <v>756</v>
      </c>
      <c r="FT74">
        <f t="shared" ca="1" si="62"/>
        <v>156.689089961349</v>
      </c>
      <c r="FU74">
        <f t="shared" ca="1" si="63"/>
        <v>0</v>
      </c>
      <c r="FV74">
        <f t="shared" ca="1" si="64"/>
        <v>10000</v>
      </c>
      <c r="FW74" s="3">
        <f t="shared" ca="1" si="65"/>
        <v>0</v>
      </c>
      <c r="FX74" s="4" t="e">
        <f t="shared" ca="1" si="66"/>
        <v>#N/A</v>
      </c>
      <c r="FZ74" s="12">
        <f t="shared" ca="1" si="50"/>
        <v>756</v>
      </c>
      <c r="GA74" s="24">
        <f t="shared" ca="1" si="67"/>
        <v>0</v>
      </c>
      <c r="GB74" s="24">
        <f t="shared" ca="1" si="51"/>
        <v>0.11764705882352941</v>
      </c>
      <c r="GC74" s="24">
        <f t="shared" ca="1" si="51"/>
        <v>1.5294117647058822</v>
      </c>
      <c r="GD74" s="24" t="e">
        <f t="shared" ca="1" si="51"/>
        <v>#N/A</v>
      </c>
      <c r="GE74" s="24">
        <f t="shared" ca="1" si="51"/>
        <v>0.23529411764705882</v>
      </c>
      <c r="GF74" s="24">
        <f t="shared" ca="1" si="51"/>
        <v>0.17647058823529413</v>
      </c>
      <c r="GG74" s="24">
        <f t="shared" ca="1" si="51"/>
        <v>0.17647058823529413</v>
      </c>
      <c r="GH74" s="24">
        <f t="shared" ca="1" si="51"/>
        <v>5.8823529411764705E-2</v>
      </c>
      <c r="GI74" s="24">
        <f t="shared" ca="1" si="51"/>
        <v>0.23529411764705882</v>
      </c>
      <c r="GJ74" s="24" t="e">
        <f t="shared" ca="1" si="51"/>
        <v>#N/A</v>
      </c>
      <c r="GK74" s="24" t="e">
        <f t="shared" ca="1" si="51"/>
        <v>#N/A</v>
      </c>
      <c r="GL74" s="24" t="e">
        <f t="shared" ca="1" si="51"/>
        <v>#N/A</v>
      </c>
      <c r="GM74" s="24"/>
      <c r="GN74">
        <f t="shared" ca="1" si="68"/>
        <v>756</v>
      </c>
      <c r="GO74" s="4" t="e">
        <f t="shared" ca="1" si="69"/>
        <v>#N/A</v>
      </c>
      <c r="GP74" s="4" t="e">
        <f t="shared" ca="1" si="52"/>
        <v>#N/A</v>
      </c>
      <c r="GQ74" s="4" t="e">
        <f t="shared" ca="1" si="52"/>
        <v>#N/A</v>
      </c>
      <c r="GR74" s="4" t="e">
        <f t="shared" ca="1" si="52"/>
        <v>#N/A</v>
      </c>
      <c r="GS74" s="4" t="e">
        <f t="shared" ca="1" si="52"/>
        <v>#N/A</v>
      </c>
      <c r="GT74" s="4" t="e">
        <f t="shared" ca="1" si="70"/>
        <v>#N/A</v>
      </c>
      <c r="GU74" s="4" t="e">
        <f t="shared" ca="1" si="53"/>
        <v>#N/A</v>
      </c>
      <c r="GV74" s="4" t="e">
        <f t="shared" ca="1" si="53"/>
        <v>#N/A</v>
      </c>
      <c r="GW74" s="4" t="e">
        <f t="shared" ca="1" si="53"/>
        <v>#N/A</v>
      </c>
      <c r="GX74" s="4" t="e">
        <f t="shared" ca="1" si="53"/>
        <v>#N/A</v>
      </c>
      <c r="GY74" s="4" t="e">
        <f t="shared" ca="1" si="53"/>
        <v>#N/A</v>
      </c>
      <c r="GZ74" s="4" t="e">
        <f t="shared" ca="1" si="53"/>
        <v>#N/A</v>
      </c>
      <c r="HB74" s="12">
        <f t="shared" ca="1" si="54"/>
        <v>756</v>
      </c>
      <c r="HC74" s="3">
        <f t="shared" ca="1" si="71"/>
        <v>1</v>
      </c>
      <c r="HD74" s="3">
        <f t="shared" ca="1" si="55"/>
        <v>0</v>
      </c>
      <c r="HE74" s="3">
        <f t="shared" ca="1" si="55"/>
        <v>0</v>
      </c>
      <c r="HF74" s="3">
        <f t="shared" ca="1" si="55"/>
        <v>0</v>
      </c>
      <c r="HG74" s="3">
        <f t="shared" ca="1" si="55"/>
        <v>0</v>
      </c>
      <c r="HH74" s="3">
        <f t="shared" ca="1" si="55"/>
        <v>0</v>
      </c>
      <c r="HI74" s="3">
        <f t="shared" ca="1" si="55"/>
        <v>0</v>
      </c>
      <c r="HJ74" s="3">
        <f t="shared" ca="1" si="55"/>
        <v>0</v>
      </c>
      <c r="HK74" s="3">
        <f t="shared" ca="1" si="55"/>
        <v>0</v>
      </c>
      <c r="HL74" s="3">
        <f t="shared" ca="1" si="55"/>
        <v>0</v>
      </c>
      <c r="HM74" s="3">
        <f t="shared" ca="1" si="55"/>
        <v>0</v>
      </c>
      <c r="HN74" s="3">
        <f t="shared" ca="1" si="55"/>
        <v>0</v>
      </c>
    </row>
    <row r="75" spans="1:222" x14ac:dyDescent="0.2">
      <c r="A75" t="str" cm="1">
        <f t="array" aca="1" ref="A75" ca="1">INDIRECT($A$67&amp;"!A"&amp;ROW(C8)+$B$64)</f>
        <v>[[216,8,10]]</v>
      </c>
      <c r="B75" cm="1">
        <f t="array" aca="1" ref="B75" ca="1">INDIRECT($A$67&amp;"!b"&amp;ROW(D8)+$B$64)</f>
        <v>216</v>
      </c>
      <c r="C75">
        <f t="shared" ca="1" si="56"/>
        <v>10</v>
      </c>
      <c r="E75">
        <f t="shared" ca="1" si="43"/>
        <v>32</v>
      </c>
      <c r="F75">
        <f t="shared" ca="1" si="43"/>
        <v>33</v>
      </c>
      <c r="G75">
        <f t="shared" ca="1" si="43"/>
        <v>32</v>
      </c>
      <c r="H75">
        <f t="shared" ca="1" si="43"/>
        <v>32</v>
      </c>
      <c r="I75">
        <f t="shared" ca="1" si="43"/>
        <v>39</v>
      </c>
      <c r="J75">
        <f t="shared" ca="1" si="43"/>
        <v>32</v>
      </c>
      <c r="K75">
        <f t="shared" ca="1" si="43"/>
        <v>39</v>
      </c>
      <c r="L75">
        <f t="shared" ca="1" si="43"/>
        <v>41</v>
      </c>
      <c r="M75">
        <f t="shared" ca="1" si="43"/>
        <v>38</v>
      </c>
      <c r="N75">
        <f t="shared" ca="1" si="43"/>
        <v>32</v>
      </c>
      <c r="O75">
        <f t="shared" ca="1" si="43"/>
        <v>32</v>
      </c>
      <c r="P75">
        <f t="shared" ca="1" si="43"/>
        <v>36</v>
      </c>
      <c r="V75" cm="1">
        <f t="array" aca="1" ref="V75" ca="1">IF(ISNA(E75),,OFFSET(INDIRECT("'"&amp;V$67&amp;"'!d1"),E75-1,))</f>
        <v>10</v>
      </c>
      <c r="W75" cm="1">
        <f t="array" aca="1" ref="W75" ca="1">IF(ISNA(F75),,OFFSET(INDIRECT("'"&amp;W$67&amp;"'!d1"),F75-1,))</f>
        <v>10</v>
      </c>
      <c r="X75" cm="1">
        <f t="array" aca="1" ref="X75" ca="1">IF(ISNA(G75),,OFFSET(INDIRECT("'"&amp;X$67&amp;"'!d1"),G75-1,))</f>
        <v>10</v>
      </c>
      <c r="Y75" cm="1">
        <f t="array" aca="1" ref="Y75" ca="1">IF(ISNA(H75),,OFFSET(INDIRECT("'"&amp;Y$67&amp;"'!d1"),H75-1,))</f>
        <v>10</v>
      </c>
      <c r="Z75" cm="1">
        <f t="array" aca="1" ref="Z75" ca="1">IF(ISNA(I75),,OFFSET(INDIRECT("'"&amp;Z$67&amp;"'!d1"),I75-1,))</f>
        <v>10</v>
      </c>
      <c r="AA75" cm="1">
        <f t="array" aca="1" ref="AA75" ca="1">IF(ISNA(J75),,OFFSET(INDIRECT("'"&amp;AA$67&amp;"'!d1"),J75-1,))</f>
        <v>10</v>
      </c>
      <c r="AB75" cm="1">
        <f t="array" aca="1" ref="AB75" ca="1">IF(ISNA(K75),,OFFSET(INDIRECT("'"&amp;AB$67&amp;"'!d1"),K75-1,))</f>
        <v>10</v>
      </c>
      <c r="AC75" cm="1">
        <f t="array" aca="1" ref="AC75" ca="1">IF(ISNA(L75),,OFFSET(INDIRECT("'"&amp;AC$67&amp;"'!d1"),L75-1,))</f>
        <v>10</v>
      </c>
      <c r="AD75" cm="1">
        <f t="array" aca="1" ref="AD75" ca="1">IF(ISNA(M75),,OFFSET(INDIRECT("'"&amp;AD$67&amp;"'!d1"),M75-1,))</f>
        <v>10</v>
      </c>
      <c r="AE75" cm="1">
        <f t="array" aca="1" ref="AE75" ca="1">IF(ISNA(N75),,OFFSET(INDIRECT("'"&amp;AE$67&amp;"'!d1"),N75-1,))</f>
        <v>0</v>
      </c>
      <c r="AF75" cm="1">
        <f t="array" aca="1" ref="AF75" ca="1">IF(ISNA(O75),,OFFSET(INDIRECT("'"&amp;AF$67&amp;"'!d1"),O75-1,))</f>
        <v>12</v>
      </c>
      <c r="AG75" cm="1">
        <f t="array" aca="1" ref="AG75" ca="1">IF(ISNA(P75),,OFFSET(INDIRECT("'"&amp;AG$67&amp;"'!d1"),P75-1,))</f>
        <v>10</v>
      </c>
      <c r="AM75">
        <f t="shared" ca="1" si="57"/>
        <v>1</v>
      </c>
      <c r="AN75">
        <f t="shared" ca="1" si="44"/>
        <v>1</v>
      </c>
      <c r="AO75">
        <f t="shared" ca="1" si="44"/>
        <v>1</v>
      </c>
      <c r="AP75">
        <f t="shared" ca="1" si="44"/>
        <v>1</v>
      </c>
      <c r="AQ75">
        <f t="shared" ca="1" si="58"/>
        <v>0</v>
      </c>
      <c r="AV75" t="b">
        <f t="shared" ca="1" si="59"/>
        <v>1</v>
      </c>
      <c r="AW75" t="b">
        <f t="shared" ca="1" si="45"/>
        <v>1</v>
      </c>
      <c r="AX75" t="b">
        <f t="shared" ca="1" si="45"/>
        <v>1</v>
      </c>
      <c r="AY75" t="b">
        <f t="shared" ca="1" si="45"/>
        <v>1</v>
      </c>
      <c r="AZ75" t="str">
        <f t="shared" ca="1" si="45"/>
        <v/>
      </c>
      <c r="BD75">
        <f t="shared" ca="1" si="46"/>
        <v>1</v>
      </c>
      <c r="BE75">
        <f t="shared" ca="1" si="46"/>
        <v>1</v>
      </c>
      <c r="BF75">
        <f t="shared" ca="1" si="46"/>
        <v>1</v>
      </c>
      <c r="BG75">
        <f t="shared" ca="1" si="46"/>
        <v>1</v>
      </c>
      <c r="BH75">
        <f t="shared" ca="1" si="46"/>
        <v>1</v>
      </c>
      <c r="BI75">
        <f t="shared" ca="1" si="46"/>
        <v>1</v>
      </c>
      <c r="BJ75">
        <f t="shared" ca="1" si="46"/>
        <v>1</v>
      </c>
      <c r="BK75">
        <f t="shared" ca="1" si="46"/>
        <v>1</v>
      </c>
      <c r="BL75">
        <f t="shared" ca="1" si="46"/>
        <v>1</v>
      </c>
      <c r="BM75">
        <f t="shared" ca="1" si="46"/>
        <v>0</v>
      </c>
      <c r="BN75">
        <f t="shared" ca="1" si="46"/>
        <v>1</v>
      </c>
      <c r="BO75">
        <f t="shared" ca="1" si="46"/>
        <v>1</v>
      </c>
      <c r="BU75">
        <f t="shared" ca="1" si="47"/>
        <v>10</v>
      </c>
      <c r="BV75">
        <f t="shared" ca="1" si="47"/>
        <v>10</v>
      </c>
      <c r="BW75">
        <f t="shared" ca="1" si="47"/>
        <v>10</v>
      </c>
      <c r="BX75">
        <f t="shared" ca="1" si="47"/>
        <v>10</v>
      </c>
      <c r="BY75">
        <f t="shared" ca="1" si="47"/>
        <v>10</v>
      </c>
      <c r="BZ75">
        <f t="shared" ca="1" si="47"/>
        <v>10</v>
      </c>
      <c r="CA75">
        <f t="shared" ca="1" si="47"/>
        <v>10</v>
      </c>
      <c r="CB75">
        <f t="shared" ca="1" si="47"/>
        <v>10</v>
      </c>
      <c r="CC75">
        <f t="shared" ca="1" si="47"/>
        <v>10</v>
      </c>
      <c r="CD75">
        <f t="shared" ca="1" si="47"/>
        <v>216</v>
      </c>
      <c r="CE75">
        <f t="shared" ca="1" si="47"/>
        <v>12</v>
      </c>
      <c r="CF75">
        <f t="shared" ca="1" si="47"/>
        <v>10</v>
      </c>
      <c r="CL75">
        <f t="shared" ca="1" si="48"/>
        <v>1</v>
      </c>
      <c r="CM75">
        <f t="shared" ca="1" si="48"/>
        <v>1</v>
      </c>
      <c r="CN75">
        <f t="shared" ca="1" si="48"/>
        <v>1</v>
      </c>
      <c r="CO75">
        <f t="shared" ca="1" si="48"/>
        <v>1</v>
      </c>
      <c r="CP75">
        <f t="shared" ca="1" si="48"/>
        <v>1</v>
      </c>
      <c r="CQ75">
        <f t="shared" ca="1" si="48"/>
        <v>1</v>
      </c>
      <c r="CR75">
        <f t="shared" ca="1" si="48"/>
        <v>1</v>
      </c>
      <c r="CS75">
        <f t="shared" ca="1" si="48"/>
        <v>1</v>
      </c>
      <c r="CT75">
        <f t="shared" ca="1" si="48"/>
        <v>1</v>
      </c>
      <c r="CU75">
        <f t="shared" ca="1" si="48"/>
        <v>0</v>
      </c>
      <c r="CV75">
        <f t="shared" ca="1" si="48"/>
        <v>0</v>
      </c>
      <c r="CW75">
        <f t="shared" ca="1" si="48"/>
        <v>1</v>
      </c>
      <c r="DC75" cm="1">
        <f t="array" aca="1" ref="DC75" ca="1">IF(ISNA(E75),,OFFSET(INDIRECT("'"&amp;DT$67&amp;"'!f1"),E75-1,))*1</f>
        <v>4.96470221399795</v>
      </c>
      <c r="DD75" cm="1">
        <f t="array" aca="1" ref="DD75" ca="1">IF(ISNA(F75),,OFFSET(INDIRECT("'"&amp;DU$67&amp;"'!f1"),F75-1,))*1</f>
        <v>64.214648583991206</v>
      </c>
      <c r="DE75" cm="1">
        <f t="array" aca="1" ref="DE75" ca="1">IF(ISNA(G75),,OFFSET(INDIRECT("'"&amp;DV$67&amp;"'!f1"),G75-1,))*1</f>
        <v>40.254271372003103</v>
      </c>
      <c r="DF75" cm="1">
        <f t="array" aca="1" ref="DF75" ca="1">IF(ISNA(H75),,OFFSET(INDIRECT("'"&amp;DW$67&amp;"'!f1"),H75-1,))*1</f>
        <v>0.72749089699936997</v>
      </c>
      <c r="DG75" cm="1">
        <f t="array" aca="1" ref="DG75" ca="1">IF(ISNA(I75),,OFFSET(INDIRECT("'"&amp;DX$67&amp;"'!f1"),I75-1,))*1</f>
        <v>28800.251061666</v>
      </c>
      <c r="DH75" cm="1">
        <f t="array" aca="1" ref="DH75" ca="1">IF(ISNA(J75),,OFFSET(INDIRECT("'"&amp;DY$67&amp;"'!f1"),J75-1,))*1</f>
        <v>0.67405243963003103</v>
      </c>
      <c r="DI75" cm="1">
        <f t="array" aca="1" ref="DI75" ca="1">IF(ISNA(K75),,OFFSET(INDIRECT("'"&amp;DZ$67&amp;"'!f1"),K75-1,))*1</f>
        <v>10.0319519704207</v>
      </c>
      <c r="DJ75" cm="1">
        <f t="array" aca="1" ref="DJ75" ca="1">IF(ISNA(L75),,OFFSET(INDIRECT("'"&amp;EA$67&amp;"'!f1"),L75-1,))*1</f>
        <v>10.9914375394582</v>
      </c>
      <c r="DK75" cm="1">
        <f t="array" aca="1" ref="DK75" ca="1">IF(ISNA(M75),,OFFSET(INDIRECT("'"&amp;EB$67&amp;"'!f1"),M75-1,))*1</f>
        <v>60.584178903140099</v>
      </c>
      <c r="DL75" cm="1">
        <f t="array" aca="1" ref="DL75" ca="1">IF(ISNA(N75),,OFFSET(INDIRECT("'"&amp;EC$67&amp;"'!f1"),N75-1,))*1</f>
        <v>1.9085694002569601E-2</v>
      </c>
      <c r="DM75" cm="1">
        <f t="array" aca="1" ref="DM75" ca="1">IF(ISNA(O75),,OFFSET(INDIRECT("'"&amp;ED$67&amp;"'!f1"),O75-1,))*1</f>
        <v>3.09503349999431E-2</v>
      </c>
      <c r="DN75" cm="1">
        <f t="array" aca="1" ref="DN75" ca="1">IF(ISNA(P75),,OFFSET(INDIRECT("'"&amp;EE$67&amp;"'!f1"),P75-1,))*1</f>
        <v>2.1565008088946298</v>
      </c>
      <c r="DT75">
        <f t="shared" ca="1" si="60"/>
        <v>1</v>
      </c>
      <c r="DU75">
        <f t="shared" ca="1" si="49"/>
        <v>1</v>
      </c>
      <c r="DV75">
        <f t="shared" ca="1" si="49"/>
        <v>1</v>
      </c>
      <c r="DW75">
        <f t="shared" ca="1" si="49"/>
        <v>1</v>
      </c>
      <c r="DX75">
        <f t="shared" ca="1" si="49"/>
        <v>1</v>
      </c>
      <c r="DY75">
        <f t="shared" ca="1" si="49"/>
        <v>1</v>
      </c>
      <c r="DZ75">
        <f t="shared" ca="1" si="49"/>
        <v>5987</v>
      </c>
      <c r="EA75">
        <f t="shared" ca="1" si="49"/>
        <v>9562</v>
      </c>
      <c r="EB75">
        <f t="shared" ca="1" si="49"/>
        <v>4398</v>
      </c>
      <c r="EC75">
        <f t="shared" ca="1" si="49"/>
        <v>0</v>
      </c>
      <c r="ED75">
        <f t="shared" ca="1" si="49"/>
        <v>0</v>
      </c>
      <c r="EE75">
        <f t="shared" ca="1" si="49"/>
        <v>2</v>
      </c>
      <c r="EK75" cm="1">
        <f t="array" aca="1" ref="EK75" ca="1">IF(ISNA(E75),0,OFFSET(INDIRECT("'"&amp;EK$67&amp;"'!g1"),E75-1,)*CL75)</f>
        <v>1</v>
      </c>
      <c r="EL75" cm="1">
        <f t="array" aca="1" ref="EL75" ca="1">IF(ISNA(F75),0,OFFSET(INDIRECT("'"&amp;EL$67&amp;"'!g1"),F75-1,)*CM75)</f>
        <v>1</v>
      </c>
      <c r="EM75" cm="1">
        <f t="array" aca="1" ref="EM75" ca="1">IF(ISNA(G75),0,OFFSET(INDIRECT("'"&amp;EM$67&amp;"'!g1"),G75-1,)*CN75)</f>
        <v>1</v>
      </c>
      <c r="EN75" cm="1">
        <f t="array" aca="1" ref="EN75" ca="1">IF(ISNA(H75),0,OFFSET(INDIRECT("'"&amp;EN$67&amp;"'!g1"),H75-1,)*CO75)</f>
        <v>1</v>
      </c>
      <c r="EO75" cm="1">
        <f t="array" aca="1" ref="EO75" ca="1">IF(ISNA(I75),0,OFFSET(INDIRECT("'"&amp;EO$67&amp;"'!g1"),I75-1,)*CP75)</f>
        <v>1</v>
      </c>
      <c r="EP75" cm="1">
        <f t="array" aca="1" ref="EP75" ca="1">IF(ISNA(J75),0,OFFSET(INDIRECT("'"&amp;EP$67&amp;"'!g1"),J75-1,)*CQ75)</f>
        <v>1</v>
      </c>
      <c r="EQ75" cm="1">
        <f t="array" aca="1" ref="EQ75" ca="1">IF(ISNA(K75),0,OFFSET(INDIRECT("'"&amp;EQ$67&amp;"'!g1"),K75-1,)*CR75)</f>
        <v>5987</v>
      </c>
      <c r="ER75" cm="1">
        <f t="array" aca="1" ref="ER75" ca="1">IF(ISNA(L75),0,OFFSET(INDIRECT("'"&amp;ER$67&amp;"'!g1"),L75-1,)*CS75)</f>
        <v>9562</v>
      </c>
      <c r="ES75" cm="1">
        <f t="array" aca="1" ref="ES75" ca="1">IF(ISNA(M75),0,OFFSET(INDIRECT("'"&amp;ES$67&amp;"'!g1"),M75-1,)*CT75)</f>
        <v>4398</v>
      </c>
      <c r="ET75" cm="1">
        <f t="array" aca="1" ref="ET75" ca="1">IF(ISNA(N75),0,OFFSET(INDIRECT("'"&amp;ET$67&amp;"'!g1"),N75-1,)*CU75)</f>
        <v>0</v>
      </c>
      <c r="EU75" cm="1">
        <f t="array" aca="1" ref="EU75" ca="1">IF(ISNA(O75),0,OFFSET(INDIRECT("'"&amp;EU$67&amp;"'!g1"),O75-1,)*CV75)</f>
        <v>0</v>
      </c>
      <c r="EV75" cm="1">
        <f t="array" aca="1" ref="EV75" ca="1">IF(ISNA(P75),0,OFFSET(INDIRECT("'"&amp;EV$67&amp;"'!g1"),P75-1,)*CW75)</f>
        <v>2</v>
      </c>
      <c r="FB75" s="10" cm="1">
        <f t="array" aca="1" ref="FB75" ca="1">IF(ISNA(E75),0,OFFSET(INDIRECT("'"&amp;EK$67&amp;"'!h1"),E75-1,))</f>
        <v>1</v>
      </c>
      <c r="FC75" s="10" cm="1">
        <f t="array" aca="1" ref="FC75" ca="1">IF(ISNA(F75),0,OFFSET(INDIRECT("'"&amp;EL$67&amp;"'!h1"),F75-1,))</f>
        <v>1</v>
      </c>
      <c r="FD75" s="10" cm="1">
        <f t="array" aca="1" ref="FD75" ca="1">IF(ISNA(G75),0,OFFSET(INDIRECT("'"&amp;EM$67&amp;"'!h1"),G75-1,))</f>
        <v>1</v>
      </c>
      <c r="FE75" s="10" cm="1">
        <f t="array" aca="1" ref="FE75" ca="1">IF(ISNA(H75),0,OFFSET(INDIRECT("'"&amp;EN$67&amp;"'!h1"),H75-1,))</f>
        <v>1</v>
      </c>
      <c r="FF75" s="10" cm="1">
        <f t="array" aca="1" ref="FF75" ca="1">IF(ISNA(I75),0,OFFSET(INDIRECT("'"&amp;EO$67&amp;"'!h1"),I75-1,))</f>
        <v>1</v>
      </c>
      <c r="FG75" s="10" cm="1">
        <f t="array" aca="1" ref="FG75" ca="1">IF(ISNA(J75),0,OFFSET(INDIRECT("'"&amp;EP$67&amp;"'!h1"),J75-1,))</f>
        <v>1</v>
      </c>
      <c r="FH75" s="10" cm="1">
        <f t="array" aca="1" ref="FH75" ca="1">IF(ISNA(K75),0,OFFSET(INDIRECT("'"&amp;EQ$67&amp;"'!h1"),K75-1,))</f>
        <v>10000</v>
      </c>
      <c r="FI75" s="10" cm="1">
        <f t="array" aca="1" ref="FI75" ca="1">IF(ISNA(L75),0,OFFSET(INDIRECT("'"&amp;ER$67&amp;"'!h1"),L75-1,))</f>
        <v>10000</v>
      </c>
      <c r="FJ75" s="10" cm="1">
        <f t="array" aca="1" ref="FJ75" ca="1">IF(ISNA(M75),0,OFFSET(INDIRECT("'"&amp;ES$67&amp;"'!h1"),M75-1,))</f>
        <v>10000</v>
      </c>
      <c r="FK75" s="10" cm="1">
        <f t="array" aca="1" ref="FK75" ca="1">IF(ISNA(N75),0,OFFSET(INDIRECT("'"&amp;ET$67&amp;"'!h1"),N75-1,))</f>
        <v>1</v>
      </c>
      <c r="FL75" s="10" cm="1">
        <f t="array" aca="1" ref="FL75" ca="1">IF(ISNA(O75),0,OFFSET(INDIRECT("'"&amp;EU$67&amp;"'!h1"),O75-1,))</f>
        <v>1</v>
      </c>
      <c r="FM75" s="10" cm="1">
        <f t="array" aca="1" ref="FM75" ca="1">IF(ISNA(P75),0,OFFSET(INDIRECT("'"&amp;EV$67&amp;"'!h1"),P75-1,))</f>
        <v>4</v>
      </c>
      <c r="FN75" s="10"/>
      <c r="FO75" s="10"/>
      <c r="FP75" s="10"/>
      <c r="FQ75" s="10"/>
      <c r="FS75">
        <f t="shared" ca="1" si="61"/>
        <v>216</v>
      </c>
      <c r="FT75">
        <f t="shared" ca="1" si="62"/>
        <v>10.0319519704207</v>
      </c>
      <c r="FU75">
        <f t="shared" ca="1" si="63"/>
        <v>5987</v>
      </c>
      <c r="FV75">
        <f t="shared" ca="1" si="64"/>
        <v>10000</v>
      </c>
      <c r="FW75" s="3">
        <f t="shared" ca="1" si="65"/>
        <v>0.59870000000000001</v>
      </c>
      <c r="FX75" s="4">
        <f t="shared" ca="1" si="66"/>
        <v>1.675622510509554E-3</v>
      </c>
      <c r="FZ75" s="12">
        <f t="shared" ca="1" si="50"/>
        <v>216</v>
      </c>
      <c r="GA75" s="24">
        <f t="shared" ca="1" si="67"/>
        <v>0</v>
      </c>
      <c r="GB75" s="24">
        <f t="shared" ca="1" si="51"/>
        <v>0</v>
      </c>
      <c r="GC75" s="24">
        <f t="shared" ca="1" si="51"/>
        <v>0</v>
      </c>
      <c r="GD75" s="24">
        <f t="shared" ca="1" si="51"/>
        <v>0</v>
      </c>
      <c r="GE75" s="24">
        <f t="shared" ca="1" si="51"/>
        <v>0</v>
      </c>
      <c r="GF75" s="24">
        <f t="shared" ca="1" si="51"/>
        <v>0</v>
      </c>
      <c r="GG75" s="24">
        <f t="shared" ca="1" si="51"/>
        <v>0</v>
      </c>
      <c r="GH75" s="24">
        <f t="shared" ca="1" si="51"/>
        <v>0</v>
      </c>
      <c r="GI75" s="24">
        <f t="shared" ca="1" si="51"/>
        <v>0</v>
      </c>
      <c r="GJ75" s="24" t="e">
        <f t="shared" ca="1" si="51"/>
        <v>#N/A</v>
      </c>
      <c r="GK75" s="24">
        <f t="shared" ca="1" si="51"/>
        <v>0.2</v>
      </c>
      <c r="GL75" s="24">
        <f t="shared" ca="1" si="51"/>
        <v>0</v>
      </c>
      <c r="GM75" s="24"/>
      <c r="GN75">
        <f t="shared" ca="1" si="68"/>
        <v>216</v>
      </c>
      <c r="GO75" s="4">
        <f t="shared" ca="1" si="69"/>
        <v>4.96470221399795</v>
      </c>
      <c r="GP75" s="4">
        <f t="shared" ca="1" si="52"/>
        <v>64.214648583991206</v>
      </c>
      <c r="GQ75" s="4">
        <f t="shared" ca="1" si="52"/>
        <v>40.254271372003103</v>
      </c>
      <c r="GR75" s="4">
        <f t="shared" ca="1" si="52"/>
        <v>0.72749089699936997</v>
      </c>
      <c r="GS75" s="4" t="e">
        <f t="shared" ca="1" si="52"/>
        <v>#N/A</v>
      </c>
      <c r="GT75" s="4">
        <f t="shared" ca="1" si="70"/>
        <v>0.67405243963003103</v>
      </c>
      <c r="GU75" s="4">
        <f t="shared" ca="1" si="53"/>
        <v>1.675622510509554E-3</v>
      </c>
      <c r="GV75" s="4">
        <f t="shared" ca="1" si="53"/>
        <v>1.1494914808050827E-3</v>
      </c>
      <c r="GW75" s="4">
        <f t="shared" ca="1" si="53"/>
        <v>1.3775393111218759E-2</v>
      </c>
      <c r="GX75" s="4" t="e">
        <f t="shared" ca="1" si="53"/>
        <v>#N/A</v>
      </c>
      <c r="GY75" s="4" t="e">
        <f t="shared" ca="1" si="53"/>
        <v>#N/A</v>
      </c>
      <c r="GZ75" s="4">
        <f t="shared" ca="1" si="53"/>
        <v>1.0782504044473149</v>
      </c>
      <c r="HB75" s="12">
        <f t="shared" ca="1" si="54"/>
        <v>216</v>
      </c>
      <c r="HC75" s="3">
        <f t="shared" ca="1" si="71"/>
        <v>1</v>
      </c>
      <c r="HD75" s="3">
        <f t="shared" ca="1" si="55"/>
        <v>1</v>
      </c>
      <c r="HE75" s="3">
        <f t="shared" ca="1" si="55"/>
        <v>1</v>
      </c>
      <c r="HF75" s="3">
        <f t="shared" ca="1" si="55"/>
        <v>1</v>
      </c>
      <c r="HG75" s="3">
        <f t="shared" ca="1" si="55"/>
        <v>1</v>
      </c>
      <c r="HH75" s="3">
        <f t="shared" ca="1" si="55"/>
        <v>1</v>
      </c>
      <c r="HI75" s="3">
        <f t="shared" ca="1" si="55"/>
        <v>0.59870000000000001</v>
      </c>
      <c r="HJ75" s="3">
        <f t="shared" ca="1" si="55"/>
        <v>0.95620000000000005</v>
      </c>
      <c r="HK75" s="3">
        <f t="shared" ca="1" si="55"/>
        <v>0.43980000000000002</v>
      </c>
      <c r="HL75" s="3">
        <f t="shared" ca="1" si="55"/>
        <v>0</v>
      </c>
      <c r="HM75" s="3">
        <f t="shared" ca="1" si="55"/>
        <v>0</v>
      </c>
      <c r="HN75" s="3">
        <f t="shared" ca="1" si="55"/>
        <v>0.5</v>
      </c>
    </row>
    <row r="76" spans="1:222" x14ac:dyDescent="0.2">
      <c r="A76" t="str" cm="1">
        <f t="array" aca="1" ref="A76" ca="1">INDIRECT($A$67&amp;"!A"&amp;ROW(C9)+$B$64)</f>
        <v>[[576,8,24]]</v>
      </c>
      <c r="B76" cm="1">
        <f t="array" aca="1" ref="B76" ca="1">INDIRECT($A$67&amp;"!b"&amp;ROW(D9)+$B$64)</f>
        <v>576</v>
      </c>
      <c r="C76">
        <f t="shared" ca="1" si="56"/>
        <v>24</v>
      </c>
      <c r="E76">
        <f t="shared" ca="1" si="43"/>
        <v>33</v>
      </c>
      <c r="F76">
        <f t="shared" ca="1" si="43"/>
        <v>34</v>
      </c>
      <c r="G76">
        <f t="shared" ca="1" si="43"/>
        <v>33</v>
      </c>
      <c r="H76">
        <f t="shared" ca="1" si="43"/>
        <v>33</v>
      </c>
      <c r="I76">
        <f t="shared" ca="1" si="43"/>
        <v>42</v>
      </c>
      <c r="J76">
        <f t="shared" ca="1" si="43"/>
        <v>33</v>
      </c>
      <c r="K76">
        <f t="shared" ca="1" si="43"/>
        <v>40</v>
      </c>
      <c r="L76">
        <f t="shared" ca="1" si="43"/>
        <v>42</v>
      </c>
      <c r="M76">
        <f t="shared" ca="1" si="43"/>
        <v>39</v>
      </c>
      <c r="N76">
        <f t="shared" ca="1" si="43"/>
        <v>33</v>
      </c>
      <c r="O76">
        <f t="shared" ca="1" si="43"/>
        <v>33</v>
      </c>
      <c r="P76">
        <f t="shared" ca="1" si="43"/>
        <v>37</v>
      </c>
      <c r="V76" cm="1">
        <f t="array" aca="1" ref="V76" ca="1">IF(ISNA(E76),,OFFSET(INDIRECT("'"&amp;V$67&amp;"'!d1"),E76-1,))</f>
        <v>24</v>
      </c>
      <c r="W76" cm="1">
        <f t="array" aca="1" ref="W76" ca="1">IF(ISNA(F76),,OFFSET(INDIRECT("'"&amp;W$67&amp;"'!d1"),F76-1,))</f>
        <v>24</v>
      </c>
      <c r="X76" cm="1">
        <f t="array" aca="1" ref="X76" ca="1">IF(ISNA(G76),,OFFSET(INDIRECT("'"&amp;X$67&amp;"'!d1"),G76-1,))</f>
        <v>150</v>
      </c>
      <c r="Y76" cm="1">
        <f t="array" aca="1" ref="Y76" ca="1">IF(ISNA(H76),,OFFSET(INDIRECT("'"&amp;Y$67&amp;"'!d1"),H76-1,))</f>
        <v>0</v>
      </c>
      <c r="Z76" cm="1">
        <f t="array" aca="1" ref="Z76" ca="1">IF(ISNA(I76),,OFFSET(INDIRECT("'"&amp;Z$67&amp;"'!d1"),I76-1,))</f>
        <v>24</v>
      </c>
      <c r="AA76" cm="1">
        <f t="array" aca="1" ref="AA76" ca="1">IF(ISNA(J76),,OFFSET(INDIRECT("'"&amp;AA$67&amp;"'!d1"),J76-1,))</f>
        <v>24</v>
      </c>
      <c r="AB76" cm="1">
        <f t="array" aca="1" ref="AB76" ca="1">IF(ISNA(K76),,OFFSET(INDIRECT("'"&amp;AB$67&amp;"'!d1"),K76-1,))</f>
        <v>24</v>
      </c>
      <c r="AC76" cm="1">
        <f t="array" aca="1" ref="AC76" ca="1">IF(ISNA(L76),,OFFSET(INDIRECT("'"&amp;AC$67&amp;"'!d1"),L76-1,))</f>
        <v>24</v>
      </c>
      <c r="AD76" cm="1">
        <f t="array" aca="1" ref="AD76" ca="1">IF(ISNA(M76),,OFFSET(INDIRECT("'"&amp;AD$67&amp;"'!d1"),M76-1,))</f>
        <v>24</v>
      </c>
      <c r="AE76" cm="1">
        <f t="array" aca="1" ref="AE76" ca="1">IF(ISNA(N76),,OFFSET(INDIRECT("'"&amp;AE$67&amp;"'!d1"),N76-1,))</f>
        <v>0</v>
      </c>
      <c r="AF76" cm="1">
        <f t="array" aca="1" ref="AF76" ca="1">IF(ISNA(O76),,OFFSET(INDIRECT("'"&amp;AF$67&amp;"'!d1"),O76-1,))</f>
        <v>0</v>
      </c>
      <c r="AG76" cm="1">
        <f t="array" aca="1" ref="AG76" ca="1">IF(ISNA(P76),,OFFSET(INDIRECT("'"&amp;AG$67&amp;"'!d1"),P76-1,))</f>
        <v>26</v>
      </c>
      <c r="AM76">
        <f t="shared" ca="1" si="57"/>
        <v>0</v>
      </c>
      <c r="AN76">
        <f t="shared" ca="1" si="44"/>
        <v>0</v>
      </c>
      <c r="AO76">
        <f t="shared" ca="1" si="44"/>
        <v>0</v>
      </c>
      <c r="AP76">
        <f t="shared" ca="1" si="44"/>
        <v>0</v>
      </c>
      <c r="AQ76">
        <f t="shared" ca="1" si="58"/>
        <v>0</v>
      </c>
      <c r="AV76" t="str">
        <f t="shared" ca="1" si="59"/>
        <v/>
      </c>
      <c r="AW76" t="str">
        <f t="shared" ca="1" si="45"/>
        <v/>
      </c>
      <c r="AX76" t="str">
        <f t="shared" ca="1" si="45"/>
        <v/>
      </c>
      <c r="AY76" t="str">
        <f t="shared" ca="1" si="45"/>
        <v/>
      </c>
      <c r="AZ76" t="str">
        <f t="shared" ca="1" si="45"/>
        <v/>
      </c>
      <c r="BD76">
        <f t="shared" ca="1" si="46"/>
        <v>1</v>
      </c>
      <c r="BE76">
        <f t="shared" ca="1" si="46"/>
        <v>1</v>
      </c>
      <c r="BF76">
        <f t="shared" ca="1" si="46"/>
        <v>1</v>
      </c>
      <c r="BG76">
        <f t="shared" ca="1" si="46"/>
        <v>0</v>
      </c>
      <c r="BH76">
        <f t="shared" ca="1" si="46"/>
        <v>1</v>
      </c>
      <c r="BI76">
        <f t="shared" ca="1" si="46"/>
        <v>1</v>
      </c>
      <c r="BJ76">
        <f t="shared" ca="1" si="46"/>
        <v>1</v>
      </c>
      <c r="BK76">
        <f t="shared" ca="1" si="46"/>
        <v>1</v>
      </c>
      <c r="BL76">
        <f t="shared" ca="1" si="46"/>
        <v>1</v>
      </c>
      <c r="BM76">
        <f t="shared" ca="1" si="46"/>
        <v>0</v>
      </c>
      <c r="BN76">
        <f t="shared" ca="1" si="46"/>
        <v>0</v>
      </c>
      <c r="BO76">
        <f t="shared" ca="1" si="46"/>
        <v>1</v>
      </c>
      <c r="BU76">
        <f t="shared" ca="1" si="47"/>
        <v>24</v>
      </c>
      <c r="BV76">
        <f t="shared" ca="1" si="47"/>
        <v>24</v>
      </c>
      <c r="BW76">
        <f t="shared" ca="1" si="47"/>
        <v>150</v>
      </c>
      <c r="BX76">
        <f t="shared" ca="1" si="47"/>
        <v>576</v>
      </c>
      <c r="BY76">
        <f t="shared" ca="1" si="47"/>
        <v>24</v>
      </c>
      <c r="BZ76">
        <f t="shared" ca="1" si="47"/>
        <v>24</v>
      </c>
      <c r="CA76">
        <f t="shared" ca="1" si="47"/>
        <v>24</v>
      </c>
      <c r="CB76">
        <f t="shared" ca="1" si="47"/>
        <v>24</v>
      </c>
      <c r="CC76">
        <f t="shared" ca="1" si="47"/>
        <v>24</v>
      </c>
      <c r="CD76">
        <f t="shared" ca="1" si="47"/>
        <v>576</v>
      </c>
      <c r="CE76">
        <f t="shared" ca="1" si="47"/>
        <v>576</v>
      </c>
      <c r="CF76">
        <f t="shared" ca="1" si="47"/>
        <v>26</v>
      </c>
      <c r="CL76">
        <f t="shared" ca="1" si="48"/>
        <v>1</v>
      </c>
      <c r="CM76">
        <f t="shared" ca="1" si="48"/>
        <v>1</v>
      </c>
      <c r="CN76">
        <f t="shared" ca="1" si="48"/>
        <v>0</v>
      </c>
      <c r="CO76">
        <f t="shared" ca="1" si="48"/>
        <v>0</v>
      </c>
      <c r="CP76">
        <f t="shared" ca="1" si="48"/>
        <v>1</v>
      </c>
      <c r="CQ76">
        <f t="shared" ca="1" si="48"/>
        <v>1</v>
      </c>
      <c r="CR76">
        <f t="shared" ca="1" si="48"/>
        <v>1</v>
      </c>
      <c r="CS76">
        <f t="shared" ca="1" si="48"/>
        <v>1</v>
      </c>
      <c r="CT76">
        <f t="shared" ca="1" si="48"/>
        <v>1</v>
      </c>
      <c r="CU76">
        <f t="shared" ca="1" si="48"/>
        <v>0</v>
      </c>
      <c r="CV76">
        <f t="shared" ca="1" si="48"/>
        <v>0</v>
      </c>
      <c r="CW76">
        <f t="shared" ca="1" si="48"/>
        <v>0</v>
      </c>
      <c r="DC76" cm="1">
        <f t="array" aca="1" ref="DC76" ca="1">IF(ISNA(E76),,OFFSET(INDIRECT("'"&amp;DT$67&amp;"'!f1"),E76-1,))*1</f>
        <v>28950.455558786001</v>
      </c>
      <c r="DD76" cm="1">
        <f t="array" aca="1" ref="DD76" ca="1">IF(ISNA(F76),,OFFSET(INDIRECT("'"&amp;DU$67&amp;"'!f1"),F76-1,))*1</f>
        <v>28838.660237399999</v>
      </c>
      <c r="DE76" cm="1">
        <f t="array" aca="1" ref="DE76" ca="1">IF(ISNA(G76),,OFFSET(INDIRECT("'"&amp;DV$67&amp;"'!f1"),G76-1,))*1</f>
        <v>28800.135704418</v>
      </c>
      <c r="DF76" cm="1">
        <f t="array" aca="1" ref="DF76" ca="1">IF(ISNA(H76),,OFFSET(INDIRECT("'"&amp;DW$67&amp;"'!f1"),H76-1,))*1</f>
        <v>28800.177956896001</v>
      </c>
      <c r="DG76" cm="1">
        <f t="array" aca="1" ref="DG76" ca="1">IF(ISNA(I76),,OFFSET(INDIRECT("'"&amp;DX$67&amp;"'!f1"),I76-1,))*1</f>
        <v>28800.375084250001</v>
      </c>
      <c r="DH76" cm="1">
        <f t="array" aca="1" ref="DH76" ca="1">IF(ISNA(J76),,OFFSET(INDIRECT("'"&amp;DY$67&amp;"'!f1"),J76-1,))*1</f>
        <v>6.2266105934977496</v>
      </c>
      <c r="DI76" cm="1">
        <f t="array" aca="1" ref="DI76" ca="1">IF(ISNA(K76),,OFFSET(INDIRECT("'"&amp;DZ$67&amp;"'!f1"),K76-1,))*1</f>
        <v>68.510069532319903</v>
      </c>
      <c r="DJ76" cm="1">
        <f t="array" aca="1" ref="DJ76" ca="1">IF(ISNA(L76),,OFFSET(INDIRECT("'"&amp;EA$67&amp;"'!f1"),L76-1,))*1</f>
        <v>67.263528211973593</v>
      </c>
      <c r="DK76" cm="1">
        <f t="array" aca="1" ref="DK76" ca="1">IF(ISNA(M76),,OFFSET(INDIRECT("'"&amp;EB$67&amp;"'!f1"),M76-1,))*1</f>
        <v>377.36744858697</v>
      </c>
      <c r="DL76" cm="1">
        <f t="array" aca="1" ref="DL76" ca="1">IF(ISNA(N76),,OFFSET(INDIRECT("'"&amp;EC$67&amp;"'!f1"),N76-1,))*1</f>
        <v>6.3065566995646805E-2</v>
      </c>
      <c r="DM76" cm="1">
        <f t="array" aca="1" ref="DM76" ca="1">IF(ISNA(O76),,OFFSET(INDIRECT("'"&amp;ED$67&amp;"'!f1"),O76-1,))*1</f>
        <v>6.6685669997241306E-2</v>
      </c>
      <c r="DN76" cm="1">
        <f t="array" aca="1" ref="DN76" ca="1">IF(ISNA(P76),,OFFSET(INDIRECT("'"&amp;EE$67&amp;"'!f1"),P76-1,))*1</f>
        <v>415.79708728194203</v>
      </c>
      <c r="DT76">
        <f t="shared" ca="1" si="60"/>
        <v>1</v>
      </c>
      <c r="DU76">
        <f t="shared" ca="1" si="49"/>
        <v>1</v>
      </c>
      <c r="DV76">
        <f t="shared" ca="1" si="49"/>
        <v>0</v>
      </c>
      <c r="DW76">
        <f t="shared" ca="1" si="49"/>
        <v>0</v>
      </c>
      <c r="DX76">
        <f t="shared" ca="1" si="49"/>
        <v>1</v>
      </c>
      <c r="DY76">
        <f t="shared" ca="1" si="49"/>
        <v>1</v>
      </c>
      <c r="DZ76">
        <f t="shared" ca="1" si="49"/>
        <v>5</v>
      </c>
      <c r="EA76">
        <f t="shared" ca="1" si="49"/>
        <v>4195</v>
      </c>
      <c r="EB76">
        <f t="shared" ca="1" si="49"/>
        <v>3</v>
      </c>
      <c r="EC76">
        <f t="shared" ca="1" si="49"/>
        <v>0</v>
      </c>
      <c r="ED76">
        <f t="shared" ca="1" si="49"/>
        <v>0</v>
      </c>
      <c r="EE76">
        <f t="shared" ca="1" si="49"/>
        <v>0</v>
      </c>
      <c r="EK76" cm="1">
        <f t="array" aca="1" ref="EK76" ca="1">IF(ISNA(E76),0,OFFSET(INDIRECT("'"&amp;EK$67&amp;"'!g1"),E76-1,)*CL76)</f>
        <v>1</v>
      </c>
      <c r="EL76" cm="1">
        <f t="array" aca="1" ref="EL76" ca="1">IF(ISNA(F76),0,OFFSET(INDIRECT("'"&amp;EL$67&amp;"'!g1"),F76-1,)*CM76)</f>
        <v>1</v>
      </c>
      <c r="EM76" cm="1">
        <f t="array" aca="1" ref="EM76" ca="1">IF(ISNA(G76),0,OFFSET(INDIRECT("'"&amp;EM$67&amp;"'!g1"),G76-1,)*CN76)</f>
        <v>0</v>
      </c>
      <c r="EN76" cm="1">
        <f t="array" aca="1" ref="EN76" ca="1">IF(ISNA(H76),0,OFFSET(INDIRECT("'"&amp;EN$67&amp;"'!g1"),H76-1,)*CO76)</f>
        <v>0</v>
      </c>
      <c r="EO76" cm="1">
        <f t="array" aca="1" ref="EO76" ca="1">IF(ISNA(I76),0,OFFSET(INDIRECT("'"&amp;EO$67&amp;"'!g1"),I76-1,)*CP76)</f>
        <v>1</v>
      </c>
      <c r="EP76" cm="1">
        <f t="array" aca="1" ref="EP76" ca="1">IF(ISNA(J76),0,OFFSET(INDIRECT("'"&amp;EP$67&amp;"'!g1"),J76-1,)*CQ76)</f>
        <v>1</v>
      </c>
      <c r="EQ76" cm="1">
        <f t="array" aca="1" ref="EQ76" ca="1">IF(ISNA(K76),0,OFFSET(INDIRECT("'"&amp;EQ$67&amp;"'!g1"),K76-1,)*CR76)</f>
        <v>5</v>
      </c>
      <c r="ER76" cm="1">
        <f t="array" aca="1" ref="ER76" ca="1">IF(ISNA(L76),0,OFFSET(INDIRECT("'"&amp;ER$67&amp;"'!g1"),L76-1,)*CS76)</f>
        <v>4195</v>
      </c>
      <c r="ES76" cm="1">
        <f t="array" aca="1" ref="ES76" ca="1">IF(ISNA(M76),0,OFFSET(INDIRECT("'"&amp;ES$67&amp;"'!g1"),M76-1,)*CT76)</f>
        <v>3</v>
      </c>
      <c r="ET76" cm="1">
        <f t="array" aca="1" ref="ET76" ca="1">IF(ISNA(N76),0,OFFSET(INDIRECT("'"&amp;ET$67&amp;"'!g1"),N76-1,)*CU76)</f>
        <v>0</v>
      </c>
      <c r="EU76" cm="1">
        <f t="array" aca="1" ref="EU76" ca="1">IF(ISNA(O76),0,OFFSET(INDIRECT("'"&amp;EU$67&amp;"'!g1"),O76-1,)*CV76)</f>
        <v>0</v>
      </c>
      <c r="EV76" cm="1">
        <f t="array" aca="1" ref="EV76" ca="1">IF(ISNA(P76),0,OFFSET(INDIRECT("'"&amp;EV$67&amp;"'!g1"),P76-1,)*CW76)</f>
        <v>0</v>
      </c>
      <c r="FB76" s="10" cm="1">
        <f t="array" aca="1" ref="FB76" ca="1">IF(ISNA(E76),0,OFFSET(INDIRECT("'"&amp;EK$67&amp;"'!h1"),E76-1,))</f>
        <v>1</v>
      </c>
      <c r="FC76" s="10" cm="1">
        <f t="array" aca="1" ref="FC76" ca="1">IF(ISNA(F76),0,OFFSET(INDIRECT("'"&amp;EL$67&amp;"'!h1"),F76-1,))</f>
        <v>1</v>
      </c>
      <c r="FD76" s="10" cm="1">
        <f t="array" aca="1" ref="FD76" ca="1">IF(ISNA(G76),0,OFFSET(INDIRECT("'"&amp;EM$67&amp;"'!h1"),G76-1,))</f>
        <v>1</v>
      </c>
      <c r="FE76" s="10" cm="1">
        <f t="array" aca="1" ref="FE76" ca="1">IF(ISNA(H76),0,OFFSET(INDIRECT("'"&amp;EN$67&amp;"'!h1"),H76-1,))</f>
        <v>1</v>
      </c>
      <c r="FF76" s="10" cm="1">
        <f t="array" aca="1" ref="FF76" ca="1">IF(ISNA(I76),0,OFFSET(INDIRECT("'"&amp;EO$67&amp;"'!h1"),I76-1,))</f>
        <v>1</v>
      </c>
      <c r="FG76" s="10" cm="1">
        <f t="array" aca="1" ref="FG76" ca="1">IF(ISNA(J76),0,OFFSET(INDIRECT("'"&amp;EP$67&amp;"'!h1"),J76-1,))</f>
        <v>1</v>
      </c>
      <c r="FH76" s="10" cm="1">
        <f t="array" aca="1" ref="FH76" ca="1">IF(ISNA(K76),0,OFFSET(INDIRECT("'"&amp;EQ$67&amp;"'!h1"),K76-1,))</f>
        <v>10000</v>
      </c>
      <c r="FI76" s="10" cm="1">
        <f t="array" aca="1" ref="FI76" ca="1">IF(ISNA(L76),0,OFFSET(INDIRECT("'"&amp;ER$67&amp;"'!h1"),L76-1,))</f>
        <v>10000</v>
      </c>
      <c r="FJ76" s="10" cm="1">
        <f t="array" aca="1" ref="FJ76" ca="1">IF(ISNA(M76),0,OFFSET(INDIRECT("'"&amp;ES$67&amp;"'!h1"),M76-1,))</f>
        <v>10000</v>
      </c>
      <c r="FK76" s="10" cm="1">
        <f t="array" aca="1" ref="FK76" ca="1">IF(ISNA(N76),0,OFFSET(INDIRECT("'"&amp;ET$67&amp;"'!h1"),N76-1,))</f>
        <v>1</v>
      </c>
      <c r="FL76" s="10" cm="1">
        <f t="array" aca="1" ref="FL76" ca="1">IF(ISNA(O76),0,OFFSET(INDIRECT("'"&amp;EU$67&amp;"'!h1"),O76-1,))</f>
        <v>1</v>
      </c>
      <c r="FM76" s="10" cm="1">
        <f t="array" aca="1" ref="FM76" ca="1">IF(ISNA(P76),0,OFFSET(INDIRECT("'"&amp;EV$67&amp;"'!h1"),P76-1,))</f>
        <v>5</v>
      </c>
      <c r="FN76" s="10"/>
      <c r="FO76" s="10"/>
      <c r="FP76" s="10"/>
      <c r="FQ76" s="10"/>
      <c r="FS76">
        <f t="shared" ca="1" si="61"/>
        <v>576</v>
      </c>
      <c r="FT76">
        <f t="shared" ca="1" si="62"/>
        <v>68.510069532319903</v>
      </c>
      <c r="FU76">
        <f t="shared" ca="1" si="63"/>
        <v>5</v>
      </c>
      <c r="FV76">
        <f t="shared" ca="1" si="64"/>
        <v>10000</v>
      </c>
      <c r="FW76" s="3">
        <f t="shared" ca="1" si="65"/>
        <v>5.0000000000000001E-4</v>
      </c>
      <c r="FX76" s="4">
        <f t="shared" ca="1" si="66"/>
        <v>13.70201390646398</v>
      </c>
      <c r="FZ76" s="12">
        <f t="shared" ca="1" si="50"/>
        <v>576</v>
      </c>
      <c r="GA76" s="24">
        <f t="shared" ca="1" si="67"/>
        <v>0</v>
      </c>
      <c r="GB76" s="24">
        <f t="shared" ca="1" si="51"/>
        <v>0</v>
      </c>
      <c r="GC76" s="24">
        <f t="shared" ca="1" si="51"/>
        <v>5.25</v>
      </c>
      <c r="GD76" s="24" t="e">
        <f t="shared" ca="1" si="51"/>
        <v>#N/A</v>
      </c>
      <c r="GE76" s="24">
        <f t="shared" ca="1" si="51"/>
        <v>0</v>
      </c>
      <c r="GF76" s="24">
        <f t="shared" ca="1" si="51"/>
        <v>0</v>
      </c>
      <c r="GG76" s="24">
        <f t="shared" ca="1" si="51"/>
        <v>0</v>
      </c>
      <c r="GH76" s="24">
        <f t="shared" ca="1" si="51"/>
        <v>0</v>
      </c>
      <c r="GI76" s="24">
        <f t="shared" ca="1" si="51"/>
        <v>0</v>
      </c>
      <c r="GJ76" s="24" t="e">
        <f t="shared" ca="1" si="51"/>
        <v>#N/A</v>
      </c>
      <c r="GK76" s="24" t="e">
        <f t="shared" ca="1" si="51"/>
        <v>#N/A</v>
      </c>
      <c r="GL76" s="24">
        <f t="shared" ca="1" si="51"/>
        <v>8.3333333333333329E-2</v>
      </c>
      <c r="GM76" s="24"/>
      <c r="GN76">
        <f t="shared" ca="1" si="68"/>
        <v>576</v>
      </c>
      <c r="GO76" s="4" t="e">
        <f t="shared" ca="1" si="69"/>
        <v>#N/A</v>
      </c>
      <c r="GP76" s="4" t="e">
        <f t="shared" ca="1" si="52"/>
        <v>#N/A</v>
      </c>
      <c r="GQ76" s="4" t="e">
        <f t="shared" ca="1" si="52"/>
        <v>#N/A</v>
      </c>
      <c r="GR76" s="4" t="e">
        <f t="shared" ca="1" si="52"/>
        <v>#N/A</v>
      </c>
      <c r="GS76" s="4" t="e">
        <f t="shared" ca="1" si="52"/>
        <v>#N/A</v>
      </c>
      <c r="GT76" s="4">
        <f t="shared" ca="1" si="70"/>
        <v>6.2266105934977496</v>
      </c>
      <c r="GU76" s="4">
        <f t="shared" ca="1" si="53"/>
        <v>13.70201390646398</v>
      </c>
      <c r="GV76" s="4">
        <f t="shared" ca="1" si="53"/>
        <v>1.6034214114892396E-2</v>
      </c>
      <c r="GW76" s="4">
        <f t="shared" ca="1" si="53"/>
        <v>125.78914952899</v>
      </c>
      <c r="GX76" s="4" t="e">
        <f t="shared" ca="1" si="53"/>
        <v>#N/A</v>
      </c>
      <c r="GY76" s="4" t="e">
        <f t="shared" ca="1" si="53"/>
        <v>#N/A</v>
      </c>
      <c r="GZ76" s="4" t="e">
        <f t="shared" ca="1" si="53"/>
        <v>#N/A</v>
      </c>
      <c r="HB76" s="12">
        <f t="shared" ca="1" si="54"/>
        <v>576</v>
      </c>
      <c r="HC76" s="3">
        <f t="shared" ca="1" si="71"/>
        <v>1</v>
      </c>
      <c r="HD76" s="3">
        <f t="shared" ca="1" si="55"/>
        <v>1</v>
      </c>
      <c r="HE76" s="3">
        <f t="shared" ca="1" si="55"/>
        <v>0</v>
      </c>
      <c r="HF76" s="3">
        <f t="shared" ca="1" si="55"/>
        <v>0</v>
      </c>
      <c r="HG76" s="3">
        <f t="shared" ca="1" si="55"/>
        <v>1</v>
      </c>
      <c r="HH76" s="3">
        <f t="shared" ca="1" si="55"/>
        <v>1</v>
      </c>
      <c r="HI76" s="3">
        <f t="shared" ca="1" si="55"/>
        <v>5.0000000000000001E-4</v>
      </c>
      <c r="HJ76" s="3">
        <f t="shared" ca="1" si="55"/>
        <v>0.41949999999999998</v>
      </c>
      <c r="HK76" s="3">
        <f t="shared" ca="1" si="55"/>
        <v>2.9999999999999997E-4</v>
      </c>
      <c r="HL76" s="3">
        <f t="shared" ca="1" si="55"/>
        <v>0</v>
      </c>
      <c r="HM76" s="3">
        <f t="shared" ca="1" si="55"/>
        <v>0</v>
      </c>
      <c r="HN76" s="3">
        <f t="shared" ca="1" si="55"/>
        <v>0</v>
      </c>
    </row>
    <row r="77" spans="1:222" x14ac:dyDescent="0.2">
      <c r="A77" t="str" cm="1">
        <f t="array" aca="1" ref="A77" ca="1">INDIRECT($A$67&amp;"!A"&amp;ROW(C10)+$B$64)</f>
        <v>[[864,4,40]]</v>
      </c>
      <c r="B77" cm="1">
        <f t="array" aca="1" ref="B77" ca="1">INDIRECT($A$67&amp;"!b"&amp;ROW(D10)+$B$64)</f>
        <v>864</v>
      </c>
      <c r="C77">
        <f t="shared" ca="1" si="56"/>
        <v>40</v>
      </c>
      <c r="E77">
        <f t="shared" ca="1" si="43"/>
        <v>34</v>
      </c>
      <c r="F77">
        <f t="shared" ca="1" si="43"/>
        <v>35</v>
      </c>
      <c r="G77">
        <f t="shared" ca="1" si="43"/>
        <v>34</v>
      </c>
      <c r="H77">
        <f t="shared" ca="1" si="43"/>
        <v>34</v>
      </c>
      <c r="I77">
        <f t="shared" ca="1" si="43"/>
        <v>34</v>
      </c>
      <c r="J77">
        <f t="shared" ca="1" si="43"/>
        <v>34</v>
      </c>
      <c r="K77">
        <f t="shared" ca="1" si="43"/>
        <v>41</v>
      </c>
      <c r="L77">
        <f t="shared" ca="1" si="43"/>
        <v>43</v>
      </c>
      <c r="M77">
        <f t="shared" ca="1" si="43"/>
        <v>40</v>
      </c>
      <c r="N77">
        <f t="shared" ca="1" si="43"/>
        <v>34</v>
      </c>
      <c r="O77">
        <f t="shared" ca="1" si="43"/>
        <v>34</v>
      </c>
      <c r="P77" t="e">
        <f t="shared" ca="1" si="43"/>
        <v>#N/A</v>
      </c>
      <c r="V77" cm="1">
        <f t="array" aca="1" ref="V77" ca="1">IF(ISNA(E77),,OFFSET(INDIRECT("'"&amp;V$67&amp;"'!d1"),E77-1,))</f>
        <v>68</v>
      </c>
      <c r="W77" cm="1">
        <f t="array" aca="1" ref="W77" ca="1">IF(ISNA(F77),,OFFSET(INDIRECT("'"&amp;W$67&amp;"'!d1"),F77-1,))</f>
        <v>42</v>
      </c>
      <c r="X77" cm="1">
        <f t="array" aca="1" ref="X77" ca="1">IF(ISNA(G77),,OFFSET(INDIRECT("'"&amp;X$67&amp;"'!d1"),G77-1,))</f>
        <v>218</v>
      </c>
      <c r="Y77" cm="1">
        <f t="array" aca="1" ref="Y77" ca="1">IF(ISNA(H77),,OFFSET(INDIRECT("'"&amp;Y$67&amp;"'!d1"),H77-1,))</f>
        <v>0</v>
      </c>
      <c r="Z77" cm="1">
        <f t="array" aca="1" ref="Z77" ca="1">IF(ISNA(I77),,OFFSET(INDIRECT("'"&amp;Z$67&amp;"'!d1"),I77-1,))</f>
        <v>62</v>
      </c>
      <c r="AA77" cm="1">
        <f t="array" aca="1" ref="AA77" ca="1">IF(ISNA(J77),,OFFSET(INDIRECT("'"&amp;AA$67&amp;"'!d1"),J77-1,))</f>
        <v>62</v>
      </c>
      <c r="AB77" cm="1">
        <f t="array" aca="1" ref="AB77" ca="1">IF(ISNA(K77),,OFFSET(INDIRECT("'"&amp;AB$67&amp;"'!d1"),K77-1,))</f>
        <v>76</v>
      </c>
      <c r="AC77" cm="1">
        <f t="array" aca="1" ref="AC77" ca="1">IF(ISNA(L77),,OFFSET(INDIRECT("'"&amp;AC$67&amp;"'!d1"),L77-1,))</f>
        <v>40</v>
      </c>
      <c r="AD77" cm="1">
        <f t="array" aca="1" ref="AD77" ca="1">IF(ISNA(M77),,OFFSET(INDIRECT("'"&amp;AD$67&amp;"'!d1"),M77-1,))</f>
        <v>46</v>
      </c>
      <c r="AE77" cm="1">
        <f t="array" aca="1" ref="AE77" ca="1">IF(ISNA(N77),,OFFSET(INDIRECT("'"&amp;AE$67&amp;"'!d1"),N77-1,))</f>
        <v>0</v>
      </c>
      <c r="AF77" cm="1">
        <f t="array" aca="1" ref="AF77" ca="1">IF(ISNA(O77),,OFFSET(INDIRECT("'"&amp;AF$67&amp;"'!d1"),O77-1,))</f>
        <v>0</v>
      </c>
      <c r="AG77" cm="1">
        <f t="array" aca="1" ref="AG77" ca="1">IF(ISNA(P77),,OFFSET(INDIRECT("'"&amp;AG$67&amp;"'!d1"),P77-1,))</f>
        <v>0</v>
      </c>
      <c r="AM77">
        <f t="shared" ca="1" si="57"/>
        <v>0</v>
      </c>
      <c r="AN77">
        <f t="shared" ca="1" si="44"/>
        <v>0</v>
      </c>
      <c r="AO77">
        <f t="shared" ca="1" si="44"/>
        <v>0</v>
      </c>
      <c r="AP77">
        <f t="shared" ca="1" si="44"/>
        <v>0</v>
      </c>
      <c r="AQ77">
        <f t="shared" ca="1" si="58"/>
        <v>0</v>
      </c>
      <c r="AV77" t="str">
        <f t="shared" ca="1" si="59"/>
        <v/>
      </c>
      <c r="AW77" t="str">
        <f t="shared" ca="1" si="45"/>
        <v/>
      </c>
      <c r="AX77" t="str">
        <f t="shared" ca="1" si="45"/>
        <v/>
      </c>
      <c r="AY77" t="str">
        <f t="shared" ca="1" si="45"/>
        <v/>
      </c>
      <c r="AZ77" t="str">
        <f t="shared" ca="1" si="45"/>
        <v/>
      </c>
      <c r="BD77">
        <f t="shared" ca="1" si="46"/>
        <v>1</v>
      </c>
      <c r="BE77">
        <f t="shared" ca="1" si="46"/>
        <v>1</v>
      </c>
      <c r="BF77">
        <f t="shared" ca="1" si="46"/>
        <v>1</v>
      </c>
      <c r="BG77">
        <f t="shared" ca="1" si="46"/>
        <v>0</v>
      </c>
      <c r="BH77">
        <f t="shared" ca="1" si="46"/>
        <v>1</v>
      </c>
      <c r="BI77">
        <f t="shared" ca="1" si="46"/>
        <v>1</v>
      </c>
      <c r="BJ77">
        <f t="shared" ca="1" si="46"/>
        <v>1</v>
      </c>
      <c r="BK77">
        <f t="shared" ca="1" si="46"/>
        <v>1</v>
      </c>
      <c r="BL77">
        <f t="shared" ca="1" si="46"/>
        <v>1</v>
      </c>
      <c r="BM77">
        <f t="shared" ca="1" si="46"/>
        <v>0</v>
      </c>
      <c r="BN77">
        <f t="shared" ca="1" si="46"/>
        <v>0</v>
      </c>
      <c r="BO77">
        <f t="shared" ca="1" si="46"/>
        <v>0</v>
      </c>
      <c r="BU77">
        <f t="shared" ca="1" si="47"/>
        <v>68</v>
      </c>
      <c r="BV77">
        <f t="shared" ca="1" si="47"/>
        <v>42</v>
      </c>
      <c r="BW77">
        <f t="shared" ca="1" si="47"/>
        <v>218</v>
      </c>
      <c r="BX77">
        <f t="shared" ca="1" si="47"/>
        <v>864</v>
      </c>
      <c r="BY77">
        <f t="shared" ca="1" si="47"/>
        <v>62</v>
      </c>
      <c r="BZ77">
        <f t="shared" ca="1" si="47"/>
        <v>62</v>
      </c>
      <c r="CA77">
        <f t="shared" ca="1" si="47"/>
        <v>76</v>
      </c>
      <c r="CB77">
        <f t="shared" ca="1" si="47"/>
        <v>40</v>
      </c>
      <c r="CC77">
        <f t="shared" ca="1" si="47"/>
        <v>46</v>
      </c>
      <c r="CD77">
        <f t="shared" ca="1" si="47"/>
        <v>864</v>
      </c>
      <c r="CE77">
        <f t="shared" ca="1" si="47"/>
        <v>864</v>
      </c>
      <c r="CF77">
        <f t="shared" ca="1" si="47"/>
        <v>864</v>
      </c>
      <c r="CL77">
        <f t="shared" ca="1" si="48"/>
        <v>0</v>
      </c>
      <c r="CM77">
        <f t="shared" ca="1" si="48"/>
        <v>0</v>
      </c>
      <c r="CN77">
        <f t="shared" ca="1" si="48"/>
        <v>0</v>
      </c>
      <c r="CO77">
        <f t="shared" ca="1" si="48"/>
        <v>0</v>
      </c>
      <c r="CP77">
        <f t="shared" ca="1" si="48"/>
        <v>0</v>
      </c>
      <c r="CQ77">
        <f t="shared" ca="1" si="48"/>
        <v>0</v>
      </c>
      <c r="CR77">
        <f t="shared" ca="1" si="48"/>
        <v>0</v>
      </c>
      <c r="CS77">
        <f t="shared" ca="1" si="48"/>
        <v>1</v>
      </c>
      <c r="CT77">
        <f t="shared" ca="1" si="48"/>
        <v>0</v>
      </c>
      <c r="CU77">
        <f t="shared" ca="1" si="48"/>
        <v>0</v>
      </c>
      <c r="CV77">
        <f t="shared" ca="1" si="48"/>
        <v>0</v>
      </c>
      <c r="CW77">
        <f t="shared" ca="1" si="48"/>
        <v>0</v>
      </c>
      <c r="DC77" cm="1">
        <f t="array" aca="1" ref="DC77" ca="1">IF(ISNA(E77),,OFFSET(INDIRECT("'"&amp;DT$67&amp;"'!f1"),E77-1,))*1</f>
        <v>28972.961278998999</v>
      </c>
      <c r="DD77" cm="1">
        <f t="array" aca="1" ref="DD77" ca="1">IF(ISNA(F77),,OFFSET(INDIRECT("'"&amp;DU$67&amp;"'!f1"),F77-1,))*1</f>
        <v>28814.485713330901</v>
      </c>
      <c r="DE77" cm="1">
        <f t="array" aca="1" ref="DE77" ca="1">IF(ISNA(G77),,OFFSET(INDIRECT("'"&amp;DV$67&amp;"'!f1"),G77-1,))*1</f>
        <v>28800.149872808899</v>
      </c>
      <c r="DF77" cm="1">
        <f t="array" aca="1" ref="DF77" ca="1">IF(ISNA(H77),,OFFSET(INDIRECT("'"&amp;DW$67&amp;"'!f1"),H77-1,))*1</f>
        <v>28800.1731856189</v>
      </c>
      <c r="DG77" cm="1">
        <f t="array" aca="1" ref="DG77" ca="1">IF(ISNA(I77),,OFFSET(INDIRECT("'"&amp;DX$67&amp;"'!f1"),I77-1,))*1</f>
        <v>28800.279569999999</v>
      </c>
      <c r="DH77" cm="1">
        <f t="array" aca="1" ref="DH77" ca="1">IF(ISNA(J77),,OFFSET(INDIRECT("'"&amp;DY$67&amp;"'!f1"),J77-1,))*1</f>
        <v>14.632826954126299</v>
      </c>
      <c r="DI77" cm="1">
        <f t="array" aca="1" ref="DI77" ca="1">IF(ISNA(K77),,OFFSET(INDIRECT("'"&amp;DZ$67&amp;"'!f1"),K77-1,))*1</f>
        <v>143.34563560225001</v>
      </c>
      <c r="DJ77" cm="1">
        <f t="array" aca="1" ref="DJ77" ca="1">IF(ISNA(L77),,OFFSET(INDIRECT("'"&amp;EA$67&amp;"'!f1"),L77-1,))*1</f>
        <v>136.03119707200599</v>
      </c>
      <c r="DK77" cm="1">
        <f t="array" aca="1" ref="DK77" ca="1">IF(ISNA(M77),,OFFSET(INDIRECT("'"&amp;EB$67&amp;"'!f1"),M77-1,))*1</f>
        <v>1285.31654301192</v>
      </c>
      <c r="DL77" cm="1">
        <f t="array" aca="1" ref="DL77" ca="1">IF(ISNA(N77),,OFFSET(INDIRECT("'"&amp;EC$67&amp;"'!f1"),N77-1,))*1</f>
        <v>8.2857543005957199E-2</v>
      </c>
      <c r="DM77" cm="1">
        <f t="array" aca="1" ref="DM77" ca="1">IF(ISNA(O77),,OFFSET(INDIRECT("'"&amp;ED$67&amp;"'!f1"),O77-1,))*1</f>
        <v>9.0762637002626406E-2</v>
      </c>
      <c r="DN77" cm="1">
        <f t="array" aca="1" ref="DN77" ca="1">IF(ISNA(P77),,OFFSET(INDIRECT("'"&amp;EE$67&amp;"'!f1"),P77-1,))*1</f>
        <v>0</v>
      </c>
      <c r="DT77">
        <f t="shared" ca="1" si="60"/>
        <v>0</v>
      </c>
      <c r="DU77">
        <f t="shared" ca="1" si="49"/>
        <v>0</v>
      </c>
      <c r="DV77">
        <f t="shared" ca="1" si="49"/>
        <v>0</v>
      </c>
      <c r="DW77">
        <f t="shared" ca="1" si="49"/>
        <v>0</v>
      </c>
      <c r="DX77">
        <f t="shared" ca="1" si="49"/>
        <v>0</v>
      </c>
      <c r="DY77">
        <f t="shared" ca="1" si="49"/>
        <v>0</v>
      </c>
      <c r="DZ77">
        <f t="shared" ca="1" si="49"/>
        <v>0</v>
      </c>
      <c r="EA77">
        <f t="shared" ca="1" si="49"/>
        <v>923</v>
      </c>
      <c r="EB77">
        <f t="shared" ca="1" si="49"/>
        <v>0</v>
      </c>
      <c r="EC77">
        <f t="shared" ca="1" si="49"/>
        <v>0</v>
      </c>
      <c r="ED77">
        <f t="shared" ca="1" si="49"/>
        <v>0</v>
      </c>
      <c r="EE77">
        <f t="shared" ca="1" si="49"/>
        <v>0</v>
      </c>
      <c r="EK77" cm="1">
        <f t="array" aca="1" ref="EK77" ca="1">IF(ISNA(E77),0,OFFSET(INDIRECT("'"&amp;EK$67&amp;"'!g1"),E77-1,)*CL77)</f>
        <v>0</v>
      </c>
      <c r="EL77" cm="1">
        <f t="array" aca="1" ref="EL77" ca="1">IF(ISNA(F77),0,OFFSET(INDIRECT("'"&amp;EL$67&amp;"'!g1"),F77-1,)*CM77)</f>
        <v>0</v>
      </c>
      <c r="EM77" cm="1">
        <f t="array" aca="1" ref="EM77" ca="1">IF(ISNA(G77),0,OFFSET(INDIRECT("'"&amp;EM$67&amp;"'!g1"),G77-1,)*CN77)</f>
        <v>0</v>
      </c>
      <c r="EN77" cm="1">
        <f t="array" aca="1" ref="EN77" ca="1">IF(ISNA(H77),0,OFFSET(INDIRECT("'"&amp;EN$67&amp;"'!g1"),H77-1,)*CO77)</f>
        <v>0</v>
      </c>
      <c r="EO77" cm="1">
        <f t="array" aca="1" ref="EO77" ca="1">IF(ISNA(I77),0,OFFSET(INDIRECT("'"&amp;EO$67&amp;"'!g1"),I77-1,)*CP77)</f>
        <v>0</v>
      </c>
      <c r="EP77" cm="1">
        <f t="array" aca="1" ref="EP77" ca="1">IF(ISNA(J77),0,OFFSET(INDIRECT("'"&amp;EP$67&amp;"'!g1"),J77-1,)*CQ77)</f>
        <v>0</v>
      </c>
      <c r="EQ77" cm="1">
        <f t="array" aca="1" ref="EQ77" ca="1">IF(ISNA(K77),0,OFFSET(INDIRECT("'"&amp;EQ$67&amp;"'!g1"),K77-1,)*CR77)</f>
        <v>0</v>
      </c>
      <c r="ER77" cm="1">
        <f t="array" aca="1" ref="ER77" ca="1">IF(ISNA(L77),0,OFFSET(INDIRECT("'"&amp;ER$67&amp;"'!g1"),L77-1,)*CS77)</f>
        <v>923</v>
      </c>
      <c r="ES77" cm="1">
        <f t="array" aca="1" ref="ES77" ca="1">IF(ISNA(M77),0,OFFSET(INDIRECT("'"&amp;ES$67&amp;"'!g1"),M77-1,)*CT77)</f>
        <v>0</v>
      </c>
      <c r="ET77" cm="1">
        <f t="array" aca="1" ref="ET77" ca="1">IF(ISNA(N77),0,OFFSET(INDIRECT("'"&amp;ET$67&amp;"'!g1"),N77-1,)*CU77)</f>
        <v>0</v>
      </c>
      <c r="EU77" cm="1">
        <f t="array" aca="1" ref="EU77" ca="1">IF(ISNA(O77),0,OFFSET(INDIRECT("'"&amp;EU$67&amp;"'!g1"),O77-1,)*CV77)</f>
        <v>0</v>
      </c>
      <c r="EV77" cm="1">
        <f t="array" aca="1" ref="EV77" ca="1">IF(ISNA(P77),0,OFFSET(INDIRECT("'"&amp;EV$67&amp;"'!g1"),P77-1,)*CW77)</f>
        <v>0</v>
      </c>
      <c r="FB77" s="10" cm="1">
        <f t="array" aca="1" ref="FB77" ca="1">IF(ISNA(E77),0,OFFSET(INDIRECT("'"&amp;EK$67&amp;"'!h1"),E77-1,))</f>
        <v>1</v>
      </c>
      <c r="FC77" s="10" cm="1">
        <f t="array" aca="1" ref="FC77" ca="1">IF(ISNA(F77),0,OFFSET(INDIRECT("'"&amp;EL$67&amp;"'!h1"),F77-1,))</f>
        <v>1</v>
      </c>
      <c r="FD77" s="10" cm="1">
        <f t="array" aca="1" ref="FD77" ca="1">IF(ISNA(G77),0,OFFSET(INDIRECT("'"&amp;EM$67&amp;"'!h1"),G77-1,))</f>
        <v>1</v>
      </c>
      <c r="FE77" s="10" cm="1">
        <f t="array" aca="1" ref="FE77" ca="1">IF(ISNA(H77),0,OFFSET(INDIRECT("'"&amp;EN$67&amp;"'!h1"),H77-1,))</f>
        <v>1</v>
      </c>
      <c r="FF77" s="10" cm="1">
        <f t="array" aca="1" ref="FF77" ca="1">IF(ISNA(I77),0,OFFSET(INDIRECT("'"&amp;EO$67&amp;"'!h1"),I77-1,))</f>
        <v>1</v>
      </c>
      <c r="FG77" s="10" cm="1">
        <f t="array" aca="1" ref="FG77" ca="1">IF(ISNA(J77),0,OFFSET(INDIRECT("'"&amp;EP$67&amp;"'!h1"),J77-1,))</f>
        <v>1</v>
      </c>
      <c r="FH77" s="10" cm="1">
        <f t="array" aca="1" ref="FH77" ca="1">IF(ISNA(K77),0,OFFSET(INDIRECT("'"&amp;EQ$67&amp;"'!h1"),K77-1,))</f>
        <v>10000</v>
      </c>
      <c r="FI77" s="10" cm="1">
        <f t="array" aca="1" ref="FI77" ca="1">IF(ISNA(L77),0,OFFSET(INDIRECT("'"&amp;ER$67&amp;"'!h1"),L77-1,))</f>
        <v>10000</v>
      </c>
      <c r="FJ77" s="10" cm="1">
        <f t="array" aca="1" ref="FJ77" ca="1">IF(ISNA(M77),0,OFFSET(INDIRECT("'"&amp;ES$67&amp;"'!h1"),M77-1,))</f>
        <v>10000</v>
      </c>
      <c r="FK77" s="10" cm="1">
        <f t="array" aca="1" ref="FK77" ca="1">IF(ISNA(N77),0,OFFSET(INDIRECT("'"&amp;ET$67&amp;"'!h1"),N77-1,))</f>
        <v>1</v>
      </c>
      <c r="FL77" s="10" cm="1">
        <f t="array" aca="1" ref="FL77" ca="1">IF(ISNA(O77),0,OFFSET(INDIRECT("'"&amp;EU$67&amp;"'!h1"),O77-1,))</f>
        <v>1</v>
      </c>
      <c r="FM77" s="10" cm="1">
        <f t="array" aca="1" ref="FM77" ca="1">IF(ISNA(P77),0,OFFSET(INDIRECT("'"&amp;EV$67&amp;"'!h1"),P77-1,))</f>
        <v>0</v>
      </c>
      <c r="FN77" s="10"/>
      <c r="FO77" s="10"/>
      <c r="FP77" s="10"/>
      <c r="FQ77" s="10"/>
      <c r="FS77">
        <f t="shared" ca="1" si="61"/>
        <v>864</v>
      </c>
      <c r="FT77">
        <f t="shared" ca="1" si="62"/>
        <v>143.34563560225001</v>
      </c>
      <c r="FU77">
        <f t="shared" ca="1" si="63"/>
        <v>0</v>
      </c>
      <c r="FV77">
        <f t="shared" ca="1" si="64"/>
        <v>10000</v>
      </c>
      <c r="FW77" s="3">
        <f t="shared" ca="1" si="65"/>
        <v>0</v>
      </c>
      <c r="FX77" s="4" t="e">
        <f t="shared" ca="1" si="66"/>
        <v>#N/A</v>
      </c>
      <c r="FZ77" s="12">
        <f t="shared" ca="1" si="50"/>
        <v>864</v>
      </c>
      <c r="GA77" s="24">
        <f t="shared" ca="1" si="67"/>
        <v>0.7</v>
      </c>
      <c r="GB77" s="24">
        <f t="shared" ca="1" si="51"/>
        <v>0.05</v>
      </c>
      <c r="GC77" s="24">
        <f t="shared" ca="1" si="51"/>
        <v>4.45</v>
      </c>
      <c r="GD77" s="24" t="e">
        <f t="shared" ca="1" si="51"/>
        <v>#N/A</v>
      </c>
      <c r="GE77" s="24">
        <f t="shared" ca="1" si="51"/>
        <v>0.55000000000000004</v>
      </c>
      <c r="GF77" s="24">
        <f t="shared" ca="1" si="51"/>
        <v>0.55000000000000004</v>
      </c>
      <c r="GG77" s="24">
        <f t="shared" ca="1" si="51"/>
        <v>0.9</v>
      </c>
      <c r="GH77" s="24">
        <f t="shared" ca="1" si="51"/>
        <v>0</v>
      </c>
      <c r="GI77" s="24">
        <f t="shared" ca="1" si="51"/>
        <v>0.15</v>
      </c>
      <c r="GJ77" s="24" t="e">
        <f t="shared" ca="1" si="51"/>
        <v>#N/A</v>
      </c>
      <c r="GK77" s="24" t="e">
        <f t="shared" ca="1" si="51"/>
        <v>#N/A</v>
      </c>
      <c r="GL77" s="24" t="e">
        <f t="shared" ca="1" si="51"/>
        <v>#N/A</v>
      </c>
      <c r="GM77" s="24"/>
      <c r="GN77">
        <f t="shared" ca="1" si="68"/>
        <v>864</v>
      </c>
      <c r="GO77" s="4" t="e">
        <f t="shared" ca="1" si="69"/>
        <v>#N/A</v>
      </c>
      <c r="GP77" s="4" t="e">
        <f t="shared" ca="1" si="52"/>
        <v>#N/A</v>
      </c>
      <c r="GQ77" s="4" t="e">
        <f t="shared" ca="1" si="52"/>
        <v>#N/A</v>
      </c>
      <c r="GR77" s="4" t="e">
        <f t="shared" ca="1" si="52"/>
        <v>#N/A</v>
      </c>
      <c r="GS77" s="4" t="e">
        <f t="shared" ca="1" si="52"/>
        <v>#N/A</v>
      </c>
      <c r="GT77" s="4" t="e">
        <f t="shared" ca="1" si="70"/>
        <v>#N/A</v>
      </c>
      <c r="GU77" s="4" t="e">
        <f t="shared" ca="1" si="53"/>
        <v>#N/A</v>
      </c>
      <c r="GV77" s="4">
        <f t="shared" ca="1" si="53"/>
        <v>0.14737941177898808</v>
      </c>
      <c r="GW77" s="4" t="e">
        <f t="shared" ca="1" si="53"/>
        <v>#N/A</v>
      </c>
      <c r="GX77" s="4" t="e">
        <f t="shared" ca="1" si="53"/>
        <v>#N/A</v>
      </c>
      <c r="GY77" s="4" t="e">
        <f t="shared" ca="1" si="53"/>
        <v>#N/A</v>
      </c>
      <c r="GZ77" s="4" t="e">
        <f t="shared" ca="1" si="53"/>
        <v>#N/A</v>
      </c>
      <c r="HB77" s="12">
        <f t="shared" ca="1" si="54"/>
        <v>864</v>
      </c>
      <c r="HC77" s="3">
        <f t="shared" ca="1" si="71"/>
        <v>0</v>
      </c>
      <c r="HD77" s="3">
        <f t="shared" ca="1" si="55"/>
        <v>0</v>
      </c>
      <c r="HE77" s="3">
        <f t="shared" ca="1" si="55"/>
        <v>0</v>
      </c>
      <c r="HF77" s="3">
        <f t="shared" ca="1" si="55"/>
        <v>0</v>
      </c>
      <c r="HG77" s="3">
        <f t="shared" ca="1" si="55"/>
        <v>0</v>
      </c>
      <c r="HH77" s="3">
        <f t="shared" ca="1" si="55"/>
        <v>0</v>
      </c>
      <c r="HI77" s="3">
        <f t="shared" ca="1" si="55"/>
        <v>0</v>
      </c>
      <c r="HJ77" s="3">
        <f t="shared" ca="1" si="55"/>
        <v>9.2299999999999993E-2</v>
      </c>
      <c r="HK77" s="3">
        <f t="shared" ca="1" si="55"/>
        <v>0</v>
      </c>
      <c r="HL77" s="3">
        <f t="shared" ca="1" si="55"/>
        <v>0</v>
      </c>
      <c r="HM77" s="3">
        <f t="shared" ca="1" si="55"/>
        <v>0</v>
      </c>
      <c r="HN77" s="3">
        <f t="shared" ca="1" si="55"/>
        <v>0</v>
      </c>
    </row>
    <row r="78" spans="1:222" x14ac:dyDescent="0.2">
      <c r="A78" t="str" cm="1">
        <f t="array" aca="1" ref="A78" ca="1">INDIRECT($A$67&amp;"!A"&amp;ROW(C11)+$B$64)</f>
        <v>[[648,4,32]]</v>
      </c>
      <c r="B78" cm="1">
        <f t="array" aca="1" ref="B78" ca="1">INDIRECT($A$67&amp;"!b"&amp;ROW(D11)+$B$64)</f>
        <v>648</v>
      </c>
      <c r="C78">
        <f t="shared" ca="1" si="56"/>
        <v>32</v>
      </c>
      <c r="E78">
        <f t="shared" ca="1" si="43"/>
        <v>35</v>
      </c>
      <c r="F78">
        <f t="shared" ca="1" si="43"/>
        <v>36</v>
      </c>
      <c r="G78">
        <f t="shared" ca="1" si="43"/>
        <v>35</v>
      </c>
      <c r="H78">
        <f t="shared" ca="1" si="43"/>
        <v>35</v>
      </c>
      <c r="I78">
        <f t="shared" ca="1" si="43"/>
        <v>45</v>
      </c>
      <c r="J78">
        <f t="shared" ca="1" si="43"/>
        <v>35</v>
      </c>
      <c r="K78">
        <f t="shared" ca="1" si="43"/>
        <v>42</v>
      </c>
      <c r="L78">
        <f t="shared" ca="1" si="43"/>
        <v>44</v>
      </c>
      <c r="M78">
        <f t="shared" ca="1" si="43"/>
        <v>41</v>
      </c>
      <c r="N78">
        <f t="shared" ca="1" si="43"/>
        <v>35</v>
      </c>
      <c r="O78">
        <f t="shared" ca="1" si="43"/>
        <v>35</v>
      </c>
      <c r="P78" t="e">
        <f t="shared" ca="1" si="43"/>
        <v>#N/A</v>
      </c>
      <c r="V78" cm="1">
        <f t="array" aca="1" ref="V78" ca="1">IF(ISNA(E78),,OFFSET(INDIRECT("'"&amp;V$67&amp;"'!d1"),E78-1,))</f>
        <v>36</v>
      </c>
      <c r="W78" cm="1">
        <f t="array" aca="1" ref="W78" ca="1">IF(ISNA(F78),,OFFSET(INDIRECT("'"&amp;W$67&amp;"'!d1"),F78-1,))</f>
        <v>32</v>
      </c>
      <c r="X78" cm="1">
        <f t="array" aca="1" ref="X78" ca="1">IF(ISNA(G78),,OFFSET(INDIRECT("'"&amp;X$67&amp;"'!d1"),G78-1,))</f>
        <v>164</v>
      </c>
      <c r="Y78" cm="1">
        <f t="array" aca="1" ref="Y78" ca="1">IF(ISNA(H78),,OFFSET(INDIRECT("'"&amp;Y$67&amp;"'!d1"),H78-1,))</f>
        <v>0</v>
      </c>
      <c r="Z78" cm="1">
        <f t="array" aca="1" ref="Z78" ca="1">IF(ISNA(I78),,OFFSET(INDIRECT("'"&amp;Z$67&amp;"'!d1"),I78-1,))</f>
        <v>40</v>
      </c>
      <c r="AA78" cm="1">
        <f t="array" aca="1" ref="AA78" ca="1">IF(ISNA(J78),,OFFSET(INDIRECT("'"&amp;AA$67&amp;"'!d1"),J78-1,))</f>
        <v>34</v>
      </c>
      <c r="AB78" cm="1">
        <f t="array" aca="1" ref="AB78" ca="1">IF(ISNA(K78),,OFFSET(INDIRECT("'"&amp;AB$67&amp;"'!d1"),K78-1,))</f>
        <v>38</v>
      </c>
      <c r="AC78" cm="1">
        <f t="array" aca="1" ref="AC78" ca="1">IF(ISNA(L78),,OFFSET(INDIRECT("'"&amp;AC$67&amp;"'!d1"),L78-1,))</f>
        <v>32</v>
      </c>
      <c r="AD78" cm="1">
        <f t="array" aca="1" ref="AD78" ca="1">IF(ISNA(M78),,OFFSET(INDIRECT("'"&amp;AD$67&amp;"'!d1"),M78-1,))</f>
        <v>38</v>
      </c>
      <c r="AE78" cm="1">
        <f t="array" aca="1" ref="AE78" ca="1">IF(ISNA(N78),,OFFSET(INDIRECT("'"&amp;AE$67&amp;"'!d1"),N78-1,))</f>
        <v>0</v>
      </c>
      <c r="AF78" cm="1">
        <f t="array" aca="1" ref="AF78" ca="1">IF(ISNA(O78),,OFFSET(INDIRECT("'"&amp;AF$67&amp;"'!d1"),O78-1,))</f>
        <v>0</v>
      </c>
      <c r="AG78" cm="1">
        <f t="array" aca="1" ref="AG78" ca="1">IF(ISNA(P78),,OFFSET(INDIRECT("'"&amp;AG$67&amp;"'!d1"),P78-1,))</f>
        <v>0</v>
      </c>
      <c r="AM78">
        <f t="shared" ca="1" si="57"/>
        <v>0</v>
      </c>
      <c r="AN78">
        <f t="shared" ca="1" si="44"/>
        <v>0</v>
      </c>
      <c r="AO78">
        <f t="shared" ca="1" si="44"/>
        <v>0</v>
      </c>
      <c r="AP78">
        <f t="shared" ca="1" si="44"/>
        <v>0</v>
      </c>
      <c r="AQ78">
        <f t="shared" ca="1" si="58"/>
        <v>0</v>
      </c>
      <c r="AV78" t="str">
        <f t="shared" ca="1" si="59"/>
        <v/>
      </c>
      <c r="AW78" t="str">
        <f t="shared" ca="1" si="45"/>
        <v/>
      </c>
      <c r="AX78" t="str">
        <f t="shared" ca="1" si="45"/>
        <v/>
      </c>
      <c r="AY78" t="str">
        <f t="shared" ca="1" si="45"/>
        <v/>
      </c>
      <c r="AZ78" t="str">
        <f t="shared" ca="1" si="45"/>
        <v/>
      </c>
      <c r="BD78">
        <f t="shared" ca="1" si="46"/>
        <v>1</v>
      </c>
      <c r="BE78">
        <f t="shared" ca="1" si="46"/>
        <v>1</v>
      </c>
      <c r="BF78">
        <f t="shared" ca="1" si="46"/>
        <v>1</v>
      </c>
      <c r="BG78">
        <f t="shared" ca="1" si="46"/>
        <v>0</v>
      </c>
      <c r="BH78">
        <f t="shared" ca="1" si="46"/>
        <v>1</v>
      </c>
      <c r="BI78">
        <f t="shared" ca="1" si="46"/>
        <v>1</v>
      </c>
      <c r="BJ78">
        <f t="shared" ca="1" si="46"/>
        <v>1</v>
      </c>
      <c r="BK78">
        <f t="shared" ca="1" si="46"/>
        <v>1</v>
      </c>
      <c r="BL78">
        <f t="shared" ca="1" si="46"/>
        <v>1</v>
      </c>
      <c r="BM78">
        <f t="shared" ca="1" si="46"/>
        <v>0</v>
      </c>
      <c r="BN78">
        <f t="shared" ca="1" si="46"/>
        <v>0</v>
      </c>
      <c r="BO78">
        <f t="shared" ca="1" si="46"/>
        <v>0</v>
      </c>
      <c r="BU78">
        <f t="shared" ca="1" si="47"/>
        <v>36</v>
      </c>
      <c r="BV78">
        <f t="shared" ca="1" si="47"/>
        <v>32</v>
      </c>
      <c r="BW78">
        <f t="shared" ca="1" si="47"/>
        <v>164</v>
      </c>
      <c r="BX78">
        <f t="shared" ca="1" si="47"/>
        <v>648</v>
      </c>
      <c r="BY78">
        <f t="shared" ca="1" si="47"/>
        <v>40</v>
      </c>
      <c r="BZ78">
        <f t="shared" ca="1" si="47"/>
        <v>34</v>
      </c>
      <c r="CA78">
        <f t="shared" ca="1" si="47"/>
        <v>38</v>
      </c>
      <c r="CB78">
        <f t="shared" ca="1" si="47"/>
        <v>32</v>
      </c>
      <c r="CC78">
        <f t="shared" ca="1" si="47"/>
        <v>38</v>
      </c>
      <c r="CD78">
        <f t="shared" ca="1" si="47"/>
        <v>648</v>
      </c>
      <c r="CE78">
        <f t="shared" ca="1" si="47"/>
        <v>648</v>
      </c>
      <c r="CF78">
        <f t="shared" ca="1" si="47"/>
        <v>648</v>
      </c>
      <c r="CL78">
        <f t="shared" ca="1" si="48"/>
        <v>0</v>
      </c>
      <c r="CM78">
        <f t="shared" ca="1" si="48"/>
        <v>1</v>
      </c>
      <c r="CN78">
        <f t="shared" ca="1" si="48"/>
        <v>0</v>
      </c>
      <c r="CO78">
        <f t="shared" ca="1" si="48"/>
        <v>0</v>
      </c>
      <c r="CP78">
        <f t="shared" ca="1" si="48"/>
        <v>0</v>
      </c>
      <c r="CQ78">
        <f t="shared" ca="1" si="48"/>
        <v>0</v>
      </c>
      <c r="CR78">
        <f t="shared" ca="1" si="48"/>
        <v>0</v>
      </c>
      <c r="CS78">
        <f t="shared" ca="1" si="48"/>
        <v>1</v>
      </c>
      <c r="CT78">
        <f t="shared" ca="1" si="48"/>
        <v>0</v>
      </c>
      <c r="CU78">
        <f t="shared" ca="1" si="48"/>
        <v>0</v>
      </c>
      <c r="CV78">
        <f t="shared" ca="1" si="48"/>
        <v>0</v>
      </c>
      <c r="CW78">
        <f t="shared" ca="1" si="48"/>
        <v>0</v>
      </c>
      <c r="DC78" cm="1">
        <f t="array" aca="1" ref="DC78" ca="1">IF(ISNA(E78),,OFFSET(INDIRECT("'"&amp;DT$67&amp;"'!f1"),E78-1,))*1</f>
        <v>28997.1412388565</v>
      </c>
      <c r="DD78" cm="1">
        <f t="array" aca="1" ref="DD78" ca="1">IF(ISNA(F78),,OFFSET(INDIRECT("'"&amp;DU$67&amp;"'!f1"),F78-1,))*1</f>
        <v>28824.773869532601</v>
      </c>
      <c r="DE78" cm="1">
        <f t="array" aca="1" ref="DE78" ca="1">IF(ISNA(G78),,OFFSET(INDIRECT("'"&amp;DV$67&amp;"'!f1"),G78-1,))*1</f>
        <v>28800.136187473701</v>
      </c>
      <c r="DF78" cm="1">
        <f t="array" aca="1" ref="DF78" ca="1">IF(ISNA(H78),,OFFSET(INDIRECT("'"&amp;DW$67&amp;"'!f1"),H78-1,))*1</f>
        <v>28802.833607032801</v>
      </c>
      <c r="DG78" cm="1">
        <f t="array" aca="1" ref="DG78" ca="1">IF(ISNA(I78),,OFFSET(INDIRECT("'"&amp;DX$67&amp;"'!f1"),I78-1,))*1</f>
        <v>28800.268011249998</v>
      </c>
      <c r="DH78" cm="1">
        <f t="array" aca="1" ref="DH78" ca="1">IF(ISNA(J78),,OFFSET(INDIRECT("'"&amp;DY$67&amp;"'!f1"),J78-1,))*1</f>
        <v>7.9997309148311597</v>
      </c>
      <c r="DI78" cm="1">
        <f t="array" aca="1" ref="DI78" ca="1">IF(ISNA(K78),,OFFSET(INDIRECT("'"&amp;DZ$67&amp;"'!f1"),K78-1,))*1</f>
        <v>73.450597227551</v>
      </c>
      <c r="DJ78" cm="1">
        <f t="array" aca="1" ref="DJ78" ca="1">IF(ISNA(L78),,OFFSET(INDIRECT("'"&amp;EA$67&amp;"'!f1"),L78-1,))*1</f>
        <v>71.308178880251901</v>
      </c>
      <c r="DK78" cm="1">
        <f t="array" aca="1" ref="DK78" ca="1">IF(ISNA(M78),,OFFSET(INDIRECT("'"&amp;EB$67&amp;"'!f1"),M78-1,))*1</f>
        <v>528.88374563399702</v>
      </c>
      <c r="DL78" cm="1">
        <f t="array" aca="1" ref="DL78" ca="1">IF(ISNA(N78),,OFFSET(INDIRECT("'"&amp;EC$67&amp;"'!f1"),N78-1,))*1</f>
        <v>5.62565220025135E-2</v>
      </c>
      <c r="DM78" cm="1">
        <f t="array" aca="1" ref="DM78" ca="1">IF(ISNA(O78),,OFFSET(INDIRECT("'"&amp;ED$67&amp;"'!f1"),O78-1,))*1</f>
        <v>6.1783575001754798E-2</v>
      </c>
      <c r="DN78" cm="1">
        <f t="array" aca="1" ref="DN78" ca="1">IF(ISNA(P78),,OFFSET(INDIRECT("'"&amp;EE$67&amp;"'!f1"),P78-1,))*1</f>
        <v>0</v>
      </c>
      <c r="DT78">
        <f t="shared" ca="1" si="60"/>
        <v>0</v>
      </c>
      <c r="DU78">
        <f t="shared" ca="1" si="49"/>
        <v>1</v>
      </c>
      <c r="DV78">
        <f t="shared" ca="1" si="49"/>
        <v>0</v>
      </c>
      <c r="DW78">
        <f t="shared" ca="1" si="49"/>
        <v>0</v>
      </c>
      <c r="DX78">
        <f t="shared" ca="1" si="49"/>
        <v>0</v>
      </c>
      <c r="DY78">
        <f t="shared" ca="1" si="49"/>
        <v>0</v>
      </c>
      <c r="DZ78">
        <f t="shared" ca="1" si="49"/>
        <v>0</v>
      </c>
      <c r="EA78">
        <f t="shared" ca="1" si="49"/>
        <v>2294</v>
      </c>
      <c r="EB78">
        <f t="shared" ca="1" si="49"/>
        <v>0</v>
      </c>
      <c r="EC78">
        <f t="shared" ca="1" si="49"/>
        <v>0</v>
      </c>
      <c r="ED78">
        <f t="shared" ca="1" si="49"/>
        <v>0</v>
      </c>
      <c r="EE78">
        <f t="shared" ca="1" si="49"/>
        <v>0</v>
      </c>
      <c r="EK78" cm="1">
        <f t="array" aca="1" ref="EK78" ca="1">IF(ISNA(E78),0,OFFSET(INDIRECT("'"&amp;EK$67&amp;"'!g1"),E78-1,)*CL78)</f>
        <v>0</v>
      </c>
      <c r="EL78" cm="1">
        <f t="array" aca="1" ref="EL78" ca="1">IF(ISNA(F78),0,OFFSET(INDIRECT("'"&amp;EL$67&amp;"'!g1"),F78-1,)*CM78)</f>
        <v>1</v>
      </c>
      <c r="EM78" cm="1">
        <f t="array" aca="1" ref="EM78" ca="1">IF(ISNA(G78),0,OFFSET(INDIRECT("'"&amp;EM$67&amp;"'!g1"),G78-1,)*CN78)</f>
        <v>0</v>
      </c>
      <c r="EN78" cm="1">
        <f t="array" aca="1" ref="EN78" ca="1">IF(ISNA(H78),0,OFFSET(INDIRECT("'"&amp;EN$67&amp;"'!g1"),H78-1,)*CO78)</f>
        <v>0</v>
      </c>
      <c r="EO78" cm="1">
        <f t="array" aca="1" ref="EO78" ca="1">IF(ISNA(I78),0,OFFSET(INDIRECT("'"&amp;EO$67&amp;"'!g1"),I78-1,)*CP78)</f>
        <v>0</v>
      </c>
      <c r="EP78" cm="1">
        <f t="array" aca="1" ref="EP78" ca="1">IF(ISNA(J78),0,OFFSET(INDIRECT("'"&amp;EP$67&amp;"'!g1"),J78-1,)*CQ78)</f>
        <v>0</v>
      </c>
      <c r="EQ78" cm="1">
        <f t="array" aca="1" ref="EQ78" ca="1">IF(ISNA(K78),0,OFFSET(INDIRECT("'"&amp;EQ$67&amp;"'!g1"),K78-1,)*CR78)</f>
        <v>0</v>
      </c>
      <c r="ER78" cm="1">
        <f t="array" aca="1" ref="ER78" ca="1">IF(ISNA(L78),0,OFFSET(INDIRECT("'"&amp;ER$67&amp;"'!g1"),L78-1,)*CS78)</f>
        <v>2294</v>
      </c>
      <c r="ES78" cm="1">
        <f t="array" aca="1" ref="ES78" ca="1">IF(ISNA(M78),0,OFFSET(INDIRECT("'"&amp;ES$67&amp;"'!g1"),M78-1,)*CT78)</f>
        <v>0</v>
      </c>
      <c r="ET78" cm="1">
        <f t="array" aca="1" ref="ET78" ca="1">IF(ISNA(N78),0,OFFSET(INDIRECT("'"&amp;ET$67&amp;"'!g1"),N78-1,)*CU78)</f>
        <v>0</v>
      </c>
      <c r="EU78" cm="1">
        <f t="array" aca="1" ref="EU78" ca="1">IF(ISNA(O78),0,OFFSET(INDIRECT("'"&amp;EU$67&amp;"'!g1"),O78-1,)*CV78)</f>
        <v>0</v>
      </c>
      <c r="EV78" cm="1">
        <f t="array" aca="1" ref="EV78" ca="1">IF(ISNA(P78),0,OFFSET(INDIRECT("'"&amp;EV$67&amp;"'!g1"),P78-1,)*CW78)</f>
        <v>0</v>
      </c>
      <c r="FB78" s="10" cm="1">
        <f t="array" aca="1" ref="FB78" ca="1">IF(ISNA(E78),0,OFFSET(INDIRECT("'"&amp;EK$67&amp;"'!h1"),E78-1,))</f>
        <v>1</v>
      </c>
      <c r="FC78" s="10" cm="1">
        <f t="array" aca="1" ref="FC78" ca="1">IF(ISNA(F78),0,OFFSET(INDIRECT("'"&amp;EL$67&amp;"'!h1"),F78-1,))</f>
        <v>1</v>
      </c>
      <c r="FD78" s="10" cm="1">
        <f t="array" aca="1" ref="FD78" ca="1">IF(ISNA(G78),0,OFFSET(INDIRECT("'"&amp;EM$67&amp;"'!h1"),G78-1,))</f>
        <v>1</v>
      </c>
      <c r="FE78" s="10" cm="1">
        <f t="array" aca="1" ref="FE78" ca="1">IF(ISNA(H78),0,OFFSET(INDIRECT("'"&amp;EN$67&amp;"'!h1"),H78-1,))</f>
        <v>1</v>
      </c>
      <c r="FF78" s="10" cm="1">
        <f t="array" aca="1" ref="FF78" ca="1">IF(ISNA(I78),0,OFFSET(INDIRECT("'"&amp;EO$67&amp;"'!h1"),I78-1,))</f>
        <v>1</v>
      </c>
      <c r="FG78" s="10" cm="1">
        <f t="array" aca="1" ref="FG78" ca="1">IF(ISNA(J78),0,OFFSET(INDIRECT("'"&amp;EP$67&amp;"'!h1"),J78-1,))</f>
        <v>1</v>
      </c>
      <c r="FH78" s="10" cm="1">
        <f t="array" aca="1" ref="FH78" ca="1">IF(ISNA(K78),0,OFFSET(INDIRECT("'"&amp;EQ$67&amp;"'!h1"),K78-1,))</f>
        <v>10000</v>
      </c>
      <c r="FI78" s="10" cm="1">
        <f t="array" aca="1" ref="FI78" ca="1">IF(ISNA(L78),0,OFFSET(INDIRECT("'"&amp;ER$67&amp;"'!h1"),L78-1,))</f>
        <v>10000</v>
      </c>
      <c r="FJ78" s="10" cm="1">
        <f t="array" aca="1" ref="FJ78" ca="1">IF(ISNA(M78),0,OFFSET(INDIRECT("'"&amp;ES$67&amp;"'!h1"),M78-1,))</f>
        <v>10000</v>
      </c>
      <c r="FK78" s="10" cm="1">
        <f t="array" aca="1" ref="FK78" ca="1">IF(ISNA(N78),0,OFFSET(INDIRECT("'"&amp;ET$67&amp;"'!h1"),N78-1,))</f>
        <v>1</v>
      </c>
      <c r="FL78" s="10" cm="1">
        <f t="array" aca="1" ref="FL78" ca="1">IF(ISNA(O78),0,OFFSET(INDIRECT("'"&amp;EU$67&amp;"'!h1"),O78-1,))</f>
        <v>1</v>
      </c>
      <c r="FM78" s="10" cm="1">
        <f t="array" aca="1" ref="FM78" ca="1">IF(ISNA(P78),0,OFFSET(INDIRECT("'"&amp;EV$67&amp;"'!h1"),P78-1,))</f>
        <v>0</v>
      </c>
      <c r="FN78" s="10"/>
      <c r="FO78" s="10"/>
      <c r="FP78" s="10"/>
      <c r="FQ78" s="10"/>
      <c r="FS78">
        <f t="shared" ca="1" si="61"/>
        <v>648</v>
      </c>
      <c r="FT78">
        <f t="shared" ca="1" si="62"/>
        <v>73.450597227551</v>
      </c>
      <c r="FU78">
        <f t="shared" ca="1" si="63"/>
        <v>0</v>
      </c>
      <c r="FV78">
        <f t="shared" ca="1" si="64"/>
        <v>10000</v>
      </c>
      <c r="FW78" s="3">
        <f t="shared" ca="1" si="65"/>
        <v>0</v>
      </c>
      <c r="FX78" s="4" t="e">
        <f t="shared" ca="1" si="66"/>
        <v>#N/A</v>
      </c>
      <c r="FZ78" s="12">
        <f t="shared" ca="1" si="50"/>
        <v>648</v>
      </c>
      <c r="GA78" s="24">
        <f t="shared" ca="1" si="67"/>
        <v>0.125</v>
      </c>
      <c r="GB78" s="24">
        <f t="shared" ca="1" si="51"/>
        <v>0</v>
      </c>
      <c r="GC78" s="24">
        <f t="shared" ca="1" si="51"/>
        <v>4.125</v>
      </c>
      <c r="GD78" s="24" t="e">
        <f t="shared" ca="1" si="51"/>
        <v>#N/A</v>
      </c>
      <c r="GE78" s="24">
        <f t="shared" ca="1" si="51"/>
        <v>0.25</v>
      </c>
      <c r="GF78" s="24">
        <f t="shared" ca="1" si="51"/>
        <v>6.25E-2</v>
      </c>
      <c r="GG78" s="24">
        <f t="shared" ca="1" si="51"/>
        <v>0.1875</v>
      </c>
      <c r="GH78" s="24">
        <f t="shared" ca="1" si="51"/>
        <v>0</v>
      </c>
      <c r="GI78" s="24">
        <f t="shared" ca="1" si="51"/>
        <v>0.1875</v>
      </c>
      <c r="GJ78" s="24" t="e">
        <f t="shared" ca="1" si="51"/>
        <v>#N/A</v>
      </c>
      <c r="GK78" s="24" t="e">
        <f t="shared" ca="1" si="51"/>
        <v>#N/A</v>
      </c>
      <c r="GL78" s="24" t="e">
        <f t="shared" ca="1" si="51"/>
        <v>#N/A</v>
      </c>
      <c r="GM78" s="24"/>
      <c r="GN78">
        <f t="shared" ca="1" si="68"/>
        <v>648</v>
      </c>
      <c r="GO78" s="4" t="e">
        <f t="shared" ca="1" si="69"/>
        <v>#N/A</v>
      </c>
      <c r="GP78" s="4" t="e">
        <f t="shared" ca="1" si="52"/>
        <v>#N/A</v>
      </c>
      <c r="GQ78" s="4" t="e">
        <f t="shared" ca="1" si="52"/>
        <v>#N/A</v>
      </c>
      <c r="GR78" s="4" t="e">
        <f t="shared" ca="1" si="52"/>
        <v>#N/A</v>
      </c>
      <c r="GS78" s="4" t="e">
        <f t="shared" ca="1" si="52"/>
        <v>#N/A</v>
      </c>
      <c r="GT78" s="4" t="e">
        <f t="shared" ca="1" si="70"/>
        <v>#N/A</v>
      </c>
      <c r="GU78" s="4" t="e">
        <f t="shared" ca="1" si="53"/>
        <v>#N/A</v>
      </c>
      <c r="GV78" s="4">
        <f t="shared" ca="1" si="53"/>
        <v>3.1084646416849129E-2</v>
      </c>
      <c r="GW78" s="4" t="e">
        <f t="shared" ca="1" si="53"/>
        <v>#N/A</v>
      </c>
      <c r="GX78" s="4" t="e">
        <f t="shared" ca="1" si="53"/>
        <v>#N/A</v>
      </c>
      <c r="GY78" s="4" t="e">
        <f t="shared" ca="1" si="53"/>
        <v>#N/A</v>
      </c>
      <c r="GZ78" s="4" t="e">
        <f t="shared" ca="1" si="53"/>
        <v>#N/A</v>
      </c>
      <c r="HB78" s="12">
        <f t="shared" ca="1" si="54"/>
        <v>648</v>
      </c>
      <c r="HC78" s="3">
        <f t="shared" ca="1" si="71"/>
        <v>0</v>
      </c>
      <c r="HD78" s="3">
        <f t="shared" ca="1" si="55"/>
        <v>1</v>
      </c>
      <c r="HE78" s="3">
        <f t="shared" ca="1" si="55"/>
        <v>0</v>
      </c>
      <c r="HF78" s="3">
        <f t="shared" ca="1" si="55"/>
        <v>0</v>
      </c>
      <c r="HG78" s="3">
        <f t="shared" ca="1" si="55"/>
        <v>0</v>
      </c>
      <c r="HH78" s="3">
        <f t="shared" ca="1" si="55"/>
        <v>0</v>
      </c>
      <c r="HI78" s="3">
        <f t="shared" ca="1" si="55"/>
        <v>0</v>
      </c>
      <c r="HJ78" s="3">
        <f t="shared" ca="1" si="55"/>
        <v>0.22939999999999999</v>
      </c>
      <c r="HK78" s="3">
        <f t="shared" ca="1" si="55"/>
        <v>0</v>
      </c>
      <c r="HL78" s="3">
        <f t="shared" ca="1" si="55"/>
        <v>0</v>
      </c>
      <c r="HM78" s="3">
        <f t="shared" ca="1" si="55"/>
        <v>0</v>
      </c>
      <c r="HN78" s="3">
        <f t="shared" ca="1" si="55"/>
        <v>0</v>
      </c>
    </row>
    <row r="79" spans="1:222" x14ac:dyDescent="0.2">
      <c r="A79" t="str" cm="1">
        <f t="array" aca="1" ref="A79" ca="1">INDIRECT($A$67&amp;"!A"&amp;ROW(C12)+$B$64)</f>
        <v>[[1080,4,56]]</v>
      </c>
      <c r="B79" cm="1">
        <f t="array" aca="1" ref="B79" ca="1">INDIRECT($A$67&amp;"!b"&amp;ROW(D12)+$B$64)</f>
        <v>1080</v>
      </c>
      <c r="C79">
        <f t="shared" ca="1" si="56"/>
        <v>54</v>
      </c>
      <c r="E79">
        <f t="shared" ca="1" si="43"/>
        <v>36</v>
      </c>
      <c r="F79">
        <f t="shared" ca="1" si="43"/>
        <v>37</v>
      </c>
      <c r="G79">
        <f t="shared" ca="1" si="43"/>
        <v>36</v>
      </c>
      <c r="H79">
        <f t="shared" ca="1" si="43"/>
        <v>36</v>
      </c>
      <c r="I79">
        <f t="shared" ca="1" si="43"/>
        <v>37</v>
      </c>
      <c r="J79">
        <f t="shared" ca="1" si="43"/>
        <v>36</v>
      </c>
      <c r="K79">
        <f t="shared" ca="1" si="43"/>
        <v>43</v>
      </c>
      <c r="L79">
        <f t="shared" ca="1" si="43"/>
        <v>45</v>
      </c>
      <c r="M79">
        <f t="shared" ca="1" si="43"/>
        <v>42</v>
      </c>
      <c r="N79">
        <f t="shared" ca="1" si="43"/>
        <v>36</v>
      </c>
      <c r="O79">
        <f t="shared" ca="1" si="43"/>
        <v>36</v>
      </c>
      <c r="P79" t="e">
        <f t="shared" ca="1" si="43"/>
        <v>#N/A</v>
      </c>
      <c r="V79" cm="1">
        <f t="array" aca="1" ref="V79" ca="1">IF(ISNA(E79),,OFFSET(INDIRECT("'"&amp;V$67&amp;"'!d1"),E79-1,))</f>
        <v>70</v>
      </c>
      <c r="W79" cm="1">
        <f t="array" aca="1" ref="W79" ca="1">IF(ISNA(F79),,OFFSET(INDIRECT("'"&amp;W$67&amp;"'!d1"),F79-1,))</f>
        <v>64</v>
      </c>
      <c r="X79" cm="1">
        <f t="array" aca="1" ref="X79" ca="1">IF(ISNA(G79),,OFFSET(INDIRECT("'"&amp;X$67&amp;"'!d1"),G79-1,))</f>
        <v>280</v>
      </c>
      <c r="Y79" cm="1">
        <f t="array" aca="1" ref="Y79" ca="1">IF(ISNA(H79),,OFFSET(INDIRECT("'"&amp;Y$67&amp;"'!d1"),H79-1,))</f>
        <v>0</v>
      </c>
      <c r="Z79" cm="1">
        <f t="array" aca="1" ref="Z79" ca="1">IF(ISNA(I79),,OFFSET(INDIRECT("'"&amp;Z$67&amp;"'!d1"),I79-1,))</f>
        <v>82</v>
      </c>
      <c r="AA79" cm="1">
        <f t="array" aca="1" ref="AA79" ca="1">IF(ISNA(J79),,OFFSET(INDIRECT("'"&amp;AA$67&amp;"'!d1"),J79-1,))</f>
        <v>88</v>
      </c>
      <c r="AB79" cm="1">
        <f t="array" aca="1" ref="AB79" ca="1">IF(ISNA(K79),,OFFSET(INDIRECT("'"&amp;AB$67&amp;"'!d1"),K79-1,))</f>
        <v>82</v>
      </c>
      <c r="AC79" cm="1">
        <f t="array" aca="1" ref="AC79" ca="1">IF(ISNA(L79),,OFFSET(INDIRECT("'"&amp;AC$67&amp;"'!d1"),L79-1,))</f>
        <v>58</v>
      </c>
      <c r="AD79" cm="1">
        <f t="array" aca="1" ref="AD79" ca="1">IF(ISNA(M79),,OFFSET(INDIRECT("'"&amp;AD$67&amp;"'!d1"),M79-1,))</f>
        <v>86</v>
      </c>
      <c r="AE79" cm="1">
        <f t="array" aca="1" ref="AE79" ca="1">IF(ISNA(N79),,OFFSET(INDIRECT("'"&amp;AE$67&amp;"'!d1"),N79-1,))</f>
        <v>0</v>
      </c>
      <c r="AF79" cm="1">
        <f t="array" aca="1" ref="AF79" ca="1">IF(ISNA(O79),,OFFSET(INDIRECT("'"&amp;AF$67&amp;"'!d1"),O79-1,))</f>
        <v>0</v>
      </c>
      <c r="AG79" cm="1">
        <f t="array" aca="1" ref="AG79" ca="1">IF(ISNA(P79),,OFFSET(INDIRECT("'"&amp;AG$67&amp;"'!d1"),P79-1,))</f>
        <v>0</v>
      </c>
      <c r="AM79">
        <f t="shared" ca="1" si="57"/>
        <v>0</v>
      </c>
      <c r="AN79">
        <f t="shared" ca="1" si="44"/>
        <v>0</v>
      </c>
      <c r="AO79">
        <f t="shared" ca="1" si="44"/>
        <v>0</v>
      </c>
      <c r="AP79">
        <f t="shared" ca="1" si="44"/>
        <v>0</v>
      </c>
      <c r="AQ79">
        <f t="shared" ca="1" si="58"/>
        <v>0</v>
      </c>
      <c r="AV79" t="str">
        <f t="shared" ca="1" si="59"/>
        <v/>
      </c>
      <c r="AW79" t="str">
        <f t="shared" ca="1" si="45"/>
        <v/>
      </c>
      <c r="AX79" t="str">
        <f t="shared" ca="1" si="45"/>
        <v/>
      </c>
      <c r="AY79" t="str">
        <f t="shared" ca="1" si="45"/>
        <v/>
      </c>
      <c r="AZ79" t="str">
        <f t="shared" ca="1" si="45"/>
        <v/>
      </c>
      <c r="BD79">
        <f t="shared" ca="1" si="46"/>
        <v>1</v>
      </c>
      <c r="BE79">
        <f t="shared" ca="1" si="46"/>
        <v>1</v>
      </c>
      <c r="BF79">
        <f t="shared" ca="1" si="46"/>
        <v>1</v>
      </c>
      <c r="BG79">
        <f t="shared" ca="1" si="46"/>
        <v>0</v>
      </c>
      <c r="BH79">
        <f t="shared" ca="1" si="46"/>
        <v>1</v>
      </c>
      <c r="BI79">
        <f t="shared" ca="1" si="46"/>
        <v>1</v>
      </c>
      <c r="BJ79">
        <f t="shared" ca="1" si="46"/>
        <v>1</v>
      </c>
      <c r="BK79">
        <f t="shared" ca="1" si="46"/>
        <v>1</v>
      </c>
      <c r="BL79">
        <f t="shared" ca="1" si="46"/>
        <v>1</v>
      </c>
      <c r="BM79">
        <f t="shared" ca="1" si="46"/>
        <v>0</v>
      </c>
      <c r="BN79">
        <f t="shared" ca="1" si="46"/>
        <v>0</v>
      </c>
      <c r="BO79">
        <f t="shared" ca="1" si="46"/>
        <v>0</v>
      </c>
      <c r="BU79">
        <f t="shared" ca="1" si="47"/>
        <v>70</v>
      </c>
      <c r="BV79">
        <f t="shared" ca="1" si="47"/>
        <v>64</v>
      </c>
      <c r="BW79">
        <f t="shared" ca="1" si="47"/>
        <v>280</v>
      </c>
      <c r="BX79">
        <f t="shared" ca="1" si="47"/>
        <v>1080</v>
      </c>
      <c r="BY79">
        <f t="shared" ca="1" si="47"/>
        <v>82</v>
      </c>
      <c r="BZ79">
        <f t="shared" ca="1" si="47"/>
        <v>88</v>
      </c>
      <c r="CA79">
        <f t="shared" ca="1" si="47"/>
        <v>82</v>
      </c>
      <c r="CB79">
        <f t="shared" ca="1" si="47"/>
        <v>58</v>
      </c>
      <c r="CC79">
        <f t="shared" ca="1" si="47"/>
        <v>86</v>
      </c>
      <c r="CD79">
        <f t="shared" ca="1" si="47"/>
        <v>1080</v>
      </c>
      <c r="CE79">
        <f t="shared" ca="1" si="47"/>
        <v>1080</v>
      </c>
      <c r="CF79">
        <f t="shared" ca="1" si="47"/>
        <v>1080</v>
      </c>
      <c r="CL79">
        <f t="shared" ca="1" si="48"/>
        <v>0</v>
      </c>
      <c r="CM79">
        <f t="shared" ca="1" si="48"/>
        <v>0</v>
      </c>
      <c r="CN79">
        <f t="shared" ca="1" si="48"/>
        <v>0</v>
      </c>
      <c r="CO79">
        <f t="shared" ca="1" si="48"/>
        <v>0</v>
      </c>
      <c r="CP79">
        <f t="shared" ca="1" si="48"/>
        <v>0</v>
      </c>
      <c r="CQ79">
        <f t="shared" ca="1" si="48"/>
        <v>0</v>
      </c>
      <c r="CR79">
        <f t="shared" ca="1" si="48"/>
        <v>0</v>
      </c>
      <c r="CS79">
        <f t="shared" ca="1" si="48"/>
        <v>0</v>
      </c>
      <c r="CT79">
        <f t="shared" ca="1" si="48"/>
        <v>0</v>
      </c>
      <c r="CU79">
        <f t="shared" ca="1" si="48"/>
        <v>0</v>
      </c>
      <c r="CV79">
        <f t="shared" ca="1" si="48"/>
        <v>0</v>
      </c>
      <c r="CW79">
        <f t="shared" ca="1" si="48"/>
        <v>0</v>
      </c>
      <c r="DC79" cm="1">
        <f t="array" aca="1" ref="DC79" ca="1">IF(ISNA(E79),,OFFSET(INDIRECT("'"&amp;DT$67&amp;"'!f1"),E79-1,))*1</f>
        <v>28946.354998855299</v>
      </c>
      <c r="DD79" cm="1">
        <f t="array" aca="1" ref="DD79" ca="1">IF(ISNA(F79),,OFFSET(INDIRECT("'"&amp;DU$67&amp;"'!f1"),F79-1,))*1</f>
        <v>28828.368171891099</v>
      </c>
      <c r="DE79" cm="1">
        <f t="array" aca="1" ref="DE79" ca="1">IF(ISNA(G79),,OFFSET(INDIRECT("'"&amp;DV$67&amp;"'!f1"),G79-1,))*1</f>
        <v>28800.185199594998</v>
      </c>
      <c r="DF79" cm="1">
        <f t="array" aca="1" ref="DF79" ca="1">IF(ISNA(H79),,OFFSET(INDIRECT("'"&amp;DW$67&amp;"'!f1"),H79-1,))*1</f>
        <v>28800.192979752999</v>
      </c>
      <c r="DG79" cm="1">
        <f t="array" aca="1" ref="DG79" ca="1">IF(ISNA(I79),,OFFSET(INDIRECT("'"&amp;DX$67&amp;"'!f1"),I79-1,))*1</f>
        <v>28800.530092249999</v>
      </c>
      <c r="DH79" cm="1">
        <f t="array" aca="1" ref="DH79" ca="1">IF(ISNA(J79),,OFFSET(INDIRECT("'"&amp;DY$67&amp;"'!f1"),J79-1,))*1</f>
        <v>23.2593929767608</v>
      </c>
      <c r="DI79" cm="1">
        <f t="array" aca="1" ref="DI79" ca="1">IF(ISNA(K79),,OFFSET(INDIRECT("'"&amp;DZ$67&amp;"'!f1"),K79-1,))*1</f>
        <v>226.16338323988001</v>
      </c>
      <c r="DJ79" cm="1">
        <f t="array" aca="1" ref="DJ79" ca="1">IF(ISNA(L79),,OFFSET(INDIRECT("'"&amp;EA$67&amp;"'!f1"),L79-1,))*1</f>
        <v>220.06668651103899</v>
      </c>
      <c r="DK79" cm="1">
        <f t="array" aca="1" ref="DK79" ca="1">IF(ISNA(M79),,OFFSET(INDIRECT("'"&amp;EB$67&amp;"'!f1"),M79-1,))*1</f>
        <v>2409.4302368313001</v>
      </c>
      <c r="DL79" cm="1">
        <f t="array" aca="1" ref="DL79" ca="1">IF(ISNA(N79),,OFFSET(INDIRECT("'"&amp;EC$67&amp;"'!f1"),N79-1,))*1</f>
        <v>0.10314030999143101</v>
      </c>
      <c r="DM79" cm="1">
        <f t="array" aca="1" ref="DM79" ca="1">IF(ISNA(O79),,OFFSET(INDIRECT("'"&amp;ED$67&amp;"'!f1"),O79-1,))*1</f>
        <v>0.11599104100605399</v>
      </c>
      <c r="DN79" cm="1">
        <f t="array" aca="1" ref="DN79" ca="1">IF(ISNA(P79),,OFFSET(INDIRECT("'"&amp;EE$67&amp;"'!f1"),P79-1,))*1</f>
        <v>0</v>
      </c>
      <c r="DT79">
        <f t="shared" ca="1" si="60"/>
        <v>0</v>
      </c>
      <c r="DU79">
        <f t="shared" ca="1" si="49"/>
        <v>0</v>
      </c>
      <c r="DV79">
        <f t="shared" ca="1" si="49"/>
        <v>0</v>
      </c>
      <c r="DW79">
        <f t="shared" ca="1" si="49"/>
        <v>0</v>
      </c>
      <c r="DX79">
        <f t="shared" ca="1" si="49"/>
        <v>0</v>
      </c>
      <c r="DY79">
        <f t="shared" ca="1" si="49"/>
        <v>0</v>
      </c>
      <c r="DZ79">
        <f t="shared" ca="1" si="49"/>
        <v>0</v>
      </c>
      <c r="EA79">
        <f t="shared" ca="1" si="49"/>
        <v>0</v>
      </c>
      <c r="EB79">
        <f t="shared" ca="1" si="49"/>
        <v>0</v>
      </c>
      <c r="EC79">
        <f t="shared" ca="1" si="49"/>
        <v>0</v>
      </c>
      <c r="ED79">
        <f t="shared" ca="1" si="49"/>
        <v>0</v>
      </c>
      <c r="EE79">
        <f t="shared" ca="1" si="49"/>
        <v>0</v>
      </c>
      <c r="EK79" cm="1">
        <f t="array" aca="1" ref="EK79" ca="1">IF(ISNA(E79),0,OFFSET(INDIRECT("'"&amp;EK$67&amp;"'!g1"),E79-1,)*CL79)</f>
        <v>0</v>
      </c>
      <c r="EL79" cm="1">
        <f t="array" aca="1" ref="EL79" ca="1">IF(ISNA(F79),0,OFFSET(INDIRECT("'"&amp;EL$67&amp;"'!g1"),F79-1,)*CM79)</f>
        <v>0</v>
      </c>
      <c r="EM79" cm="1">
        <f t="array" aca="1" ref="EM79" ca="1">IF(ISNA(G79),0,OFFSET(INDIRECT("'"&amp;EM$67&amp;"'!g1"),G79-1,)*CN79)</f>
        <v>0</v>
      </c>
      <c r="EN79" cm="1">
        <f t="array" aca="1" ref="EN79" ca="1">IF(ISNA(H79),0,OFFSET(INDIRECT("'"&amp;EN$67&amp;"'!g1"),H79-1,)*CO79)</f>
        <v>0</v>
      </c>
      <c r="EO79" cm="1">
        <f t="array" aca="1" ref="EO79" ca="1">IF(ISNA(I79),0,OFFSET(INDIRECT("'"&amp;EO$67&amp;"'!g1"),I79-1,)*CP79)</f>
        <v>0</v>
      </c>
      <c r="EP79" cm="1">
        <f t="array" aca="1" ref="EP79" ca="1">IF(ISNA(J79),0,OFFSET(INDIRECT("'"&amp;EP$67&amp;"'!g1"),J79-1,)*CQ79)</f>
        <v>0</v>
      </c>
      <c r="EQ79" cm="1">
        <f t="array" aca="1" ref="EQ79" ca="1">IF(ISNA(K79),0,OFFSET(INDIRECT("'"&amp;EQ$67&amp;"'!g1"),K79-1,)*CR79)</f>
        <v>0</v>
      </c>
      <c r="ER79" cm="1">
        <f t="array" aca="1" ref="ER79" ca="1">IF(ISNA(L79),0,OFFSET(INDIRECT("'"&amp;ER$67&amp;"'!g1"),L79-1,)*CS79)</f>
        <v>0</v>
      </c>
      <c r="ES79" cm="1">
        <f t="array" aca="1" ref="ES79" ca="1">IF(ISNA(M79),0,OFFSET(INDIRECT("'"&amp;ES$67&amp;"'!g1"),M79-1,)*CT79)</f>
        <v>0</v>
      </c>
      <c r="ET79" cm="1">
        <f t="array" aca="1" ref="ET79" ca="1">IF(ISNA(N79),0,OFFSET(INDIRECT("'"&amp;ET$67&amp;"'!g1"),N79-1,)*CU79)</f>
        <v>0</v>
      </c>
      <c r="EU79" cm="1">
        <f t="array" aca="1" ref="EU79" ca="1">IF(ISNA(O79),0,OFFSET(INDIRECT("'"&amp;EU$67&amp;"'!g1"),O79-1,)*CV79)</f>
        <v>0</v>
      </c>
      <c r="EV79" cm="1">
        <f t="array" aca="1" ref="EV79" ca="1">IF(ISNA(P79),0,OFFSET(INDIRECT("'"&amp;EV$67&amp;"'!g1"),P79-1,)*CW79)</f>
        <v>0</v>
      </c>
      <c r="FB79" s="10" cm="1">
        <f t="array" aca="1" ref="FB79" ca="1">IF(ISNA(E79),0,OFFSET(INDIRECT("'"&amp;EK$67&amp;"'!h1"),E79-1,))</f>
        <v>1</v>
      </c>
      <c r="FC79" s="10" cm="1">
        <f t="array" aca="1" ref="FC79" ca="1">IF(ISNA(F79),0,OFFSET(INDIRECT("'"&amp;EL$67&amp;"'!h1"),F79-1,))</f>
        <v>1</v>
      </c>
      <c r="FD79" s="10" cm="1">
        <f t="array" aca="1" ref="FD79" ca="1">IF(ISNA(G79),0,OFFSET(INDIRECT("'"&amp;EM$67&amp;"'!h1"),G79-1,))</f>
        <v>1</v>
      </c>
      <c r="FE79" s="10" cm="1">
        <f t="array" aca="1" ref="FE79" ca="1">IF(ISNA(H79),0,OFFSET(INDIRECT("'"&amp;EN$67&amp;"'!h1"),H79-1,))</f>
        <v>1</v>
      </c>
      <c r="FF79" s="10" cm="1">
        <f t="array" aca="1" ref="FF79" ca="1">IF(ISNA(I79),0,OFFSET(INDIRECT("'"&amp;EO$67&amp;"'!h1"),I79-1,))</f>
        <v>1</v>
      </c>
      <c r="FG79" s="10" cm="1">
        <f t="array" aca="1" ref="FG79" ca="1">IF(ISNA(J79),0,OFFSET(INDIRECT("'"&amp;EP$67&amp;"'!h1"),J79-1,))</f>
        <v>1</v>
      </c>
      <c r="FH79" s="10" cm="1">
        <f t="array" aca="1" ref="FH79" ca="1">IF(ISNA(K79),0,OFFSET(INDIRECT("'"&amp;EQ$67&amp;"'!h1"),K79-1,))</f>
        <v>10000</v>
      </c>
      <c r="FI79" s="10" cm="1">
        <f t="array" aca="1" ref="FI79" ca="1">IF(ISNA(L79),0,OFFSET(INDIRECT("'"&amp;ER$67&amp;"'!h1"),L79-1,))</f>
        <v>10000</v>
      </c>
      <c r="FJ79" s="10" cm="1">
        <f t="array" aca="1" ref="FJ79" ca="1">IF(ISNA(M79),0,OFFSET(INDIRECT("'"&amp;ES$67&amp;"'!h1"),M79-1,))</f>
        <v>10000</v>
      </c>
      <c r="FK79" s="10" cm="1">
        <f t="array" aca="1" ref="FK79" ca="1">IF(ISNA(N79),0,OFFSET(INDIRECT("'"&amp;ET$67&amp;"'!h1"),N79-1,))</f>
        <v>1</v>
      </c>
      <c r="FL79" s="10" cm="1">
        <f t="array" aca="1" ref="FL79" ca="1">IF(ISNA(O79),0,OFFSET(INDIRECT("'"&amp;EU$67&amp;"'!h1"),O79-1,))</f>
        <v>1</v>
      </c>
      <c r="FM79" s="10" cm="1">
        <f t="array" aca="1" ref="FM79" ca="1">IF(ISNA(P79),0,OFFSET(INDIRECT("'"&amp;EV$67&amp;"'!h1"),P79-1,))</f>
        <v>0</v>
      </c>
      <c r="FN79" s="10"/>
      <c r="FO79" s="10"/>
      <c r="FP79" s="10"/>
      <c r="FQ79" s="10"/>
      <c r="FS79">
        <f t="shared" ca="1" si="61"/>
        <v>1080</v>
      </c>
      <c r="FT79">
        <f t="shared" ca="1" si="62"/>
        <v>226.16338323988001</v>
      </c>
      <c r="FU79">
        <f t="shared" ca="1" si="63"/>
        <v>0</v>
      </c>
      <c r="FV79">
        <f t="shared" ca="1" si="64"/>
        <v>10000</v>
      </c>
      <c r="FW79" s="3">
        <f t="shared" ca="1" si="65"/>
        <v>0</v>
      </c>
      <c r="FX79" s="4" t="e">
        <f t="shared" ca="1" si="66"/>
        <v>#N/A</v>
      </c>
      <c r="FZ79" s="12">
        <f t="shared" ca="1" si="50"/>
        <v>1080</v>
      </c>
      <c r="GA79" s="24">
        <f t="shared" ca="1" si="67"/>
        <v>0.29629629629629628</v>
      </c>
      <c r="GB79" s="24">
        <f t="shared" ca="1" si="51"/>
        <v>0.18518518518518517</v>
      </c>
      <c r="GC79" s="24">
        <f t="shared" ca="1" si="51"/>
        <v>4.1851851851851851</v>
      </c>
      <c r="GD79" s="24" t="e">
        <f t="shared" ca="1" si="51"/>
        <v>#N/A</v>
      </c>
      <c r="GE79" s="24">
        <f t="shared" ca="1" si="51"/>
        <v>0.51851851851851849</v>
      </c>
      <c r="GF79" s="24">
        <f t="shared" ca="1" si="51"/>
        <v>0.62962962962962965</v>
      </c>
      <c r="GG79" s="24">
        <f t="shared" ca="1" si="51"/>
        <v>0.51851851851851849</v>
      </c>
      <c r="GH79" s="24">
        <f t="shared" ca="1" si="51"/>
        <v>7.407407407407407E-2</v>
      </c>
      <c r="GI79" s="24">
        <f t="shared" ca="1" si="51"/>
        <v>0.59259259259259256</v>
      </c>
      <c r="GJ79" s="24" t="e">
        <f t="shared" ca="1" si="51"/>
        <v>#N/A</v>
      </c>
      <c r="GK79" s="24" t="e">
        <f t="shared" ca="1" si="51"/>
        <v>#N/A</v>
      </c>
      <c r="GL79" s="24" t="e">
        <f t="shared" ca="1" si="51"/>
        <v>#N/A</v>
      </c>
      <c r="GM79" s="24"/>
      <c r="GN79">
        <f t="shared" ca="1" si="68"/>
        <v>1080</v>
      </c>
      <c r="GO79" s="4" t="e">
        <f t="shared" ca="1" si="69"/>
        <v>#N/A</v>
      </c>
      <c r="GP79" s="4" t="e">
        <f t="shared" ca="1" si="52"/>
        <v>#N/A</v>
      </c>
      <c r="GQ79" s="4" t="e">
        <f t="shared" ca="1" si="52"/>
        <v>#N/A</v>
      </c>
      <c r="GR79" s="4" t="e">
        <f t="shared" ca="1" si="52"/>
        <v>#N/A</v>
      </c>
      <c r="GS79" s="4" t="e">
        <f t="shared" ca="1" si="52"/>
        <v>#N/A</v>
      </c>
      <c r="GT79" s="4" t="e">
        <f t="shared" ca="1" si="70"/>
        <v>#N/A</v>
      </c>
      <c r="GU79" s="4" t="e">
        <f t="shared" ca="1" si="53"/>
        <v>#N/A</v>
      </c>
      <c r="GV79" s="4" t="e">
        <f t="shared" ca="1" si="53"/>
        <v>#N/A</v>
      </c>
      <c r="GW79" s="4" t="e">
        <f t="shared" ca="1" si="53"/>
        <v>#N/A</v>
      </c>
      <c r="GX79" s="4" t="e">
        <f t="shared" ca="1" si="53"/>
        <v>#N/A</v>
      </c>
      <c r="GY79" s="4" t="e">
        <f t="shared" ca="1" si="53"/>
        <v>#N/A</v>
      </c>
      <c r="GZ79" s="4" t="e">
        <f t="shared" ca="1" si="53"/>
        <v>#N/A</v>
      </c>
      <c r="HB79" s="12">
        <f t="shared" ca="1" si="54"/>
        <v>1080</v>
      </c>
      <c r="HC79" s="3">
        <f t="shared" ca="1" si="71"/>
        <v>0</v>
      </c>
      <c r="HD79" s="3">
        <f t="shared" ca="1" si="55"/>
        <v>0</v>
      </c>
      <c r="HE79" s="3">
        <f t="shared" ca="1" si="55"/>
        <v>0</v>
      </c>
      <c r="HF79" s="3">
        <f t="shared" ca="1" si="55"/>
        <v>0</v>
      </c>
      <c r="HG79" s="3">
        <f t="shared" ca="1" si="55"/>
        <v>0</v>
      </c>
      <c r="HH79" s="3">
        <f t="shared" ca="1" si="55"/>
        <v>0</v>
      </c>
      <c r="HI79" s="3">
        <f t="shared" ca="1" si="55"/>
        <v>0</v>
      </c>
      <c r="HJ79" s="3">
        <f t="shared" ca="1" si="55"/>
        <v>0</v>
      </c>
      <c r="HK79" s="3">
        <f t="shared" ca="1" si="55"/>
        <v>0</v>
      </c>
      <c r="HL79" s="3">
        <f t="shared" ca="1" si="55"/>
        <v>0</v>
      </c>
      <c r="HM79" s="3">
        <f t="shared" ca="1" si="55"/>
        <v>0</v>
      </c>
      <c r="HN79" s="3">
        <f t="shared" ca="1" si="55"/>
        <v>0</v>
      </c>
    </row>
    <row r="80" spans="1:222" x14ac:dyDescent="0.2">
      <c r="A80" t="str" cm="1">
        <f t="array" aca="1" ref="A80" ca="1">INDIRECT($A$67&amp;"!A"&amp;ROW(C13)+$B$64)</f>
        <v>[[1296,4,50]]</v>
      </c>
      <c r="B80" cm="1">
        <f t="array" aca="1" ref="B80" ca="1">INDIRECT($A$67&amp;"!b"&amp;ROW(D13)+$B$64)</f>
        <v>1296</v>
      </c>
      <c r="C80">
        <f t="shared" ca="1" si="56"/>
        <v>36</v>
      </c>
      <c r="E80">
        <f t="shared" ca="1" si="43"/>
        <v>37</v>
      </c>
      <c r="F80">
        <f t="shared" ca="1" si="43"/>
        <v>38</v>
      </c>
      <c r="G80">
        <f t="shared" ca="1" si="43"/>
        <v>37</v>
      </c>
      <c r="H80">
        <f t="shared" ca="1" si="43"/>
        <v>37</v>
      </c>
      <c r="I80">
        <f t="shared" ca="1" si="43"/>
        <v>40</v>
      </c>
      <c r="J80">
        <f t="shared" ca="1" si="43"/>
        <v>37</v>
      </c>
      <c r="K80">
        <f t="shared" ca="1" si="43"/>
        <v>44</v>
      </c>
      <c r="L80">
        <f t="shared" ca="1" si="43"/>
        <v>46</v>
      </c>
      <c r="M80">
        <f t="shared" ca="1" si="43"/>
        <v>43</v>
      </c>
      <c r="N80">
        <f t="shared" ca="1" si="43"/>
        <v>37</v>
      </c>
      <c r="O80">
        <f t="shared" ca="1" si="43"/>
        <v>37</v>
      </c>
      <c r="P80" t="e">
        <f t="shared" ca="1" si="43"/>
        <v>#N/A</v>
      </c>
      <c r="V80" cm="1">
        <f t="array" aca="1" ref="V80" ca="1">IF(ISNA(E80),,OFFSET(INDIRECT("'"&amp;V$67&amp;"'!d1"),E80-1,))</f>
        <v>94</v>
      </c>
      <c r="W80" cm="1">
        <f t="array" aca="1" ref="W80" ca="1">IF(ISNA(F80),,OFFSET(INDIRECT("'"&amp;W$67&amp;"'!d1"),F80-1,))</f>
        <v>36</v>
      </c>
      <c r="X80" cm="1">
        <f t="array" aca="1" ref="X80" ca="1">IF(ISNA(G80),,OFFSET(INDIRECT("'"&amp;X$67&amp;"'!d1"),G80-1,))</f>
        <v>326</v>
      </c>
      <c r="Y80" cm="1">
        <f t="array" aca="1" ref="Y80" ca="1">IF(ISNA(H80),,OFFSET(INDIRECT("'"&amp;Y$67&amp;"'!d1"),H80-1,))</f>
        <v>0</v>
      </c>
      <c r="Z80" cm="1">
        <f t="array" aca="1" ref="Z80" ca="1">IF(ISNA(I80),,OFFSET(INDIRECT("'"&amp;Z$67&amp;"'!d1"),I80-1,))</f>
        <v>130</v>
      </c>
      <c r="AA80" cm="1">
        <f t="array" aca="1" ref="AA80" ca="1">IF(ISNA(J80),,OFFSET(INDIRECT("'"&amp;AA$67&amp;"'!d1"),J80-1,))</f>
        <v>126</v>
      </c>
      <c r="AB80" cm="1">
        <f t="array" aca="1" ref="AB80" ca="1">IF(ISNA(K80),,OFFSET(INDIRECT("'"&amp;AB$67&amp;"'!d1"),K80-1,))</f>
        <v>110</v>
      </c>
      <c r="AC80" cm="1">
        <f t="array" aca="1" ref="AC80" ca="1">IF(ISNA(L80),,OFFSET(INDIRECT("'"&amp;AC$67&amp;"'!d1"),L80-1,))</f>
        <v>54</v>
      </c>
      <c r="AD80" cm="1">
        <f t="array" aca="1" ref="AD80" ca="1">IF(ISNA(M80),,OFFSET(INDIRECT("'"&amp;AD$67&amp;"'!d1"),M80-1,))</f>
        <v>130</v>
      </c>
      <c r="AE80" cm="1">
        <f t="array" aca="1" ref="AE80" ca="1">IF(ISNA(N80),,OFFSET(INDIRECT("'"&amp;AE$67&amp;"'!d1"),N80-1,))</f>
        <v>0</v>
      </c>
      <c r="AF80" cm="1">
        <f t="array" aca="1" ref="AF80" ca="1">IF(ISNA(O80),,OFFSET(INDIRECT("'"&amp;AF$67&amp;"'!d1"),O80-1,))</f>
        <v>0</v>
      </c>
      <c r="AG80" cm="1">
        <f t="array" aca="1" ref="AG80" ca="1">IF(ISNA(P80),,OFFSET(INDIRECT("'"&amp;AG$67&amp;"'!d1"),P80-1,))</f>
        <v>0</v>
      </c>
      <c r="AM80">
        <f t="shared" ca="1" si="57"/>
        <v>0</v>
      </c>
      <c r="AN80">
        <f t="shared" ca="1" si="44"/>
        <v>0</v>
      </c>
      <c r="AO80">
        <f t="shared" ca="1" si="44"/>
        <v>0</v>
      </c>
      <c r="AP80">
        <f t="shared" ca="1" si="44"/>
        <v>0</v>
      </c>
      <c r="AQ80">
        <f t="shared" ca="1" si="58"/>
        <v>0</v>
      </c>
      <c r="AV80" t="str">
        <f t="shared" ca="1" si="59"/>
        <v/>
      </c>
      <c r="AW80" t="str">
        <f t="shared" ca="1" si="45"/>
        <v/>
      </c>
      <c r="AX80" t="str">
        <f t="shared" ca="1" si="45"/>
        <v/>
      </c>
      <c r="AY80" t="str">
        <f t="shared" ca="1" si="45"/>
        <v/>
      </c>
      <c r="AZ80" t="str">
        <f t="shared" ca="1" si="45"/>
        <v/>
      </c>
      <c r="BD80">
        <f t="shared" ca="1" si="46"/>
        <v>1</v>
      </c>
      <c r="BE80">
        <f t="shared" ca="1" si="46"/>
        <v>1</v>
      </c>
      <c r="BF80">
        <f t="shared" ca="1" si="46"/>
        <v>1</v>
      </c>
      <c r="BG80">
        <f t="shared" ca="1" si="46"/>
        <v>0</v>
      </c>
      <c r="BH80">
        <f t="shared" ca="1" si="46"/>
        <v>1</v>
      </c>
      <c r="BI80">
        <f t="shared" ca="1" si="46"/>
        <v>1</v>
      </c>
      <c r="BJ80">
        <f t="shared" ca="1" si="46"/>
        <v>1</v>
      </c>
      <c r="BK80">
        <f t="shared" ca="1" si="46"/>
        <v>1</v>
      </c>
      <c r="BL80">
        <f t="shared" ca="1" si="46"/>
        <v>1</v>
      </c>
      <c r="BM80">
        <f t="shared" ca="1" si="46"/>
        <v>0</v>
      </c>
      <c r="BN80">
        <f t="shared" ca="1" si="46"/>
        <v>0</v>
      </c>
      <c r="BO80">
        <f t="shared" ca="1" si="46"/>
        <v>0</v>
      </c>
      <c r="BU80">
        <f t="shared" ca="1" si="47"/>
        <v>94</v>
      </c>
      <c r="BV80">
        <f t="shared" ca="1" si="47"/>
        <v>36</v>
      </c>
      <c r="BW80">
        <f t="shared" ca="1" si="47"/>
        <v>326</v>
      </c>
      <c r="BX80">
        <f t="shared" ca="1" si="47"/>
        <v>1296</v>
      </c>
      <c r="BY80">
        <f t="shared" ca="1" si="47"/>
        <v>130</v>
      </c>
      <c r="BZ80">
        <f t="shared" ca="1" si="47"/>
        <v>126</v>
      </c>
      <c r="CA80">
        <f t="shared" ca="1" si="47"/>
        <v>110</v>
      </c>
      <c r="CB80">
        <f t="shared" ca="1" si="47"/>
        <v>54</v>
      </c>
      <c r="CC80">
        <f t="shared" ca="1" si="47"/>
        <v>130</v>
      </c>
      <c r="CD80">
        <f t="shared" ca="1" si="47"/>
        <v>1296</v>
      </c>
      <c r="CE80">
        <f t="shared" ca="1" si="47"/>
        <v>1296</v>
      </c>
      <c r="CF80">
        <f t="shared" ca="1" si="47"/>
        <v>1296</v>
      </c>
      <c r="CL80">
        <f t="shared" ca="1" si="48"/>
        <v>0</v>
      </c>
      <c r="CM80">
        <f t="shared" ca="1" si="48"/>
        <v>1</v>
      </c>
      <c r="CN80">
        <f t="shared" ca="1" si="48"/>
        <v>0</v>
      </c>
      <c r="CO80">
        <f t="shared" ca="1" si="48"/>
        <v>0</v>
      </c>
      <c r="CP80">
        <f t="shared" ca="1" si="48"/>
        <v>0</v>
      </c>
      <c r="CQ80">
        <f t="shared" ca="1" si="48"/>
        <v>0</v>
      </c>
      <c r="CR80">
        <f t="shared" ca="1" si="48"/>
        <v>0</v>
      </c>
      <c r="CS80">
        <f t="shared" ca="1" si="48"/>
        <v>0</v>
      </c>
      <c r="CT80">
        <f t="shared" ca="1" si="48"/>
        <v>0</v>
      </c>
      <c r="CU80">
        <f t="shared" ca="1" si="48"/>
        <v>0</v>
      </c>
      <c r="CV80">
        <f t="shared" ca="1" si="48"/>
        <v>0</v>
      </c>
      <c r="CW80">
        <f t="shared" ca="1" si="48"/>
        <v>0</v>
      </c>
      <c r="DC80" cm="1">
        <f t="array" aca="1" ref="DC80" ca="1">IF(ISNA(E80),,OFFSET(INDIRECT("'"&amp;DT$67&amp;"'!f1"),E80-1,))*1</f>
        <v>28923.199783917</v>
      </c>
      <c r="DD80" cm="1">
        <f t="array" aca="1" ref="DD80" ca="1">IF(ISNA(F80),,OFFSET(INDIRECT("'"&amp;DU$67&amp;"'!f1"),F80-1,))*1</f>
        <v>28825.134829040999</v>
      </c>
      <c r="DE80" cm="1">
        <f t="array" aca="1" ref="DE80" ca="1">IF(ISNA(G80),,OFFSET(INDIRECT("'"&amp;DV$67&amp;"'!f1"),G80-1,))*1</f>
        <v>28800.304981355999</v>
      </c>
      <c r="DF80" cm="1">
        <f t="array" aca="1" ref="DF80" ca="1">IF(ISNA(H80),,OFFSET(INDIRECT("'"&amp;DW$67&amp;"'!f1"),H80-1,))*1</f>
        <v>28800.1158934831</v>
      </c>
      <c r="DG80" cm="1">
        <f t="array" aca="1" ref="DG80" ca="1">IF(ISNA(I80),,OFFSET(INDIRECT("'"&amp;DX$67&amp;"'!f1"),I80-1,))*1</f>
        <v>28801.568433291999</v>
      </c>
      <c r="DH80" cm="1">
        <f t="array" aca="1" ref="DH80" ca="1">IF(ISNA(J80),,OFFSET(INDIRECT("'"&amp;DY$67&amp;"'!f1"),J80-1,))*1</f>
        <v>34.794600553810596</v>
      </c>
      <c r="DI80" cm="1">
        <f t="array" aca="1" ref="DI80" ca="1">IF(ISNA(K80),,OFFSET(INDIRECT("'"&amp;DZ$67&amp;"'!f1"),K80-1,))*1</f>
        <v>346.21380194090301</v>
      </c>
      <c r="DJ80" cm="1">
        <f t="array" aca="1" ref="DJ80" ca="1">IF(ISNA(L80),,OFFSET(INDIRECT("'"&amp;EA$67&amp;"'!f1"),L80-1,))*1</f>
        <v>339.07502606138502</v>
      </c>
      <c r="DK80" cm="1">
        <f t="array" aca="1" ref="DK80" ca="1">IF(ISNA(M80),,OFFSET(INDIRECT("'"&amp;EB$67&amp;"'!f1"),M80-1,))*1</f>
        <v>4687.67869774065</v>
      </c>
      <c r="DL80" cm="1">
        <f t="array" aca="1" ref="DL80" ca="1">IF(ISNA(N80),,OFFSET(INDIRECT("'"&amp;EC$67&amp;"'!f1"),N80-1,))*1</f>
        <v>0.13061430001107499</v>
      </c>
      <c r="DM80" cm="1">
        <f t="array" aca="1" ref="DM80" ca="1">IF(ISNA(O80),,OFFSET(INDIRECT("'"&amp;ED$67&amp;"'!f1"),O80-1,))*1</f>
        <v>0.14413925098779101</v>
      </c>
      <c r="DN80" cm="1">
        <f t="array" aca="1" ref="DN80" ca="1">IF(ISNA(P80),,OFFSET(INDIRECT("'"&amp;EE$67&amp;"'!f1"),P80-1,))*1</f>
        <v>0</v>
      </c>
      <c r="DT80">
        <f t="shared" ca="1" si="60"/>
        <v>0</v>
      </c>
      <c r="DU80">
        <f t="shared" ca="1" si="49"/>
        <v>1</v>
      </c>
      <c r="DV80">
        <f t="shared" ca="1" si="49"/>
        <v>0</v>
      </c>
      <c r="DW80">
        <f t="shared" ca="1" si="49"/>
        <v>0</v>
      </c>
      <c r="DX80">
        <f t="shared" ca="1" si="49"/>
        <v>0</v>
      </c>
      <c r="DY80">
        <f t="shared" ca="1" si="49"/>
        <v>0</v>
      </c>
      <c r="DZ80">
        <f t="shared" ca="1" si="49"/>
        <v>0</v>
      </c>
      <c r="EA80">
        <f t="shared" ca="1" si="49"/>
        <v>0</v>
      </c>
      <c r="EB80">
        <f t="shared" ca="1" si="49"/>
        <v>0</v>
      </c>
      <c r="EC80">
        <f t="shared" ca="1" si="49"/>
        <v>0</v>
      </c>
      <c r="ED80">
        <f t="shared" ca="1" si="49"/>
        <v>0</v>
      </c>
      <c r="EE80">
        <f t="shared" ca="1" si="49"/>
        <v>0</v>
      </c>
      <c r="EK80" cm="1">
        <f t="array" aca="1" ref="EK80" ca="1">IF(ISNA(E80),0,OFFSET(INDIRECT("'"&amp;EK$67&amp;"'!g1"),E80-1,)*CL80)</f>
        <v>0</v>
      </c>
      <c r="EL80" cm="1">
        <f t="array" aca="1" ref="EL80" ca="1">IF(ISNA(F80),0,OFFSET(INDIRECT("'"&amp;EL$67&amp;"'!g1"),F80-1,)*CM80)</f>
        <v>1</v>
      </c>
      <c r="EM80" cm="1">
        <f t="array" aca="1" ref="EM80" ca="1">IF(ISNA(G80),0,OFFSET(INDIRECT("'"&amp;EM$67&amp;"'!g1"),G80-1,)*CN80)</f>
        <v>0</v>
      </c>
      <c r="EN80" cm="1">
        <f t="array" aca="1" ref="EN80" ca="1">IF(ISNA(H80),0,OFFSET(INDIRECT("'"&amp;EN$67&amp;"'!g1"),H80-1,)*CO80)</f>
        <v>0</v>
      </c>
      <c r="EO80" cm="1">
        <f t="array" aca="1" ref="EO80" ca="1">IF(ISNA(I80),0,OFFSET(INDIRECT("'"&amp;EO$67&amp;"'!g1"),I80-1,)*CP80)</f>
        <v>0</v>
      </c>
      <c r="EP80" cm="1">
        <f t="array" aca="1" ref="EP80" ca="1">IF(ISNA(J80),0,OFFSET(INDIRECT("'"&amp;EP$67&amp;"'!g1"),J80-1,)*CQ80)</f>
        <v>0</v>
      </c>
      <c r="EQ80" cm="1">
        <f t="array" aca="1" ref="EQ80" ca="1">IF(ISNA(K80),0,OFFSET(INDIRECT("'"&amp;EQ$67&amp;"'!g1"),K80-1,)*CR80)</f>
        <v>0</v>
      </c>
      <c r="ER80" cm="1">
        <f t="array" aca="1" ref="ER80" ca="1">IF(ISNA(L80),0,OFFSET(INDIRECT("'"&amp;ER$67&amp;"'!g1"),L80-1,)*CS80)</f>
        <v>0</v>
      </c>
      <c r="ES80" cm="1">
        <f t="array" aca="1" ref="ES80" ca="1">IF(ISNA(M80),0,OFFSET(INDIRECT("'"&amp;ES$67&amp;"'!g1"),M80-1,)*CT80)</f>
        <v>0</v>
      </c>
      <c r="ET80" cm="1">
        <f t="array" aca="1" ref="ET80" ca="1">IF(ISNA(N80),0,OFFSET(INDIRECT("'"&amp;ET$67&amp;"'!g1"),N80-1,)*CU80)</f>
        <v>0</v>
      </c>
      <c r="EU80" cm="1">
        <f t="array" aca="1" ref="EU80" ca="1">IF(ISNA(O80),0,OFFSET(INDIRECT("'"&amp;EU$67&amp;"'!g1"),O80-1,)*CV80)</f>
        <v>0</v>
      </c>
      <c r="EV80" cm="1">
        <f t="array" aca="1" ref="EV80" ca="1">IF(ISNA(P80),0,OFFSET(INDIRECT("'"&amp;EV$67&amp;"'!g1"),P80-1,)*CW80)</f>
        <v>0</v>
      </c>
      <c r="FB80" s="10" cm="1">
        <f t="array" aca="1" ref="FB80" ca="1">IF(ISNA(E80),0,OFFSET(INDIRECT("'"&amp;EK$67&amp;"'!h1"),E80-1,))</f>
        <v>1</v>
      </c>
      <c r="FC80" s="10" cm="1">
        <f t="array" aca="1" ref="FC80" ca="1">IF(ISNA(F80),0,OFFSET(INDIRECT("'"&amp;EL$67&amp;"'!h1"),F80-1,))</f>
        <v>1</v>
      </c>
      <c r="FD80" s="10" cm="1">
        <f t="array" aca="1" ref="FD80" ca="1">IF(ISNA(G80),0,OFFSET(INDIRECT("'"&amp;EM$67&amp;"'!h1"),G80-1,))</f>
        <v>1</v>
      </c>
      <c r="FE80" s="10" cm="1">
        <f t="array" aca="1" ref="FE80" ca="1">IF(ISNA(H80),0,OFFSET(INDIRECT("'"&amp;EN$67&amp;"'!h1"),H80-1,))</f>
        <v>1</v>
      </c>
      <c r="FF80" s="10" cm="1">
        <f t="array" aca="1" ref="FF80" ca="1">IF(ISNA(I80),0,OFFSET(INDIRECT("'"&amp;EO$67&amp;"'!h1"),I80-1,))</f>
        <v>1</v>
      </c>
      <c r="FG80" s="10" cm="1">
        <f t="array" aca="1" ref="FG80" ca="1">IF(ISNA(J80),0,OFFSET(INDIRECT("'"&amp;EP$67&amp;"'!h1"),J80-1,))</f>
        <v>1</v>
      </c>
      <c r="FH80" s="10" cm="1">
        <f t="array" aca="1" ref="FH80" ca="1">IF(ISNA(K80),0,OFFSET(INDIRECT("'"&amp;EQ$67&amp;"'!h1"),K80-1,))</f>
        <v>10000</v>
      </c>
      <c r="FI80" s="10" cm="1">
        <f t="array" aca="1" ref="FI80" ca="1">IF(ISNA(L80),0,OFFSET(INDIRECT("'"&amp;ER$67&amp;"'!h1"),L80-1,))</f>
        <v>10000</v>
      </c>
      <c r="FJ80" s="10" cm="1">
        <f t="array" aca="1" ref="FJ80" ca="1">IF(ISNA(M80),0,OFFSET(INDIRECT("'"&amp;ES$67&amp;"'!h1"),M80-1,))</f>
        <v>10000</v>
      </c>
      <c r="FK80" s="10" cm="1">
        <f t="array" aca="1" ref="FK80" ca="1">IF(ISNA(N80),0,OFFSET(INDIRECT("'"&amp;ET$67&amp;"'!h1"),N80-1,))</f>
        <v>1</v>
      </c>
      <c r="FL80" s="10" cm="1">
        <f t="array" aca="1" ref="FL80" ca="1">IF(ISNA(O80),0,OFFSET(INDIRECT("'"&amp;EU$67&amp;"'!h1"),O80-1,))</f>
        <v>1</v>
      </c>
      <c r="FM80" s="10" cm="1">
        <f t="array" aca="1" ref="FM80" ca="1">IF(ISNA(P80),0,OFFSET(INDIRECT("'"&amp;EV$67&amp;"'!h1"),P80-1,))</f>
        <v>0</v>
      </c>
      <c r="FN80" s="10"/>
      <c r="FO80" s="10"/>
      <c r="FP80" s="10"/>
      <c r="FQ80" s="10"/>
      <c r="FS80">
        <f t="shared" ca="1" si="61"/>
        <v>1296</v>
      </c>
      <c r="FT80">
        <f t="shared" ca="1" si="62"/>
        <v>346.21380194090301</v>
      </c>
      <c r="FU80">
        <f t="shared" ca="1" si="63"/>
        <v>0</v>
      </c>
      <c r="FV80">
        <f t="shared" ca="1" si="64"/>
        <v>10000</v>
      </c>
      <c r="FW80" s="3">
        <f t="shared" ca="1" si="65"/>
        <v>0</v>
      </c>
      <c r="FX80" s="4" t="e">
        <f t="shared" ca="1" si="66"/>
        <v>#N/A</v>
      </c>
      <c r="FZ80" s="12">
        <f t="shared" ca="1" si="50"/>
        <v>1296</v>
      </c>
      <c r="GA80" s="24">
        <f t="shared" ca="1" si="67"/>
        <v>1.6111111111111112</v>
      </c>
      <c r="GB80" s="24">
        <f t="shared" ca="1" si="51"/>
        <v>0</v>
      </c>
      <c r="GC80" s="24">
        <f t="shared" ca="1" si="51"/>
        <v>8.0555555555555554</v>
      </c>
      <c r="GD80" s="24" t="e">
        <f t="shared" ca="1" si="51"/>
        <v>#N/A</v>
      </c>
      <c r="GE80" s="24">
        <f t="shared" ca="1" si="51"/>
        <v>2.6111111111111112</v>
      </c>
      <c r="GF80" s="24">
        <f t="shared" ca="1" si="51"/>
        <v>2.5</v>
      </c>
      <c r="GG80" s="24">
        <f t="shared" ca="1" si="51"/>
        <v>2.0555555555555554</v>
      </c>
      <c r="GH80" s="24">
        <f t="shared" ca="1" si="51"/>
        <v>0.5</v>
      </c>
      <c r="GI80" s="24">
        <f t="shared" ca="1" si="51"/>
        <v>2.6111111111111112</v>
      </c>
      <c r="GJ80" s="24" t="e">
        <f t="shared" ca="1" si="51"/>
        <v>#N/A</v>
      </c>
      <c r="GK80" s="24" t="e">
        <f t="shared" ca="1" si="51"/>
        <v>#N/A</v>
      </c>
      <c r="GL80" s="24" t="e">
        <f t="shared" ca="1" si="51"/>
        <v>#N/A</v>
      </c>
      <c r="GM80" s="24"/>
      <c r="GN80">
        <f t="shared" ca="1" si="68"/>
        <v>1296</v>
      </c>
      <c r="GO80" s="4" t="e">
        <f t="shared" ca="1" si="69"/>
        <v>#N/A</v>
      </c>
      <c r="GP80" s="4" t="e">
        <f t="shared" ca="1" si="52"/>
        <v>#N/A</v>
      </c>
      <c r="GQ80" s="4" t="e">
        <f t="shared" ca="1" si="52"/>
        <v>#N/A</v>
      </c>
      <c r="GR80" s="4" t="e">
        <f t="shared" ca="1" si="52"/>
        <v>#N/A</v>
      </c>
      <c r="GS80" s="4" t="e">
        <f t="shared" ca="1" si="52"/>
        <v>#N/A</v>
      </c>
      <c r="GT80" s="4" t="e">
        <f t="shared" ca="1" si="70"/>
        <v>#N/A</v>
      </c>
      <c r="GU80" s="4" t="e">
        <f t="shared" ca="1" si="53"/>
        <v>#N/A</v>
      </c>
      <c r="GV80" s="4" t="e">
        <f t="shared" ca="1" si="53"/>
        <v>#N/A</v>
      </c>
      <c r="GW80" s="4" t="e">
        <f t="shared" ca="1" si="53"/>
        <v>#N/A</v>
      </c>
      <c r="GX80" s="4" t="e">
        <f t="shared" ca="1" si="53"/>
        <v>#N/A</v>
      </c>
      <c r="GY80" s="4" t="e">
        <f t="shared" ca="1" si="53"/>
        <v>#N/A</v>
      </c>
      <c r="GZ80" s="4" t="e">
        <f t="shared" ca="1" si="53"/>
        <v>#N/A</v>
      </c>
      <c r="HB80" s="12">
        <f t="shared" ca="1" si="54"/>
        <v>1296</v>
      </c>
      <c r="HC80" s="3">
        <f t="shared" ca="1" si="71"/>
        <v>0</v>
      </c>
      <c r="HD80" s="3">
        <f t="shared" ca="1" si="55"/>
        <v>1</v>
      </c>
      <c r="HE80" s="3">
        <f t="shared" ca="1" si="55"/>
        <v>0</v>
      </c>
      <c r="HF80" s="3">
        <f t="shared" ca="1" si="55"/>
        <v>0</v>
      </c>
      <c r="HG80" s="3">
        <f t="shared" ca="1" si="55"/>
        <v>0</v>
      </c>
      <c r="HH80" s="3">
        <f t="shared" ca="1" si="55"/>
        <v>0</v>
      </c>
      <c r="HI80" s="3">
        <f t="shared" ca="1" si="55"/>
        <v>0</v>
      </c>
      <c r="HJ80" s="3">
        <f t="shared" ca="1" si="55"/>
        <v>0</v>
      </c>
      <c r="HK80" s="3">
        <f t="shared" ca="1" si="55"/>
        <v>0</v>
      </c>
      <c r="HL80" s="3">
        <f t="shared" ca="1" si="55"/>
        <v>0</v>
      </c>
      <c r="HM80" s="3">
        <f t="shared" ca="1" si="55"/>
        <v>0</v>
      </c>
      <c r="HN80" s="3">
        <f t="shared" ca="1" si="55"/>
        <v>0</v>
      </c>
    </row>
    <row r="81" spans="1:222" x14ac:dyDescent="0.2">
      <c r="A81" t="str" cm="1">
        <f t="array" aca="1" ref="A81" ca="1">INDIRECT($A$67&amp;"!A"&amp;ROW(C14)+$B$64)</f>
        <v>[[1152,4,42]]</v>
      </c>
      <c r="B81" cm="1">
        <f t="array" aca="1" ref="B81" ca="1">INDIRECT($A$67&amp;"!b"&amp;ROW(D14)+$B$64)</f>
        <v>1152</v>
      </c>
      <c r="C81">
        <f t="shared" ca="1" si="56"/>
        <v>36</v>
      </c>
      <c r="E81">
        <f t="shared" ca="1" si="43"/>
        <v>38</v>
      </c>
      <c r="F81">
        <f t="shared" ca="1" si="43"/>
        <v>39</v>
      </c>
      <c r="G81">
        <f t="shared" ca="1" si="43"/>
        <v>38</v>
      </c>
      <c r="H81">
        <f t="shared" ca="1" si="43"/>
        <v>38</v>
      </c>
      <c r="I81">
        <f t="shared" ca="1" si="43"/>
        <v>43</v>
      </c>
      <c r="J81">
        <f t="shared" ca="1" si="43"/>
        <v>38</v>
      </c>
      <c r="K81">
        <f t="shared" ca="1" si="43"/>
        <v>45</v>
      </c>
      <c r="L81">
        <f t="shared" ca="1" si="43"/>
        <v>47</v>
      </c>
      <c r="M81">
        <f t="shared" ca="1" si="43"/>
        <v>44</v>
      </c>
      <c r="N81">
        <f t="shared" ca="1" si="43"/>
        <v>38</v>
      </c>
      <c r="O81">
        <f t="shared" ca="1" si="43"/>
        <v>38</v>
      </c>
      <c r="P81" t="e">
        <f t="shared" ca="1" si="43"/>
        <v>#N/A</v>
      </c>
      <c r="V81" cm="1">
        <f t="array" aca="1" ref="V81" ca="1">IF(ISNA(E81),,OFFSET(INDIRECT("'"&amp;V$67&amp;"'!d1"),E81-1,))</f>
        <v>42</v>
      </c>
      <c r="W81" cm="1">
        <f t="array" aca="1" ref="W81" ca="1">IF(ISNA(F81),,OFFSET(INDIRECT("'"&amp;W$67&amp;"'!d1"),F81-1,))</f>
        <v>36</v>
      </c>
      <c r="X81" cm="1">
        <f t="array" aca="1" ref="X81" ca="1">IF(ISNA(G81),,OFFSET(INDIRECT("'"&amp;X$67&amp;"'!d1"),G81-1,))</f>
        <v>296</v>
      </c>
      <c r="Y81" cm="1">
        <f t="array" aca="1" ref="Y81" ca="1">IF(ISNA(H81),,OFFSET(INDIRECT("'"&amp;Y$67&amp;"'!d1"),H81-1,))</f>
        <v>0</v>
      </c>
      <c r="Z81" cm="1">
        <f t="array" aca="1" ref="Z81" ca="1">IF(ISNA(I81),,OFFSET(INDIRECT("'"&amp;Z$67&amp;"'!d1"),I81-1,))</f>
        <v>82</v>
      </c>
      <c r="AA81" cm="1">
        <f t="array" aca="1" ref="AA81" ca="1">IF(ISNA(J81),,OFFSET(INDIRECT("'"&amp;AA$67&amp;"'!d1"),J81-1,))</f>
        <v>66</v>
      </c>
      <c r="AB81" cm="1">
        <f t="array" aca="1" ref="AB81" ca="1">IF(ISNA(K81),,OFFSET(INDIRECT("'"&amp;AB$67&amp;"'!d1"),K81-1,))</f>
        <v>78</v>
      </c>
      <c r="AC81" cm="1">
        <f t="array" aca="1" ref="AC81" ca="1">IF(ISNA(L81),,OFFSET(INDIRECT("'"&amp;AC$67&amp;"'!d1"),L81-1,))</f>
        <v>40</v>
      </c>
      <c r="AD81" cm="1">
        <f t="array" aca="1" ref="AD81" ca="1">IF(ISNA(M81),,OFFSET(INDIRECT("'"&amp;AD$67&amp;"'!d1"),M81-1,))</f>
        <v>76</v>
      </c>
      <c r="AE81" cm="1">
        <f t="array" aca="1" ref="AE81" ca="1">IF(ISNA(N81),,OFFSET(INDIRECT("'"&amp;AE$67&amp;"'!d1"),N81-1,))</f>
        <v>0</v>
      </c>
      <c r="AF81" cm="1">
        <f t="array" aca="1" ref="AF81" ca="1">IF(ISNA(O81),,OFFSET(INDIRECT("'"&amp;AF$67&amp;"'!d1"),O81-1,))</f>
        <v>0</v>
      </c>
      <c r="AG81" cm="1">
        <f t="array" aca="1" ref="AG81" ca="1">IF(ISNA(P81),,OFFSET(INDIRECT("'"&amp;AG$67&amp;"'!d1"),P81-1,))</f>
        <v>0</v>
      </c>
      <c r="AM81">
        <f t="shared" ca="1" si="57"/>
        <v>0</v>
      </c>
      <c r="AN81">
        <f t="shared" ca="1" si="44"/>
        <v>0</v>
      </c>
      <c r="AO81">
        <f t="shared" ca="1" si="44"/>
        <v>0</v>
      </c>
      <c r="AP81">
        <f t="shared" ca="1" si="44"/>
        <v>0</v>
      </c>
      <c r="AQ81">
        <f t="shared" ca="1" si="58"/>
        <v>0</v>
      </c>
      <c r="AV81" t="str">
        <f t="shared" ca="1" si="59"/>
        <v/>
      </c>
      <c r="AW81" t="str">
        <f t="shared" ca="1" si="45"/>
        <v/>
      </c>
      <c r="AX81" t="str">
        <f t="shared" ca="1" si="45"/>
        <v/>
      </c>
      <c r="AY81" t="str">
        <f t="shared" ca="1" si="45"/>
        <v/>
      </c>
      <c r="AZ81" t="str">
        <f t="shared" ca="1" si="45"/>
        <v/>
      </c>
      <c r="BD81">
        <f t="shared" ca="1" si="46"/>
        <v>1</v>
      </c>
      <c r="BE81">
        <f t="shared" ca="1" si="46"/>
        <v>1</v>
      </c>
      <c r="BF81">
        <f t="shared" ca="1" si="46"/>
        <v>1</v>
      </c>
      <c r="BG81">
        <f t="shared" ca="1" si="46"/>
        <v>0</v>
      </c>
      <c r="BH81">
        <f t="shared" ca="1" si="46"/>
        <v>1</v>
      </c>
      <c r="BI81">
        <f t="shared" ca="1" si="46"/>
        <v>1</v>
      </c>
      <c r="BJ81">
        <f t="shared" ca="1" si="46"/>
        <v>1</v>
      </c>
      <c r="BK81">
        <f t="shared" ca="1" si="46"/>
        <v>1</v>
      </c>
      <c r="BL81">
        <f t="shared" ca="1" si="46"/>
        <v>1</v>
      </c>
      <c r="BM81">
        <f t="shared" ca="1" si="46"/>
        <v>0</v>
      </c>
      <c r="BN81">
        <f t="shared" ca="1" si="46"/>
        <v>0</v>
      </c>
      <c r="BO81">
        <f t="shared" ca="1" si="46"/>
        <v>0</v>
      </c>
      <c r="BU81">
        <f t="shared" ca="1" si="47"/>
        <v>42</v>
      </c>
      <c r="BV81">
        <f t="shared" ca="1" si="47"/>
        <v>36</v>
      </c>
      <c r="BW81">
        <f t="shared" ca="1" si="47"/>
        <v>296</v>
      </c>
      <c r="BX81">
        <f t="shared" ca="1" si="47"/>
        <v>1152</v>
      </c>
      <c r="BY81">
        <f t="shared" ca="1" si="47"/>
        <v>82</v>
      </c>
      <c r="BZ81">
        <f t="shared" ca="1" si="47"/>
        <v>66</v>
      </c>
      <c r="CA81">
        <f t="shared" ca="1" si="47"/>
        <v>78</v>
      </c>
      <c r="CB81">
        <f t="shared" ca="1" si="47"/>
        <v>40</v>
      </c>
      <c r="CC81">
        <f t="shared" ca="1" si="47"/>
        <v>76</v>
      </c>
      <c r="CD81">
        <f t="shared" ca="1" si="47"/>
        <v>1152</v>
      </c>
      <c r="CE81">
        <f t="shared" ca="1" si="47"/>
        <v>1152</v>
      </c>
      <c r="CF81">
        <f t="shared" ca="1" si="47"/>
        <v>1152</v>
      </c>
      <c r="CL81">
        <f t="shared" ca="1" si="48"/>
        <v>0</v>
      </c>
      <c r="CM81">
        <f t="shared" ca="1" si="48"/>
        <v>1</v>
      </c>
      <c r="CN81">
        <f t="shared" ca="1" si="48"/>
        <v>0</v>
      </c>
      <c r="CO81">
        <f t="shared" ca="1" si="48"/>
        <v>0</v>
      </c>
      <c r="CP81">
        <f t="shared" ca="1" si="48"/>
        <v>0</v>
      </c>
      <c r="CQ81">
        <f t="shared" ca="1" si="48"/>
        <v>0</v>
      </c>
      <c r="CR81">
        <f t="shared" ca="1" si="48"/>
        <v>0</v>
      </c>
      <c r="CS81">
        <f t="shared" ca="1" si="48"/>
        <v>0</v>
      </c>
      <c r="CT81">
        <f t="shared" ca="1" si="48"/>
        <v>0</v>
      </c>
      <c r="CU81">
        <f t="shared" ca="1" si="48"/>
        <v>0</v>
      </c>
      <c r="CV81">
        <f t="shared" ca="1" si="48"/>
        <v>0</v>
      </c>
      <c r="CW81">
        <f t="shared" ca="1" si="48"/>
        <v>0</v>
      </c>
      <c r="DC81" cm="1">
        <f t="array" aca="1" ref="DC81" ca="1">IF(ISNA(E81),,OFFSET(INDIRECT("'"&amp;DT$67&amp;"'!f1"),E81-1,))*1</f>
        <v>28919.127489516901</v>
      </c>
      <c r="DD81" cm="1">
        <f t="array" aca="1" ref="DD81" ca="1">IF(ISNA(F81),,OFFSET(INDIRECT("'"&amp;DU$67&amp;"'!f1"),F81-1,))*1</f>
        <v>28821.4918538448</v>
      </c>
      <c r="DE81" cm="1">
        <f t="array" aca="1" ref="DE81" ca="1">IF(ISNA(G81),,OFFSET(INDIRECT("'"&amp;DV$67&amp;"'!f1"),G81-1,))*1</f>
        <v>28800.229489412999</v>
      </c>
      <c r="DF81" cm="1">
        <f t="array" aca="1" ref="DF81" ca="1">IF(ISNA(H81),,OFFSET(INDIRECT("'"&amp;DW$67&amp;"'!f1"),H81-1,))*1</f>
        <v>28800.1160725876</v>
      </c>
      <c r="DG81" cm="1">
        <f t="array" aca="1" ref="DG81" ca="1">IF(ISNA(I81),,OFFSET(INDIRECT("'"&amp;DX$67&amp;"'!f1"),I81-1,))*1</f>
        <v>28803.241506332899</v>
      </c>
      <c r="DH81" cm="1">
        <f t="array" aca="1" ref="DH81" ca="1">IF(ISNA(J81),,OFFSET(INDIRECT("'"&amp;DY$67&amp;"'!f1"),J81-1,))*1</f>
        <v>26.018139168620099</v>
      </c>
      <c r="DI81" cm="1">
        <f t="array" aca="1" ref="DI81" ca="1">IF(ISNA(K81),,OFFSET(INDIRECT("'"&amp;DZ$67&amp;"'!f1"),K81-1,))*1</f>
        <v>256.18759776931199</v>
      </c>
      <c r="DJ81" cm="1">
        <f t="array" aca="1" ref="DJ81" ca="1">IF(ISNA(L81),,OFFSET(INDIRECT("'"&amp;EA$67&amp;"'!f1"),L81-1,))*1</f>
        <v>260.16340336669202</v>
      </c>
      <c r="DK81" cm="1">
        <f t="array" aca="1" ref="DK81" ca="1">IF(ISNA(M81),,OFFSET(INDIRECT("'"&amp;EB$67&amp;"'!f1"),M81-1,))*1</f>
        <v>3202.7105172849201</v>
      </c>
      <c r="DL81" cm="1">
        <f t="array" aca="1" ref="DL81" ca="1">IF(ISNA(N81),,OFFSET(INDIRECT("'"&amp;EC$67&amp;"'!f1"),N81-1,))*1</f>
        <v>0.116555643995525</v>
      </c>
      <c r="DM81" cm="1">
        <f t="array" aca="1" ref="DM81" ca="1">IF(ISNA(O81),,OFFSET(INDIRECT("'"&amp;ED$67&amp;"'!f1"),O81-1,))*1</f>
        <v>0.12936940199870101</v>
      </c>
      <c r="DN81" cm="1">
        <f t="array" aca="1" ref="DN81" ca="1">IF(ISNA(P81),,OFFSET(INDIRECT("'"&amp;EE$67&amp;"'!f1"),P81-1,))*1</f>
        <v>0</v>
      </c>
      <c r="DT81">
        <f t="shared" ca="1" si="60"/>
        <v>0</v>
      </c>
      <c r="DU81">
        <f t="shared" ca="1" si="49"/>
        <v>1</v>
      </c>
      <c r="DV81">
        <f t="shared" ca="1" si="49"/>
        <v>0</v>
      </c>
      <c r="DW81">
        <f t="shared" ca="1" si="49"/>
        <v>0</v>
      </c>
      <c r="DX81">
        <f t="shared" ca="1" si="49"/>
        <v>0</v>
      </c>
      <c r="DY81">
        <f t="shared" ca="1" si="49"/>
        <v>0</v>
      </c>
      <c r="DZ81">
        <f t="shared" ca="1" si="49"/>
        <v>0</v>
      </c>
      <c r="EA81">
        <f t="shared" ca="1" si="49"/>
        <v>0</v>
      </c>
      <c r="EB81">
        <f t="shared" ca="1" si="49"/>
        <v>0</v>
      </c>
      <c r="EC81">
        <f t="shared" ca="1" si="49"/>
        <v>0</v>
      </c>
      <c r="ED81">
        <f t="shared" ca="1" si="49"/>
        <v>0</v>
      </c>
      <c r="EE81">
        <f t="shared" ca="1" si="49"/>
        <v>0</v>
      </c>
      <c r="EK81" cm="1">
        <f t="array" aca="1" ref="EK81" ca="1">IF(ISNA(E81),0,OFFSET(INDIRECT("'"&amp;EK$67&amp;"'!g1"),E81-1,)*CL81)</f>
        <v>0</v>
      </c>
      <c r="EL81" cm="1">
        <f t="array" aca="1" ref="EL81" ca="1">IF(ISNA(F81),0,OFFSET(INDIRECT("'"&amp;EL$67&amp;"'!g1"),F81-1,)*CM81)</f>
        <v>1</v>
      </c>
      <c r="EM81" cm="1">
        <f t="array" aca="1" ref="EM81" ca="1">IF(ISNA(G81),0,OFFSET(INDIRECT("'"&amp;EM$67&amp;"'!g1"),G81-1,)*CN81)</f>
        <v>0</v>
      </c>
      <c r="EN81" cm="1">
        <f t="array" aca="1" ref="EN81" ca="1">IF(ISNA(H81),0,OFFSET(INDIRECT("'"&amp;EN$67&amp;"'!g1"),H81-1,)*CO81)</f>
        <v>0</v>
      </c>
      <c r="EO81" cm="1">
        <f t="array" aca="1" ref="EO81" ca="1">IF(ISNA(I81),0,OFFSET(INDIRECT("'"&amp;EO$67&amp;"'!g1"),I81-1,)*CP81)</f>
        <v>0</v>
      </c>
      <c r="EP81" cm="1">
        <f t="array" aca="1" ref="EP81" ca="1">IF(ISNA(J81),0,OFFSET(INDIRECT("'"&amp;EP$67&amp;"'!g1"),J81-1,)*CQ81)</f>
        <v>0</v>
      </c>
      <c r="EQ81" cm="1">
        <f t="array" aca="1" ref="EQ81" ca="1">IF(ISNA(K81),0,OFFSET(INDIRECT("'"&amp;EQ$67&amp;"'!g1"),K81-1,)*CR81)</f>
        <v>0</v>
      </c>
      <c r="ER81" cm="1">
        <f t="array" aca="1" ref="ER81" ca="1">IF(ISNA(L81),0,OFFSET(INDIRECT("'"&amp;ER$67&amp;"'!g1"),L81-1,)*CS81)</f>
        <v>0</v>
      </c>
      <c r="ES81" cm="1">
        <f t="array" aca="1" ref="ES81" ca="1">IF(ISNA(M81),0,OFFSET(INDIRECT("'"&amp;ES$67&amp;"'!g1"),M81-1,)*CT81)</f>
        <v>0</v>
      </c>
      <c r="ET81" cm="1">
        <f t="array" aca="1" ref="ET81" ca="1">IF(ISNA(N81),0,OFFSET(INDIRECT("'"&amp;ET$67&amp;"'!g1"),N81-1,)*CU81)</f>
        <v>0</v>
      </c>
      <c r="EU81" cm="1">
        <f t="array" aca="1" ref="EU81" ca="1">IF(ISNA(O81),0,OFFSET(INDIRECT("'"&amp;EU$67&amp;"'!g1"),O81-1,)*CV81)</f>
        <v>0</v>
      </c>
      <c r="EV81" cm="1">
        <f t="array" aca="1" ref="EV81" ca="1">IF(ISNA(P81),0,OFFSET(INDIRECT("'"&amp;EV$67&amp;"'!g1"),P81-1,)*CW81)</f>
        <v>0</v>
      </c>
      <c r="FB81" s="10" cm="1">
        <f t="array" aca="1" ref="FB81" ca="1">IF(ISNA(E81),0,OFFSET(INDIRECT("'"&amp;EK$67&amp;"'!h1"),E81-1,))</f>
        <v>1</v>
      </c>
      <c r="FC81" s="10" cm="1">
        <f t="array" aca="1" ref="FC81" ca="1">IF(ISNA(F81),0,OFFSET(INDIRECT("'"&amp;EL$67&amp;"'!h1"),F81-1,))</f>
        <v>1</v>
      </c>
      <c r="FD81" s="10" cm="1">
        <f t="array" aca="1" ref="FD81" ca="1">IF(ISNA(G81),0,OFFSET(INDIRECT("'"&amp;EM$67&amp;"'!h1"),G81-1,))</f>
        <v>1</v>
      </c>
      <c r="FE81" s="10" cm="1">
        <f t="array" aca="1" ref="FE81" ca="1">IF(ISNA(H81),0,OFFSET(INDIRECT("'"&amp;EN$67&amp;"'!h1"),H81-1,))</f>
        <v>1</v>
      </c>
      <c r="FF81" s="10" cm="1">
        <f t="array" aca="1" ref="FF81" ca="1">IF(ISNA(I81),0,OFFSET(INDIRECT("'"&amp;EO$67&amp;"'!h1"),I81-1,))</f>
        <v>1</v>
      </c>
      <c r="FG81" s="10" cm="1">
        <f t="array" aca="1" ref="FG81" ca="1">IF(ISNA(J81),0,OFFSET(INDIRECT("'"&amp;EP$67&amp;"'!h1"),J81-1,))</f>
        <v>1</v>
      </c>
      <c r="FH81" s="10" cm="1">
        <f t="array" aca="1" ref="FH81" ca="1">IF(ISNA(K81),0,OFFSET(INDIRECT("'"&amp;EQ$67&amp;"'!h1"),K81-1,))</f>
        <v>10000</v>
      </c>
      <c r="FI81" s="10" cm="1">
        <f t="array" aca="1" ref="FI81" ca="1">IF(ISNA(L81),0,OFFSET(INDIRECT("'"&amp;ER$67&amp;"'!h1"),L81-1,))</f>
        <v>10000</v>
      </c>
      <c r="FJ81" s="10" cm="1">
        <f t="array" aca="1" ref="FJ81" ca="1">IF(ISNA(M81),0,OFFSET(INDIRECT("'"&amp;ES$67&amp;"'!h1"),M81-1,))</f>
        <v>10000</v>
      </c>
      <c r="FK81" s="10" cm="1">
        <f t="array" aca="1" ref="FK81" ca="1">IF(ISNA(N81),0,OFFSET(INDIRECT("'"&amp;ET$67&amp;"'!h1"),N81-1,))</f>
        <v>1</v>
      </c>
      <c r="FL81" s="10" cm="1">
        <f t="array" aca="1" ref="FL81" ca="1">IF(ISNA(O81),0,OFFSET(INDIRECT("'"&amp;EU$67&amp;"'!h1"),O81-1,))</f>
        <v>1</v>
      </c>
      <c r="FM81" s="10" cm="1">
        <f t="array" aca="1" ref="FM81" ca="1">IF(ISNA(P81),0,OFFSET(INDIRECT("'"&amp;EV$67&amp;"'!h1"),P81-1,))</f>
        <v>0</v>
      </c>
      <c r="FN81" s="10"/>
      <c r="FO81" s="10"/>
      <c r="FP81" s="10"/>
      <c r="FQ81" s="10"/>
      <c r="FS81">
        <f t="shared" ca="1" si="61"/>
        <v>1152</v>
      </c>
      <c r="FT81">
        <f t="shared" ca="1" si="62"/>
        <v>256.18759776931199</v>
      </c>
      <c r="FU81">
        <f t="shared" ca="1" si="63"/>
        <v>0</v>
      </c>
      <c r="FV81">
        <f t="shared" ca="1" si="64"/>
        <v>10000</v>
      </c>
      <c r="FW81" s="3">
        <f t="shared" ca="1" si="65"/>
        <v>0</v>
      </c>
      <c r="FX81" s="4" t="e">
        <f t="shared" ca="1" si="66"/>
        <v>#N/A</v>
      </c>
      <c r="FZ81" s="12">
        <f t="shared" ca="1" si="50"/>
        <v>1152</v>
      </c>
      <c r="GA81" s="24">
        <f t="shared" ca="1" si="67"/>
        <v>0.16666666666666666</v>
      </c>
      <c r="GB81" s="24">
        <f t="shared" ca="1" si="51"/>
        <v>0</v>
      </c>
      <c r="GC81" s="24">
        <f t="shared" ca="1" si="51"/>
        <v>7.2222222222222223</v>
      </c>
      <c r="GD81" s="24" t="e">
        <f t="shared" ca="1" si="51"/>
        <v>#N/A</v>
      </c>
      <c r="GE81" s="24">
        <f t="shared" ca="1" si="51"/>
        <v>1.2777777777777777</v>
      </c>
      <c r="GF81" s="24">
        <f t="shared" ca="1" si="51"/>
        <v>0.83333333333333337</v>
      </c>
      <c r="GG81" s="24">
        <f t="shared" ca="1" si="51"/>
        <v>1.1666666666666667</v>
      </c>
      <c r="GH81" s="24">
        <f t="shared" ca="1" si="51"/>
        <v>0.1111111111111111</v>
      </c>
      <c r="GI81" s="24">
        <f t="shared" ca="1" si="51"/>
        <v>1.1111111111111112</v>
      </c>
      <c r="GJ81" s="24" t="e">
        <f t="shared" ca="1" si="51"/>
        <v>#N/A</v>
      </c>
      <c r="GK81" s="24" t="e">
        <f t="shared" ca="1" si="51"/>
        <v>#N/A</v>
      </c>
      <c r="GL81" s="24" t="e">
        <f t="shared" ca="1" si="51"/>
        <v>#N/A</v>
      </c>
      <c r="GM81" s="24"/>
      <c r="GN81">
        <f t="shared" ca="1" si="68"/>
        <v>1152</v>
      </c>
      <c r="GO81" s="4" t="e">
        <f t="shared" ca="1" si="69"/>
        <v>#N/A</v>
      </c>
      <c r="GP81" s="4" t="e">
        <f t="shared" ca="1" si="52"/>
        <v>#N/A</v>
      </c>
      <c r="GQ81" s="4" t="e">
        <f t="shared" ca="1" si="52"/>
        <v>#N/A</v>
      </c>
      <c r="GR81" s="4" t="e">
        <f t="shared" ca="1" si="52"/>
        <v>#N/A</v>
      </c>
      <c r="GS81" s="4" t="e">
        <f t="shared" ca="1" si="52"/>
        <v>#N/A</v>
      </c>
      <c r="GT81" s="4" t="e">
        <f t="shared" ca="1" si="70"/>
        <v>#N/A</v>
      </c>
      <c r="GU81" s="4" t="e">
        <f t="shared" ca="1" si="53"/>
        <v>#N/A</v>
      </c>
      <c r="GV81" s="4" t="e">
        <f t="shared" ca="1" si="53"/>
        <v>#N/A</v>
      </c>
      <c r="GW81" s="4" t="e">
        <f t="shared" ca="1" si="53"/>
        <v>#N/A</v>
      </c>
      <c r="GX81" s="4" t="e">
        <f t="shared" ca="1" si="53"/>
        <v>#N/A</v>
      </c>
      <c r="GY81" s="4" t="e">
        <f t="shared" ca="1" si="53"/>
        <v>#N/A</v>
      </c>
      <c r="GZ81" s="4" t="e">
        <f t="shared" ca="1" si="53"/>
        <v>#N/A</v>
      </c>
      <c r="HB81" s="12">
        <f t="shared" ca="1" si="54"/>
        <v>1152</v>
      </c>
      <c r="HC81" s="3">
        <f t="shared" ca="1" si="71"/>
        <v>0</v>
      </c>
      <c r="HD81" s="3">
        <f t="shared" ca="1" si="55"/>
        <v>1</v>
      </c>
      <c r="HE81" s="3">
        <f t="shared" ca="1" si="55"/>
        <v>0</v>
      </c>
      <c r="HF81" s="3">
        <f t="shared" ca="1" si="55"/>
        <v>0</v>
      </c>
      <c r="HG81" s="3">
        <f t="shared" ca="1" si="55"/>
        <v>0</v>
      </c>
      <c r="HH81" s="3">
        <f t="shared" ca="1" si="55"/>
        <v>0</v>
      </c>
      <c r="HI81" s="3">
        <f t="shared" ca="1" si="55"/>
        <v>0</v>
      </c>
      <c r="HJ81" s="3">
        <f t="shared" ca="1" si="55"/>
        <v>0</v>
      </c>
      <c r="HK81" s="3">
        <f t="shared" ca="1" si="55"/>
        <v>0</v>
      </c>
      <c r="HL81" s="3">
        <f t="shared" ca="1" si="55"/>
        <v>0</v>
      </c>
      <c r="HM81" s="3">
        <f t="shared" ca="1" si="55"/>
        <v>0</v>
      </c>
      <c r="HN81" s="3">
        <f t="shared" ca="1" si="55"/>
        <v>0</v>
      </c>
    </row>
    <row r="82" spans="1:222" x14ac:dyDescent="0.2">
      <c r="A82" t="str" cm="1">
        <f t="array" aca="1" ref="A82" ca="1">INDIRECT($A$67&amp;"!A"&amp;ROW(C15)+$B$64)</f>
        <v>[[1728,4,64]]</v>
      </c>
      <c r="B82" cm="1">
        <f t="array" aca="1" ref="B82" ca="1">INDIRECT($A$67&amp;"!b"&amp;ROW(D15)+$B$64)</f>
        <v>1728</v>
      </c>
      <c r="C82">
        <f t="shared" ca="1" si="56"/>
        <v>64</v>
      </c>
      <c r="E82">
        <f t="shared" ca="1" si="43"/>
        <v>39</v>
      </c>
      <c r="F82">
        <f t="shared" ca="1" si="43"/>
        <v>40</v>
      </c>
      <c r="G82">
        <f t="shared" ca="1" si="43"/>
        <v>39</v>
      </c>
      <c r="H82">
        <f t="shared" ca="1" si="43"/>
        <v>39</v>
      </c>
      <c r="I82">
        <f t="shared" ca="1" si="43"/>
        <v>46</v>
      </c>
      <c r="J82">
        <f t="shared" ca="1" si="43"/>
        <v>39</v>
      </c>
      <c r="K82">
        <f t="shared" ca="1" si="43"/>
        <v>46</v>
      </c>
      <c r="L82">
        <f t="shared" ca="1" si="43"/>
        <v>48</v>
      </c>
      <c r="M82">
        <f t="shared" ca="1" si="43"/>
        <v>45</v>
      </c>
      <c r="N82">
        <f t="shared" ca="1" si="43"/>
        <v>39</v>
      </c>
      <c r="O82">
        <f t="shared" ca="1" si="43"/>
        <v>39</v>
      </c>
      <c r="P82" t="e">
        <f t="shared" ca="1" si="43"/>
        <v>#N/A</v>
      </c>
      <c r="V82" cm="1">
        <f t="array" aca="1" ref="V82" ca="1">IF(ISNA(E82),,OFFSET(INDIRECT("'"&amp;V$67&amp;"'!d1"),E82-1,))</f>
        <v>108</v>
      </c>
      <c r="W82" cm="1">
        <f t="array" aca="1" ref="W82" ca="1">IF(ISNA(F82),,OFFSET(INDIRECT("'"&amp;W$67&amp;"'!d1"),F82-1,))</f>
        <v>76</v>
      </c>
      <c r="X82" cm="1">
        <f t="array" aca="1" ref="X82" ca="1">IF(ISNA(G82),,OFFSET(INDIRECT("'"&amp;X$67&amp;"'!d1"),G82-1,))</f>
        <v>422</v>
      </c>
      <c r="Y82" cm="1">
        <f t="array" aca="1" ref="Y82" ca="1">IF(ISNA(H82),,OFFSET(INDIRECT("'"&amp;Y$67&amp;"'!d1"),H82-1,))</f>
        <v>0</v>
      </c>
      <c r="Z82" cm="1">
        <f t="array" aca="1" ref="Z82" ca="1">IF(ISNA(I82),,OFFSET(INDIRECT("'"&amp;Z$67&amp;"'!d1"),I82-1,))</f>
        <v>120</v>
      </c>
      <c r="AA82" cm="1">
        <f t="array" aca="1" ref="AA82" ca="1">IF(ISNA(J82),,OFFSET(INDIRECT("'"&amp;AA$67&amp;"'!d1"),J82-1,))</f>
        <v>184</v>
      </c>
      <c r="AB82" cm="1">
        <f t="array" aca="1" ref="AB82" ca="1">IF(ISNA(K82),,OFFSET(INDIRECT("'"&amp;AB$67&amp;"'!d1"),K82-1,))</f>
        <v>160</v>
      </c>
      <c r="AC82" cm="1">
        <f t="array" aca="1" ref="AC82" ca="1">IF(ISNA(L82),,OFFSET(INDIRECT("'"&amp;AC$67&amp;"'!d1"),L82-1,))</f>
        <v>74</v>
      </c>
      <c r="AD82" cm="1">
        <f t="array" aca="1" ref="AD82" ca="1">IF(ISNA(M82),,OFFSET(INDIRECT("'"&amp;AD$67&amp;"'!d1"),M82-1,))</f>
        <v>158</v>
      </c>
      <c r="AE82" cm="1">
        <f t="array" aca="1" ref="AE82" ca="1">IF(ISNA(N82),,OFFSET(INDIRECT("'"&amp;AE$67&amp;"'!d1"),N82-1,))</f>
        <v>0</v>
      </c>
      <c r="AF82" cm="1">
        <f t="array" aca="1" ref="AF82" ca="1">IF(ISNA(O82),,OFFSET(INDIRECT("'"&amp;AF$67&amp;"'!d1"),O82-1,))</f>
        <v>0</v>
      </c>
      <c r="AG82" cm="1">
        <f t="array" aca="1" ref="AG82" ca="1">IF(ISNA(P82),,OFFSET(INDIRECT("'"&amp;AG$67&amp;"'!d1"),P82-1,))</f>
        <v>0</v>
      </c>
      <c r="AM82">
        <f t="shared" ca="1" si="57"/>
        <v>0</v>
      </c>
      <c r="AN82">
        <f t="shared" ca="1" si="44"/>
        <v>0</v>
      </c>
      <c r="AO82">
        <f t="shared" ca="1" si="44"/>
        <v>0</v>
      </c>
      <c r="AP82">
        <f t="shared" ca="1" si="44"/>
        <v>0</v>
      </c>
      <c r="AQ82">
        <f t="shared" ca="1" si="58"/>
        <v>0</v>
      </c>
      <c r="AV82" t="str">
        <f t="shared" ca="1" si="59"/>
        <v/>
      </c>
      <c r="AW82" t="str">
        <f t="shared" ca="1" si="45"/>
        <v/>
      </c>
      <c r="AX82" t="str">
        <f t="shared" ca="1" si="45"/>
        <v/>
      </c>
      <c r="AY82" t="str">
        <f t="shared" ca="1" si="45"/>
        <v/>
      </c>
      <c r="AZ82" t="str">
        <f t="shared" ca="1" si="45"/>
        <v/>
      </c>
      <c r="BD82">
        <f t="shared" ca="1" si="46"/>
        <v>1</v>
      </c>
      <c r="BE82">
        <f t="shared" ca="1" si="46"/>
        <v>1</v>
      </c>
      <c r="BF82">
        <f t="shared" ca="1" si="46"/>
        <v>1</v>
      </c>
      <c r="BG82">
        <f t="shared" ca="1" si="46"/>
        <v>0</v>
      </c>
      <c r="BH82">
        <f t="shared" ca="1" si="46"/>
        <v>1</v>
      </c>
      <c r="BI82">
        <f t="shared" ca="1" si="46"/>
        <v>1</v>
      </c>
      <c r="BJ82">
        <f t="shared" ca="1" si="46"/>
        <v>1</v>
      </c>
      <c r="BK82">
        <f t="shared" ca="1" si="46"/>
        <v>1</v>
      </c>
      <c r="BL82">
        <f t="shared" ca="1" si="46"/>
        <v>1</v>
      </c>
      <c r="BM82">
        <f t="shared" ca="1" si="46"/>
        <v>0</v>
      </c>
      <c r="BN82">
        <f t="shared" ca="1" si="46"/>
        <v>0</v>
      </c>
      <c r="BO82">
        <f t="shared" ca="1" si="46"/>
        <v>0</v>
      </c>
      <c r="BU82">
        <f t="shared" ca="1" si="47"/>
        <v>108</v>
      </c>
      <c r="BV82">
        <f t="shared" ca="1" si="47"/>
        <v>76</v>
      </c>
      <c r="BW82">
        <f t="shared" ca="1" si="47"/>
        <v>422</v>
      </c>
      <c r="BX82">
        <f t="shared" ca="1" si="47"/>
        <v>1728</v>
      </c>
      <c r="BY82">
        <f t="shared" ca="1" si="47"/>
        <v>120</v>
      </c>
      <c r="BZ82">
        <f t="shared" ca="1" si="47"/>
        <v>184</v>
      </c>
      <c r="CA82">
        <f t="shared" ca="1" si="47"/>
        <v>160</v>
      </c>
      <c r="CB82">
        <f t="shared" ca="1" si="47"/>
        <v>74</v>
      </c>
      <c r="CC82">
        <f t="shared" ca="1" si="47"/>
        <v>158</v>
      </c>
      <c r="CD82">
        <f t="shared" ca="1" si="47"/>
        <v>1728</v>
      </c>
      <c r="CE82">
        <f t="shared" ca="1" si="47"/>
        <v>1728</v>
      </c>
      <c r="CF82">
        <f t="shared" ca="1" si="47"/>
        <v>1728</v>
      </c>
      <c r="CL82">
        <f t="shared" ca="1" si="48"/>
        <v>0</v>
      </c>
      <c r="CM82">
        <f t="shared" ca="1" si="48"/>
        <v>0</v>
      </c>
      <c r="CN82">
        <f t="shared" ca="1" si="48"/>
        <v>0</v>
      </c>
      <c r="CO82">
        <f t="shared" ca="1" si="48"/>
        <v>0</v>
      </c>
      <c r="CP82">
        <f t="shared" ca="1" si="48"/>
        <v>0</v>
      </c>
      <c r="CQ82">
        <f t="shared" ca="1" si="48"/>
        <v>0</v>
      </c>
      <c r="CR82">
        <f t="shared" ca="1" si="48"/>
        <v>0</v>
      </c>
      <c r="CS82">
        <f t="shared" ca="1" si="48"/>
        <v>0</v>
      </c>
      <c r="CT82">
        <f t="shared" ca="1" si="48"/>
        <v>0</v>
      </c>
      <c r="CU82">
        <f t="shared" ca="1" si="48"/>
        <v>0</v>
      </c>
      <c r="CV82">
        <f t="shared" ca="1" si="48"/>
        <v>0</v>
      </c>
      <c r="CW82">
        <f t="shared" ca="1" si="48"/>
        <v>0</v>
      </c>
      <c r="DC82" cm="1">
        <f t="array" aca="1" ref="DC82" ca="1">IF(ISNA(E82),,OFFSET(INDIRECT("'"&amp;DT$67&amp;"'!f1"),E82-1,))*1</f>
        <v>28907.709948575499</v>
      </c>
      <c r="DD82" cm="1">
        <f t="array" aca="1" ref="DD82" ca="1">IF(ISNA(F82),,OFFSET(INDIRECT("'"&amp;DU$67&amp;"'!f1"),F82-1,))*1</f>
        <v>28828.496169322101</v>
      </c>
      <c r="DE82" cm="1">
        <f t="array" aca="1" ref="DE82" ca="1">IF(ISNA(G82),,OFFSET(INDIRECT("'"&amp;DV$67&amp;"'!f1"),G82-1,))*1</f>
        <v>28800.354668099899</v>
      </c>
      <c r="DF82" cm="1">
        <f t="array" aca="1" ref="DF82" ca="1">IF(ISNA(H82),,OFFSET(INDIRECT("'"&amp;DW$67&amp;"'!f1"),H82-1,))*1</f>
        <v>28800.118270695199</v>
      </c>
      <c r="DG82" cm="1">
        <f t="array" aca="1" ref="DG82" ca="1">IF(ISNA(I82),,OFFSET(INDIRECT("'"&amp;DX$67&amp;"'!f1"),I82-1,))*1</f>
        <v>28802.839518417</v>
      </c>
      <c r="DH82" cm="1">
        <f t="array" aca="1" ref="DH82" ca="1">IF(ISNA(J82),,OFFSET(INDIRECT("'"&amp;DY$67&amp;"'!f1"),J82-1,))*1</f>
        <v>64.460804194211903</v>
      </c>
      <c r="DI82" cm="1">
        <f t="array" aca="1" ref="DI82" ca="1">IF(ISNA(K82),,OFFSET(INDIRECT("'"&amp;DZ$67&amp;"'!f1"),K82-1,))*1</f>
        <v>666.93150526098896</v>
      </c>
      <c r="DJ82" cm="1">
        <f t="array" aca="1" ref="DJ82" ca="1">IF(ISNA(L82),,OFFSET(INDIRECT("'"&amp;EA$67&amp;"'!f1"),L82-1,))*1</f>
        <v>649.09701713640197</v>
      </c>
      <c r="DK82" cm="1">
        <f t="array" aca="1" ref="DK82" ca="1">IF(ISNA(M82),,OFFSET(INDIRECT("'"&amp;EB$67&amp;"'!f1"),M82-1,))*1</f>
        <v>15117.356568040301</v>
      </c>
      <c r="DL82" cm="1">
        <f t="array" aca="1" ref="DL82" ca="1">IF(ISNA(N82),,OFFSET(INDIRECT("'"&amp;EC$67&amp;"'!f1"),N82-1,))*1</f>
        <v>0.20388527300383399</v>
      </c>
      <c r="DM82" cm="1">
        <f t="array" aca="1" ref="DM82" ca="1">IF(ISNA(O82),,OFFSET(INDIRECT("'"&amp;ED$67&amp;"'!f1"),O82-1,))*1</f>
        <v>0.22505406801064901</v>
      </c>
      <c r="DN82" cm="1">
        <f t="array" aca="1" ref="DN82" ca="1">IF(ISNA(P82),,OFFSET(INDIRECT("'"&amp;EE$67&amp;"'!f1"),P82-1,))*1</f>
        <v>0</v>
      </c>
      <c r="DT82">
        <f t="shared" ca="1" si="60"/>
        <v>0</v>
      </c>
      <c r="DU82">
        <f t="shared" ca="1" si="49"/>
        <v>0</v>
      </c>
      <c r="DV82">
        <f t="shared" ca="1" si="49"/>
        <v>0</v>
      </c>
      <c r="DW82">
        <f t="shared" ca="1" si="49"/>
        <v>0</v>
      </c>
      <c r="DX82">
        <f t="shared" ca="1" si="49"/>
        <v>0</v>
      </c>
      <c r="DY82">
        <f t="shared" ca="1" si="49"/>
        <v>0</v>
      </c>
      <c r="DZ82">
        <f t="shared" ca="1" si="49"/>
        <v>0</v>
      </c>
      <c r="EA82">
        <f t="shared" ca="1" si="49"/>
        <v>0</v>
      </c>
      <c r="EB82">
        <f t="shared" ca="1" si="49"/>
        <v>0</v>
      </c>
      <c r="EC82">
        <f t="shared" ca="1" si="49"/>
        <v>0</v>
      </c>
      <c r="ED82">
        <f t="shared" ca="1" si="49"/>
        <v>0</v>
      </c>
      <c r="EE82">
        <f t="shared" ca="1" si="49"/>
        <v>0</v>
      </c>
      <c r="EK82" cm="1">
        <f t="array" aca="1" ref="EK82" ca="1">IF(ISNA(E82),0,OFFSET(INDIRECT("'"&amp;EK$67&amp;"'!g1"),E82-1,)*CL82)</f>
        <v>0</v>
      </c>
      <c r="EL82" cm="1">
        <f t="array" aca="1" ref="EL82" ca="1">IF(ISNA(F82),0,OFFSET(INDIRECT("'"&amp;EL$67&amp;"'!g1"),F82-1,)*CM82)</f>
        <v>0</v>
      </c>
      <c r="EM82" cm="1">
        <f t="array" aca="1" ref="EM82" ca="1">IF(ISNA(G82),0,OFFSET(INDIRECT("'"&amp;EM$67&amp;"'!g1"),G82-1,)*CN82)</f>
        <v>0</v>
      </c>
      <c r="EN82" cm="1">
        <f t="array" aca="1" ref="EN82" ca="1">IF(ISNA(H82),0,OFFSET(INDIRECT("'"&amp;EN$67&amp;"'!g1"),H82-1,)*CO82)</f>
        <v>0</v>
      </c>
      <c r="EO82" cm="1">
        <f t="array" aca="1" ref="EO82" ca="1">IF(ISNA(I82),0,OFFSET(INDIRECT("'"&amp;EO$67&amp;"'!g1"),I82-1,)*CP82)</f>
        <v>0</v>
      </c>
      <c r="EP82" cm="1">
        <f t="array" aca="1" ref="EP82" ca="1">IF(ISNA(J82),0,OFFSET(INDIRECT("'"&amp;EP$67&amp;"'!g1"),J82-1,)*CQ82)</f>
        <v>0</v>
      </c>
      <c r="EQ82" cm="1">
        <f t="array" aca="1" ref="EQ82" ca="1">IF(ISNA(K82),0,OFFSET(INDIRECT("'"&amp;EQ$67&amp;"'!g1"),K82-1,)*CR82)</f>
        <v>0</v>
      </c>
      <c r="ER82" cm="1">
        <f t="array" aca="1" ref="ER82" ca="1">IF(ISNA(L82),0,OFFSET(INDIRECT("'"&amp;ER$67&amp;"'!g1"),L82-1,)*CS82)</f>
        <v>0</v>
      </c>
      <c r="ES82" cm="1">
        <f t="array" aca="1" ref="ES82" ca="1">IF(ISNA(M82),0,OFFSET(INDIRECT("'"&amp;ES$67&amp;"'!g1"),M82-1,)*CT82)</f>
        <v>0</v>
      </c>
      <c r="ET82" cm="1">
        <f t="array" aca="1" ref="ET82" ca="1">IF(ISNA(N82),0,OFFSET(INDIRECT("'"&amp;ET$67&amp;"'!g1"),N82-1,)*CU82)</f>
        <v>0</v>
      </c>
      <c r="EU82" cm="1">
        <f t="array" aca="1" ref="EU82" ca="1">IF(ISNA(O82),0,OFFSET(INDIRECT("'"&amp;EU$67&amp;"'!g1"),O82-1,)*CV82)</f>
        <v>0</v>
      </c>
      <c r="EV82" cm="1">
        <f t="array" aca="1" ref="EV82" ca="1">IF(ISNA(P82),0,OFFSET(INDIRECT("'"&amp;EV$67&amp;"'!g1"),P82-1,)*CW82)</f>
        <v>0</v>
      </c>
      <c r="FB82" s="10" cm="1">
        <f t="array" aca="1" ref="FB82" ca="1">IF(ISNA(E82),0,OFFSET(INDIRECT("'"&amp;EK$67&amp;"'!h1"),E82-1,))</f>
        <v>1</v>
      </c>
      <c r="FC82" s="10" cm="1">
        <f t="array" aca="1" ref="FC82" ca="1">IF(ISNA(F82),0,OFFSET(INDIRECT("'"&amp;EL$67&amp;"'!h1"),F82-1,))</f>
        <v>1</v>
      </c>
      <c r="FD82" s="10" cm="1">
        <f t="array" aca="1" ref="FD82" ca="1">IF(ISNA(G82),0,OFFSET(INDIRECT("'"&amp;EM$67&amp;"'!h1"),G82-1,))</f>
        <v>1</v>
      </c>
      <c r="FE82" s="10" cm="1">
        <f t="array" aca="1" ref="FE82" ca="1">IF(ISNA(H82),0,OFFSET(INDIRECT("'"&amp;EN$67&amp;"'!h1"),H82-1,))</f>
        <v>1</v>
      </c>
      <c r="FF82" s="10" cm="1">
        <f t="array" aca="1" ref="FF82" ca="1">IF(ISNA(I82),0,OFFSET(INDIRECT("'"&amp;EO$67&amp;"'!h1"),I82-1,))</f>
        <v>1</v>
      </c>
      <c r="FG82" s="10" cm="1">
        <f t="array" aca="1" ref="FG82" ca="1">IF(ISNA(J82),0,OFFSET(INDIRECT("'"&amp;EP$67&amp;"'!h1"),J82-1,))</f>
        <v>1</v>
      </c>
      <c r="FH82" s="10" cm="1">
        <f t="array" aca="1" ref="FH82" ca="1">IF(ISNA(K82),0,OFFSET(INDIRECT("'"&amp;EQ$67&amp;"'!h1"),K82-1,))</f>
        <v>10000</v>
      </c>
      <c r="FI82" s="10" cm="1">
        <f t="array" aca="1" ref="FI82" ca="1">IF(ISNA(L82),0,OFFSET(INDIRECT("'"&amp;ER$67&amp;"'!h1"),L82-1,))</f>
        <v>10000</v>
      </c>
      <c r="FJ82" s="10" cm="1">
        <f t="array" aca="1" ref="FJ82" ca="1">IF(ISNA(M82),0,OFFSET(INDIRECT("'"&amp;ES$67&amp;"'!h1"),M82-1,))</f>
        <v>10000</v>
      </c>
      <c r="FK82" s="10" cm="1">
        <f t="array" aca="1" ref="FK82" ca="1">IF(ISNA(N82),0,OFFSET(INDIRECT("'"&amp;ET$67&amp;"'!h1"),N82-1,))</f>
        <v>1</v>
      </c>
      <c r="FL82" s="10" cm="1">
        <f t="array" aca="1" ref="FL82" ca="1">IF(ISNA(O82),0,OFFSET(INDIRECT("'"&amp;EU$67&amp;"'!h1"),O82-1,))</f>
        <v>1</v>
      </c>
      <c r="FM82" s="10" cm="1">
        <f t="array" aca="1" ref="FM82" ca="1">IF(ISNA(P82),0,OFFSET(INDIRECT("'"&amp;EV$67&amp;"'!h1"),P82-1,))</f>
        <v>0</v>
      </c>
      <c r="FN82" s="10"/>
      <c r="FO82" s="10"/>
      <c r="FP82" s="10"/>
      <c r="FQ82" s="10"/>
      <c r="FS82">
        <f t="shared" ca="1" si="61"/>
        <v>1728</v>
      </c>
      <c r="FT82">
        <f t="shared" ca="1" si="62"/>
        <v>666.93150526098896</v>
      </c>
      <c r="FU82">
        <f t="shared" ca="1" si="63"/>
        <v>0</v>
      </c>
      <c r="FV82">
        <f t="shared" ca="1" si="64"/>
        <v>10000</v>
      </c>
      <c r="FW82" s="3">
        <f t="shared" ca="1" si="65"/>
        <v>0</v>
      </c>
      <c r="FX82" s="4" t="e">
        <f t="shared" ca="1" si="66"/>
        <v>#N/A</v>
      </c>
      <c r="FZ82" s="12">
        <f t="shared" ca="1" si="50"/>
        <v>1728</v>
      </c>
      <c r="GA82" s="24">
        <f t="shared" ca="1" si="67"/>
        <v>0.6875</v>
      </c>
      <c r="GB82" s="24">
        <f t="shared" ca="1" si="51"/>
        <v>0.1875</v>
      </c>
      <c r="GC82" s="24">
        <f t="shared" ca="1" si="51"/>
        <v>5.59375</v>
      </c>
      <c r="GD82" s="24" t="e">
        <f t="shared" ca="1" si="51"/>
        <v>#N/A</v>
      </c>
      <c r="GE82" s="24">
        <f t="shared" ca="1" si="51"/>
        <v>0.875</v>
      </c>
      <c r="GF82" s="24">
        <f t="shared" ca="1" si="51"/>
        <v>1.875</v>
      </c>
      <c r="GG82" s="24">
        <f t="shared" ca="1" si="51"/>
        <v>1.5</v>
      </c>
      <c r="GH82" s="24">
        <f t="shared" ca="1" si="51"/>
        <v>0.15625</v>
      </c>
      <c r="GI82" s="24">
        <f t="shared" ca="1" si="51"/>
        <v>1.46875</v>
      </c>
      <c r="GJ82" s="24" t="e">
        <f t="shared" ca="1" si="51"/>
        <v>#N/A</v>
      </c>
      <c r="GK82" s="24" t="e">
        <f t="shared" ca="1" si="51"/>
        <v>#N/A</v>
      </c>
      <c r="GL82" s="24" t="e">
        <f t="shared" ca="1" si="51"/>
        <v>#N/A</v>
      </c>
      <c r="GM82" s="24"/>
      <c r="GN82">
        <f t="shared" ca="1" si="68"/>
        <v>1728</v>
      </c>
      <c r="GO82" s="4" t="e">
        <f t="shared" ca="1" si="69"/>
        <v>#N/A</v>
      </c>
      <c r="GP82" s="4" t="e">
        <f t="shared" ca="1" si="52"/>
        <v>#N/A</v>
      </c>
      <c r="GQ82" s="4" t="e">
        <f t="shared" ca="1" si="52"/>
        <v>#N/A</v>
      </c>
      <c r="GR82" s="4" t="e">
        <f t="shared" ca="1" si="52"/>
        <v>#N/A</v>
      </c>
      <c r="GS82" s="4" t="e">
        <f t="shared" ca="1" si="52"/>
        <v>#N/A</v>
      </c>
      <c r="GT82" s="4" t="e">
        <f t="shared" ca="1" si="70"/>
        <v>#N/A</v>
      </c>
      <c r="GU82" s="4" t="e">
        <f t="shared" ca="1" si="53"/>
        <v>#N/A</v>
      </c>
      <c r="GV82" s="4" t="e">
        <f t="shared" ca="1" si="53"/>
        <v>#N/A</v>
      </c>
      <c r="GW82" s="4" t="e">
        <f t="shared" ca="1" si="53"/>
        <v>#N/A</v>
      </c>
      <c r="GX82" s="4" t="e">
        <f t="shared" ca="1" si="53"/>
        <v>#N/A</v>
      </c>
      <c r="GY82" s="4" t="e">
        <f t="shared" ca="1" si="53"/>
        <v>#N/A</v>
      </c>
      <c r="GZ82" s="4" t="e">
        <f t="shared" ca="1" si="53"/>
        <v>#N/A</v>
      </c>
      <c r="HB82" s="12">
        <f t="shared" ca="1" si="54"/>
        <v>1728</v>
      </c>
      <c r="HC82" s="3">
        <f t="shared" ca="1" si="71"/>
        <v>0</v>
      </c>
      <c r="HD82" s="3">
        <f t="shared" ca="1" si="55"/>
        <v>0</v>
      </c>
      <c r="HE82" s="3">
        <f t="shared" ca="1" si="55"/>
        <v>0</v>
      </c>
      <c r="HF82" s="3">
        <f t="shared" ca="1" si="55"/>
        <v>0</v>
      </c>
      <c r="HG82" s="3">
        <f t="shared" ca="1" si="55"/>
        <v>0</v>
      </c>
      <c r="HH82" s="3">
        <f t="shared" ca="1" si="55"/>
        <v>0</v>
      </c>
      <c r="HI82" s="3">
        <f t="shared" ca="1" si="55"/>
        <v>0</v>
      </c>
      <c r="HJ82" s="3">
        <f t="shared" ca="1" si="55"/>
        <v>0</v>
      </c>
      <c r="HK82" s="3">
        <f t="shared" ca="1" si="55"/>
        <v>0</v>
      </c>
      <c r="HL82" s="3">
        <f t="shared" ca="1" si="55"/>
        <v>0</v>
      </c>
      <c r="HM82" s="3">
        <f t="shared" ca="1" si="55"/>
        <v>0</v>
      </c>
      <c r="HN82" s="3">
        <f t="shared" ca="1" si="55"/>
        <v>0</v>
      </c>
    </row>
    <row r="83" spans="1:222" x14ac:dyDescent="0.2">
      <c r="A83" t="str" cm="1">
        <f t="array" aca="1" ref="A83" ca="1">INDIRECT($A$67&amp;"!A"&amp;ROW(C16)+$B$64)</f>
        <v>[[2016,8,54]]</v>
      </c>
      <c r="B83" cm="1">
        <f t="array" aca="1" ref="B83" ca="1">INDIRECT($A$67&amp;"!b"&amp;ROW(D16)+$B$64)</f>
        <v>2016</v>
      </c>
      <c r="C83">
        <f t="shared" ca="1" si="56"/>
        <v>54</v>
      </c>
      <c r="E83">
        <f t="shared" ca="1" si="43"/>
        <v>40</v>
      </c>
      <c r="F83">
        <f t="shared" ca="1" si="43"/>
        <v>41</v>
      </c>
      <c r="G83">
        <f t="shared" ca="1" si="43"/>
        <v>40</v>
      </c>
      <c r="H83">
        <f t="shared" ca="1" si="43"/>
        <v>40</v>
      </c>
      <c r="I83">
        <f t="shared" ca="1" si="43"/>
        <v>35</v>
      </c>
      <c r="J83">
        <f t="shared" ca="1" si="43"/>
        <v>40</v>
      </c>
      <c r="K83">
        <f t="shared" ca="1" si="43"/>
        <v>47</v>
      </c>
      <c r="L83">
        <f t="shared" ca="1" si="43"/>
        <v>49</v>
      </c>
      <c r="M83">
        <f t="shared" ca="1" si="43"/>
        <v>46</v>
      </c>
      <c r="N83">
        <f t="shared" ca="1" si="43"/>
        <v>40</v>
      </c>
      <c r="O83">
        <f t="shared" ca="1" si="43"/>
        <v>40</v>
      </c>
      <c r="P83" t="e">
        <f t="shared" ca="1" si="43"/>
        <v>#N/A</v>
      </c>
      <c r="V83" cm="1">
        <f t="array" aca="1" ref="V83" ca="1">IF(ISNA(E83),,OFFSET(INDIRECT("'"&amp;V$67&amp;"'!d1"),E83-1,))</f>
        <v>66</v>
      </c>
      <c r="W83" cm="1">
        <f t="array" aca="1" ref="W83" ca="1">IF(ISNA(F83),,OFFSET(INDIRECT("'"&amp;W$67&amp;"'!d1"),F83-1,))</f>
        <v>54</v>
      </c>
      <c r="X83" cm="1">
        <f t="array" aca="1" ref="X83" ca="1">IF(ISNA(G83),,OFFSET(INDIRECT("'"&amp;X$67&amp;"'!d1"),G83-1,))</f>
        <v>274</v>
      </c>
      <c r="Y83" cm="1">
        <f t="array" aca="1" ref="Y83" ca="1">IF(ISNA(H83),,OFFSET(INDIRECT("'"&amp;Y$67&amp;"'!d1"),H83-1,))</f>
        <v>0</v>
      </c>
      <c r="Z83" cm="1">
        <f t="array" aca="1" ref="Z83" ca="1">IF(ISNA(I83),,OFFSET(INDIRECT("'"&amp;Z$67&amp;"'!d1"),I83-1,))</f>
        <v>84</v>
      </c>
      <c r="AA83" cm="1">
        <f t="array" aca="1" ref="AA83" ca="1">IF(ISNA(J83),,OFFSET(INDIRECT("'"&amp;AA$67&amp;"'!d1"),J83-1,))</f>
        <v>72</v>
      </c>
      <c r="AB83" cm="1">
        <f t="array" aca="1" ref="AB83" ca="1">IF(ISNA(K83),,OFFSET(INDIRECT("'"&amp;AB$67&amp;"'!d1"),K83-1,))</f>
        <v>72</v>
      </c>
      <c r="AC83" cm="1">
        <f t="array" aca="1" ref="AC83" ca="1">IF(ISNA(L83),,OFFSET(INDIRECT("'"&amp;AC$67&amp;"'!d1"),L83-1,))</f>
        <v>54</v>
      </c>
      <c r="AD83" cm="1">
        <f t="array" aca="1" ref="AD83" ca="1">IF(ISNA(M83),,OFFSET(INDIRECT("'"&amp;AD$67&amp;"'!d1"),M83-1,))</f>
        <v>72</v>
      </c>
      <c r="AE83" cm="1">
        <f t="array" aca="1" ref="AE83" ca="1">IF(ISNA(N83),,OFFSET(INDIRECT("'"&amp;AE$67&amp;"'!d1"),N83-1,))</f>
        <v>0</v>
      </c>
      <c r="AF83" cm="1">
        <f t="array" aca="1" ref="AF83" ca="1">IF(ISNA(O83),,OFFSET(INDIRECT("'"&amp;AF$67&amp;"'!d1"),O83-1,))</f>
        <v>0</v>
      </c>
      <c r="AG83" cm="1">
        <f t="array" aca="1" ref="AG83" ca="1">IF(ISNA(P83),,OFFSET(INDIRECT("'"&amp;AG$67&amp;"'!d1"),P83-1,))</f>
        <v>0</v>
      </c>
      <c r="AM83">
        <f t="shared" ca="1" si="57"/>
        <v>0</v>
      </c>
      <c r="AN83">
        <f t="shared" ca="1" si="44"/>
        <v>0</v>
      </c>
      <c r="AO83">
        <f t="shared" ca="1" si="44"/>
        <v>0</v>
      </c>
      <c r="AP83">
        <f t="shared" ca="1" si="44"/>
        <v>0</v>
      </c>
      <c r="AQ83">
        <f t="shared" ca="1" si="58"/>
        <v>0</v>
      </c>
      <c r="AV83" t="str">
        <f t="shared" ca="1" si="59"/>
        <v/>
      </c>
      <c r="AW83" t="str">
        <f t="shared" ca="1" si="45"/>
        <v/>
      </c>
      <c r="AX83" t="str">
        <f t="shared" ca="1" si="45"/>
        <v/>
      </c>
      <c r="AY83" t="str">
        <f t="shared" ca="1" si="45"/>
        <v/>
      </c>
      <c r="AZ83" t="str">
        <f t="shared" ca="1" si="45"/>
        <v/>
      </c>
      <c r="BD83">
        <f t="shared" ca="1" si="46"/>
        <v>1</v>
      </c>
      <c r="BE83">
        <f t="shared" ca="1" si="46"/>
        <v>1</v>
      </c>
      <c r="BF83">
        <f t="shared" ca="1" si="46"/>
        <v>1</v>
      </c>
      <c r="BG83">
        <f t="shared" ca="1" si="46"/>
        <v>0</v>
      </c>
      <c r="BH83">
        <f t="shared" ca="1" si="46"/>
        <v>1</v>
      </c>
      <c r="BI83">
        <f t="shared" ca="1" si="46"/>
        <v>1</v>
      </c>
      <c r="BJ83">
        <f t="shared" ca="1" si="46"/>
        <v>1</v>
      </c>
      <c r="BK83">
        <f t="shared" ca="1" si="46"/>
        <v>1</v>
      </c>
      <c r="BL83">
        <f t="shared" ca="1" si="46"/>
        <v>1</v>
      </c>
      <c r="BM83">
        <f t="shared" ca="1" si="46"/>
        <v>0</v>
      </c>
      <c r="BN83">
        <f t="shared" ca="1" si="46"/>
        <v>0</v>
      </c>
      <c r="BO83">
        <f t="shared" ca="1" si="46"/>
        <v>0</v>
      </c>
      <c r="BU83">
        <f t="shared" ca="1" si="47"/>
        <v>66</v>
      </c>
      <c r="BV83">
        <f t="shared" ca="1" si="47"/>
        <v>54</v>
      </c>
      <c r="BW83">
        <f t="shared" ca="1" si="47"/>
        <v>274</v>
      </c>
      <c r="BX83">
        <f t="shared" ca="1" si="47"/>
        <v>2016</v>
      </c>
      <c r="BY83">
        <f t="shared" ca="1" si="47"/>
        <v>84</v>
      </c>
      <c r="BZ83">
        <f t="shared" ca="1" si="47"/>
        <v>72</v>
      </c>
      <c r="CA83">
        <f t="shared" ca="1" si="47"/>
        <v>72</v>
      </c>
      <c r="CB83">
        <f t="shared" ca="1" si="47"/>
        <v>54</v>
      </c>
      <c r="CC83">
        <f t="shared" ca="1" si="47"/>
        <v>72</v>
      </c>
      <c r="CD83">
        <f t="shared" ca="1" si="47"/>
        <v>2016</v>
      </c>
      <c r="CE83">
        <f t="shared" ca="1" si="47"/>
        <v>2016</v>
      </c>
      <c r="CF83">
        <f t="shared" ca="1" si="47"/>
        <v>2016</v>
      </c>
      <c r="CL83">
        <f t="shared" ca="1" si="48"/>
        <v>0</v>
      </c>
      <c r="CM83">
        <f t="shared" ca="1" si="48"/>
        <v>1</v>
      </c>
      <c r="CN83">
        <f t="shared" ca="1" si="48"/>
        <v>0</v>
      </c>
      <c r="CO83">
        <f t="shared" ca="1" si="48"/>
        <v>0</v>
      </c>
      <c r="CP83">
        <f t="shared" ca="1" si="48"/>
        <v>0</v>
      </c>
      <c r="CQ83">
        <f t="shared" ca="1" si="48"/>
        <v>0</v>
      </c>
      <c r="CR83">
        <f t="shared" ca="1" si="48"/>
        <v>0</v>
      </c>
      <c r="CS83">
        <f t="shared" ca="1" si="48"/>
        <v>1</v>
      </c>
      <c r="CT83">
        <f t="shared" ca="1" si="48"/>
        <v>0</v>
      </c>
      <c r="CU83">
        <f t="shared" ca="1" si="48"/>
        <v>0</v>
      </c>
      <c r="CV83">
        <f t="shared" ca="1" si="48"/>
        <v>0</v>
      </c>
      <c r="CW83">
        <f t="shared" ca="1" si="48"/>
        <v>0</v>
      </c>
      <c r="DC83" cm="1">
        <f t="array" aca="1" ref="DC83" ca="1">IF(ISNA(E83),,OFFSET(INDIRECT("'"&amp;DT$67&amp;"'!f1"),E83-1,))*1</f>
        <v>28890.6160861477</v>
      </c>
      <c r="DD83" cm="1">
        <f t="array" aca="1" ref="DD83" ca="1">IF(ISNA(F83),,OFFSET(INDIRECT("'"&amp;DU$67&amp;"'!f1"),F83-1,))*1</f>
        <v>28823.083052739501</v>
      </c>
      <c r="DE83" cm="1">
        <f t="array" aca="1" ref="DE83" ca="1">IF(ISNA(G83),,OFFSET(INDIRECT("'"&amp;DV$67&amp;"'!f1"),G83-1,))*1</f>
        <v>28800.406864292901</v>
      </c>
      <c r="DF83" cm="1">
        <f t="array" aca="1" ref="DF83" ca="1">IF(ISNA(H83),,OFFSET(INDIRECT("'"&amp;DW$67&amp;"'!f1"),H83-1,))*1</f>
        <v>28800.181969827001</v>
      </c>
      <c r="DG83" cm="1">
        <f t="array" aca="1" ref="DG83" ca="1">IF(ISNA(I83),,OFFSET(INDIRECT("'"&amp;DX$67&amp;"'!f1"),I83-1,))*1</f>
        <v>28801.351718124901</v>
      </c>
      <c r="DH83" cm="1">
        <f t="array" aca="1" ref="DH83" ca="1">IF(ISNA(J83),,OFFSET(INDIRECT("'"&amp;DY$67&amp;"'!f1"),J83-1,))*1</f>
        <v>55.642835654318297</v>
      </c>
      <c r="DI83" cm="1">
        <f t="array" aca="1" ref="DI83" ca="1">IF(ISNA(K83),,OFFSET(INDIRECT("'"&amp;DZ$67&amp;"'!f1"),K83-1,))*1</f>
        <v>775.15776272676806</v>
      </c>
      <c r="DJ83" cm="1">
        <f t="array" aca="1" ref="DJ83" ca="1">IF(ISNA(L83),,OFFSET(INDIRECT("'"&amp;EA$67&amp;"'!f1"),L83-1,))*1</f>
        <v>786.49558063875804</v>
      </c>
      <c r="DK83" cm="1">
        <f t="array" aca="1" ref="DK83" ca="1">IF(ISNA(M83),,OFFSET(INDIRECT("'"&amp;EB$67&amp;"'!f1"),M83-1,))*1</f>
        <v>4144.9037410528399</v>
      </c>
      <c r="DL83" cm="1">
        <f t="array" aca="1" ref="DL83" ca="1">IF(ISNA(N83),,OFFSET(INDIRECT("'"&amp;EC$67&amp;"'!f1"),N83-1,))*1</f>
        <v>0.28266314399661402</v>
      </c>
      <c r="DM83" cm="1">
        <f t="array" aca="1" ref="DM83" ca="1">IF(ISNA(O83),,OFFSET(INDIRECT("'"&amp;ED$67&amp;"'!f1"),O83-1,))*1</f>
        <v>0.30991402998915801</v>
      </c>
      <c r="DN83" cm="1">
        <f t="array" aca="1" ref="DN83" ca="1">IF(ISNA(P83),,OFFSET(INDIRECT("'"&amp;EE$67&amp;"'!f1"),P83-1,))*1</f>
        <v>0</v>
      </c>
      <c r="DT83">
        <f t="shared" ca="1" si="60"/>
        <v>0</v>
      </c>
      <c r="DU83">
        <f t="shared" ca="1" si="49"/>
        <v>1</v>
      </c>
      <c r="DV83">
        <f t="shared" ca="1" si="49"/>
        <v>0</v>
      </c>
      <c r="DW83">
        <f t="shared" ca="1" si="49"/>
        <v>0</v>
      </c>
      <c r="DX83">
        <f t="shared" ca="1" si="49"/>
        <v>0</v>
      </c>
      <c r="DY83">
        <f t="shared" ca="1" si="49"/>
        <v>0</v>
      </c>
      <c r="DZ83">
        <f t="shared" ca="1" si="49"/>
        <v>0</v>
      </c>
      <c r="EA83">
        <f t="shared" ca="1" si="49"/>
        <v>1</v>
      </c>
      <c r="EB83">
        <f t="shared" ca="1" si="49"/>
        <v>0</v>
      </c>
      <c r="EC83">
        <f t="shared" ca="1" si="49"/>
        <v>0</v>
      </c>
      <c r="ED83">
        <f t="shared" ca="1" si="49"/>
        <v>0</v>
      </c>
      <c r="EE83">
        <f t="shared" ca="1" si="49"/>
        <v>0</v>
      </c>
      <c r="EK83" cm="1">
        <f t="array" aca="1" ref="EK83" ca="1">IF(ISNA(E83),0,OFFSET(INDIRECT("'"&amp;EK$67&amp;"'!g1"),E83-1,)*CL83)</f>
        <v>0</v>
      </c>
      <c r="EL83" cm="1">
        <f t="array" aca="1" ref="EL83" ca="1">IF(ISNA(F83),0,OFFSET(INDIRECT("'"&amp;EL$67&amp;"'!g1"),F83-1,)*CM83)</f>
        <v>1</v>
      </c>
      <c r="EM83" cm="1">
        <f t="array" aca="1" ref="EM83" ca="1">IF(ISNA(G83),0,OFFSET(INDIRECT("'"&amp;EM$67&amp;"'!g1"),G83-1,)*CN83)</f>
        <v>0</v>
      </c>
      <c r="EN83" cm="1">
        <f t="array" aca="1" ref="EN83" ca="1">IF(ISNA(H83),0,OFFSET(INDIRECT("'"&amp;EN$67&amp;"'!g1"),H83-1,)*CO83)</f>
        <v>0</v>
      </c>
      <c r="EO83" cm="1">
        <f t="array" aca="1" ref="EO83" ca="1">IF(ISNA(I83),0,OFFSET(INDIRECT("'"&amp;EO$67&amp;"'!g1"),I83-1,)*CP83)</f>
        <v>0</v>
      </c>
      <c r="EP83" cm="1">
        <f t="array" aca="1" ref="EP83" ca="1">IF(ISNA(J83),0,OFFSET(INDIRECT("'"&amp;EP$67&amp;"'!g1"),J83-1,)*CQ83)</f>
        <v>0</v>
      </c>
      <c r="EQ83" cm="1">
        <f t="array" aca="1" ref="EQ83" ca="1">IF(ISNA(K83),0,OFFSET(INDIRECT("'"&amp;EQ$67&amp;"'!g1"),K83-1,)*CR83)</f>
        <v>0</v>
      </c>
      <c r="ER83" cm="1">
        <f t="array" aca="1" ref="ER83" ca="1">IF(ISNA(L83),0,OFFSET(INDIRECT("'"&amp;ER$67&amp;"'!g1"),L83-1,)*CS83)</f>
        <v>1</v>
      </c>
      <c r="ES83" cm="1">
        <f t="array" aca="1" ref="ES83" ca="1">IF(ISNA(M83),0,OFFSET(INDIRECT("'"&amp;ES$67&amp;"'!g1"),M83-1,)*CT83)</f>
        <v>0</v>
      </c>
      <c r="ET83" cm="1">
        <f t="array" aca="1" ref="ET83" ca="1">IF(ISNA(N83),0,OFFSET(INDIRECT("'"&amp;ET$67&amp;"'!g1"),N83-1,)*CU83)</f>
        <v>0</v>
      </c>
      <c r="EU83" cm="1">
        <f t="array" aca="1" ref="EU83" ca="1">IF(ISNA(O83),0,OFFSET(INDIRECT("'"&amp;EU$67&amp;"'!g1"),O83-1,)*CV83)</f>
        <v>0</v>
      </c>
      <c r="EV83" cm="1">
        <f t="array" aca="1" ref="EV83" ca="1">IF(ISNA(P83),0,OFFSET(INDIRECT("'"&amp;EV$67&amp;"'!g1"),P83-1,)*CW83)</f>
        <v>0</v>
      </c>
      <c r="FB83" s="10" cm="1">
        <f t="array" aca="1" ref="FB83" ca="1">IF(ISNA(E83),0,OFFSET(INDIRECT("'"&amp;EK$67&amp;"'!h1"),E83-1,))</f>
        <v>1</v>
      </c>
      <c r="FC83" s="10" cm="1">
        <f t="array" aca="1" ref="FC83" ca="1">IF(ISNA(F83),0,OFFSET(INDIRECT("'"&amp;EL$67&amp;"'!h1"),F83-1,))</f>
        <v>1</v>
      </c>
      <c r="FD83" s="10" cm="1">
        <f t="array" aca="1" ref="FD83" ca="1">IF(ISNA(G83),0,OFFSET(INDIRECT("'"&amp;EM$67&amp;"'!h1"),G83-1,))</f>
        <v>1</v>
      </c>
      <c r="FE83" s="10" cm="1">
        <f t="array" aca="1" ref="FE83" ca="1">IF(ISNA(H83),0,OFFSET(INDIRECT("'"&amp;EN$67&amp;"'!h1"),H83-1,))</f>
        <v>1</v>
      </c>
      <c r="FF83" s="10" cm="1">
        <f t="array" aca="1" ref="FF83" ca="1">IF(ISNA(I83),0,OFFSET(INDIRECT("'"&amp;EO$67&amp;"'!h1"),I83-1,))</f>
        <v>1</v>
      </c>
      <c r="FG83" s="10" cm="1">
        <f t="array" aca="1" ref="FG83" ca="1">IF(ISNA(J83),0,OFFSET(INDIRECT("'"&amp;EP$67&amp;"'!h1"),J83-1,))</f>
        <v>1</v>
      </c>
      <c r="FH83" s="10" cm="1">
        <f t="array" aca="1" ref="FH83" ca="1">IF(ISNA(K83),0,OFFSET(INDIRECT("'"&amp;EQ$67&amp;"'!h1"),K83-1,))</f>
        <v>10000</v>
      </c>
      <c r="FI83" s="10" cm="1">
        <f t="array" aca="1" ref="FI83" ca="1">IF(ISNA(L83),0,OFFSET(INDIRECT("'"&amp;ER$67&amp;"'!h1"),L83-1,))</f>
        <v>10000</v>
      </c>
      <c r="FJ83" s="10" cm="1">
        <f t="array" aca="1" ref="FJ83" ca="1">IF(ISNA(M83),0,OFFSET(INDIRECT("'"&amp;ES$67&amp;"'!h1"),M83-1,))</f>
        <v>10000</v>
      </c>
      <c r="FK83" s="10" cm="1">
        <f t="array" aca="1" ref="FK83" ca="1">IF(ISNA(N83),0,OFFSET(INDIRECT("'"&amp;ET$67&amp;"'!h1"),N83-1,))</f>
        <v>1</v>
      </c>
      <c r="FL83" s="10" cm="1">
        <f t="array" aca="1" ref="FL83" ca="1">IF(ISNA(O83),0,OFFSET(INDIRECT("'"&amp;EU$67&amp;"'!h1"),O83-1,))</f>
        <v>1</v>
      </c>
      <c r="FM83" s="10" cm="1">
        <f t="array" aca="1" ref="FM83" ca="1">IF(ISNA(P83),0,OFFSET(INDIRECT("'"&amp;EV$67&amp;"'!h1"),P83-1,))</f>
        <v>0</v>
      </c>
      <c r="FN83" s="10"/>
      <c r="FO83" s="10"/>
      <c r="FP83" s="10"/>
      <c r="FQ83" s="10"/>
      <c r="FS83">
        <f t="shared" ca="1" si="61"/>
        <v>2016</v>
      </c>
      <c r="FT83">
        <f t="shared" ca="1" si="62"/>
        <v>775.15776272676806</v>
      </c>
      <c r="FU83">
        <f t="shared" ca="1" si="63"/>
        <v>0</v>
      </c>
      <c r="FV83">
        <f t="shared" ca="1" si="64"/>
        <v>10000</v>
      </c>
      <c r="FW83" s="3">
        <f t="shared" ca="1" si="65"/>
        <v>0</v>
      </c>
      <c r="FX83" s="4" t="e">
        <f t="shared" ca="1" si="66"/>
        <v>#N/A</v>
      </c>
      <c r="FZ83" s="12">
        <f t="shared" ca="1" si="50"/>
        <v>2016</v>
      </c>
      <c r="GA83" s="24">
        <f t="shared" ca="1" si="67"/>
        <v>0.22222222222222221</v>
      </c>
      <c r="GB83" s="24">
        <f t="shared" ca="1" si="51"/>
        <v>0</v>
      </c>
      <c r="GC83" s="24">
        <f t="shared" ca="1" si="51"/>
        <v>4.0740740740740744</v>
      </c>
      <c r="GD83" s="24" t="e">
        <f t="shared" ca="1" si="51"/>
        <v>#N/A</v>
      </c>
      <c r="GE83" s="24">
        <f t="shared" ca="1" si="51"/>
        <v>0.55555555555555558</v>
      </c>
      <c r="GF83" s="24">
        <f t="shared" ca="1" si="51"/>
        <v>0.33333333333333331</v>
      </c>
      <c r="GG83" s="24">
        <f t="shared" ca="1" si="51"/>
        <v>0.33333333333333331</v>
      </c>
      <c r="GH83" s="24">
        <f t="shared" ca="1" si="51"/>
        <v>0</v>
      </c>
      <c r="GI83" s="24">
        <f t="shared" ca="1" si="51"/>
        <v>0.33333333333333331</v>
      </c>
      <c r="GJ83" s="24" t="e">
        <f t="shared" ca="1" si="51"/>
        <v>#N/A</v>
      </c>
      <c r="GK83" s="24" t="e">
        <f t="shared" ca="1" si="51"/>
        <v>#N/A</v>
      </c>
      <c r="GL83" s="24" t="e">
        <f t="shared" ca="1" si="51"/>
        <v>#N/A</v>
      </c>
      <c r="GM83" s="24"/>
      <c r="GN83">
        <f t="shared" ca="1" si="68"/>
        <v>2016</v>
      </c>
      <c r="GO83" s="4" t="e">
        <f t="shared" ca="1" si="69"/>
        <v>#N/A</v>
      </c>
      <c r="GP83" s="4" t="e">
        <f t="shared" ca="1" si="52"/>
        <v>#N/A</v>
      </c>
      <c r="GQ83" s="4" t="e">
        <f t="shared" ca="1" si="52"/>
        <v>#N/A</v>
      </c>
      <c r="GR83" s="4" t="e">
        <f t="shared" ca="1" si="52"/>
        <v>#N/A</v>
      </c>
      <c r="GS83" s="4" t="e">
        <f t="shared" ca="1" si="52"/>
        <v>#N/A</v>
      </c>
      <c r="GT83" s="4" t="e">
        <f t="shared" ca="1" si="70"/>
        <v>#N/A</v>
      </c>
      <c r="GU83" s="4" t="e">
        <f t="shared" ca="1" si="53"/>
        <v>#N/A</v>
      </c>
      <c r="GV83" s="4">
        <f t="shared" ca="1" si="53"/>
        <v>786.49558063875804</v>
      </c>
      <c r="GW83" s="4" t="e">
        <f t="shared" ca="1" si="53"/>
        <v>#N/A</v>
      </c>
      <c r="GX83" s="4" t="e">
        <f t="shared" ca="1" si="53"/>
        <v>#N/A</v>
      </c>
      <c r="GY83" s="4" t="e">
        <f t="shared" ca="1" si="53"/>
        <v>#N/A</v>
      </c>
      <c r="GZ83" s="4" t="e">
        <f t="shared" ca="1" si="53"/>
        <v>#N/A</v>
      </c>
      <c r="HB83" s="12">
        <f t="shared" ca="1" si="54"/>
        <v>2016</v>
      </c>
      <c r="HC83" s="3">
        <f t="shared" ca="1" si="71"/>
        <v>0</v>
      </c>
      <c r="HD83" s="3">
        <f t="shared" ca="1" si="55"/>
        <v>1</v>
      </c>
      <c r="HE83" s="3">
        <f t="shared" ca="1" si="55"/>
        <v>0</v>
      </c>
      <c r="HF83" s="3">
        <f t="shared" ca="1" si="55"/>
        <v>0</v>
      </c>
      <c r="HG83" s="3">
        <f t="shared" ca="1" si="55"/>
        <v>0</v>
      </c>
      <c r="HH83" s="3">
        <f t="shared" ca="1" si="55"/>
        <v>0</v>
      </c>
      <c r="HI83" s="3">
        <f t="shared" ca="1" si="55"/>
        <v>0</v>
      </c>
      <c r="HJ83" s="3">
        <f t="shared" ca="1" si="55"/>
        <v>1E-4</v>
      </c>
      <c r="HK83" s="3">
        <f t="shared" ca="1" si="55"/>
        <v>0</v>
      </c>
      <c r="HL83" s="3">
        <f t="shared" ca="1" si="55"/>
        <v>0</v>
      </c>
      <c r="HM83" s="3">
        <f t="shared" ca="1" si="55"/>
        <v>0</v>
      </c>
      <c r="HN83" s="3">
        <f t="shared" ca="1" si="55"/>
        <v>0</v>
      </c>
    </row>
    <row r="84" spans="1:222" x14ac:dyDescent="0.2">
      <c r="A84" t="str" cm="1">
        <f t="array" aca="1" ref="A84" ca="1">INDIRECT($A$67&amp;"!A"&amp;ROW(C17)+$B$64)</f>
        <v>[[2160,8,64]]</v>
      </c>
      <c r="B84" cm="1">
        <f t="array" aca="1" ref="B84" ca="1">INDIRECT($A$67&amp;"!b"&amp;ROW(D17)+$B$64)</f>
        <v>2160</v>
      </c>
      <c r="C84">
        <f t="shared" ca="1" si="56"/>
        <v>64</v>
      </c>
      <c r="E84">
        <f t="shared" ref="E84:P87" ca="1" si="72">MATCH($A84,INDIRECT("'"&amp;E$67&amp;"'!A:A"),)</f>
        <v>41</v>
      </c>
      <c r="F84">
        <f t="shared" ca="1" si="72"/>
        <v>42</v>
      </c>
      <c r="G84">
        <f t="shared" ca="1" si="72"/>
        <v>41</v>
      </c>
      <c r="H84">
        <f t="shared" ca="1" si="72"/>
        <v>41</v>
      </c>
      <c r="I84">
        <f t="shared" ca="1" si="72"/>
        <v>38</v>
      </c>
      <c r="J84">
        <f t="shared" ca="1" si="72"/>
        <v>41</v>
      </c>
      <c r="K84">
        <f t="shared" ca="1" si="72"/>
        <v>48</v>
      </c>
      <c r="L84">
        <f t="shared" ca="1" si="72"/>
        <v>50</v>
      </c>
      <c r="M84">
        <f t="shared" ca="1" si="72"/>
        <v>47</v>
      </c>
      <c r="N84">
        <f t="shared" ca="1" si="72"/>
        <v>41</v>
      </c>
      <c r="O84">
        <f t="shared" ca="1" si="72"/>
        <v>41</v>
      </c>
      <c r="P84" t="e">
        <f t="shared" ca="1" si="72"/>
        <v>#N/A</v>
      </c>
      <c r="V84" cm="1">
        <f t="array" aca="1" ref="V84" ca="1">IF(ISNA(E84),,OFFSET(INDIRECT("'"&amp;V$67&amp;"'!d1"),E84-1,))</f>
        <v>180</v>
      </c>
      <c r="W84" cm="1">
        <f t="array" aca="1" ref="W84" ca="1">IF(ISNA(F84),,OFFSET(INDIRECT("'"&amp;W$67&amp;"'!d1"),F84-1,))</f>
        <v>204</v>
      </c>
      <c r="X84" cm="1">
        <f t="array" aca="1" ref="X84" ca="1">IF(ISNA(G84),,OFFSET(INDIRECT("'"&amp;X$67&amp;"'!d1"),G84-1,))</f>
        <v>540</v>
      </c>
      <c r="Y84" cm="1">
        <f t="array" aca="1" ref="Y84" ca="1">IF(ISNA(H84),,OFFSET(INDIRECT("'"&amp;Y$67&amp;"'!d1"),H84-1,))</f>
        <v>0</v>
      </c>
      <c r="Z84" cm="1">
        <f t="array" aca="1" ref="Z84" ca="1">IF(ISNA(I84),,OFFSET(INDIRECT("'"&amp;Z$67&amp;"'!d1"),I84-1,))</f>
        <v>120</v>
      </c>
      <c r="AA84" cm="1">
        <f t="array" aca="1" ref="AA84" ca="1">IF(ISNA(J84),,OFFSET(INDIRECT("'"&amp;AA$67&amp;"'!d1"),J84-1,))</f>
        <v>210</v>
      </c>
      <c r="AB84" cm="1">
        <f t="array" aca="1" ref="AB84" ca="1">IF(ISNA(K84),,OFFSET(INDIRECT("'"&amp;AB$67&amp;"'!d1"),K84-1,))</f>
        <v>164</v>
      </c>
      <c r="AC84" cm="1">
        <f t="array" aca="1" ref="AC84" ca="1">IF(ISNA(L84),,OFFSET(INDIRECT("'"&amp;AC$67&amp;"'!d1"),L84-1,))</f>
        <v>64</v>
      </c>
      <c r="AD84" cm="1">
        <f t="array" aca="1" ref="AD84" ca="1">IF(ISNA(M84),,OFFSET(INDIRECT("'"&amp;AD$67&amp;"'!d1"),M84-1,))</f>
        <v>158</v>
      </c>
      <c r="AE84" cm="1">
        <f t="array" aca="1" ref="AE84" ca="1">IF(ISNA(N84),,OFFSET(INDIRECT("'"&amp;AE$67&amp;"'!d1"),N84-1,))</f>
        <v>0</v>
      </c>
      <c r="AF84" cm="1">
        <f t="array" aca="1" ref="AF84" ca="1">IF(ISNA(O84),,OFFSET(INDIRECT("'"&amp;AF$67&amp;"'!d1"),O84-1,))</f>
        <v>0</v>
      </c>
      <c r="AG84" cm="1">
        <f t="array" aca="1" ref="AG84" ca="1">IF(ISNA(P84),,OFFSET(INDIRECT("'"&amp;AG$67&amp;"'!d1"),P84-1,))</f>
        <v>0</v>
      </c>
      <c r="AM84">
        <f t="shared" ca="1" si="57"/>
        <v>0</v>
      </c>
      <c r="AN84">
        <f t="shared" ca="1" si="57"/>
        <v>0</v>
      </c>
      <c r="AO84">
        <f t="shared" ca="1" si="57"/>
        <v>0</v>
      </c>
      <c r="AP84">
        <f t="shared" ca="1" si="57"/>
        <v>0</v>
      </c>
      <c r="AQ84">
        <f t="shared" ca="1" si="58"/>
        <v>0</v>
      </c>
      <c r="AV84" t="str">
        <f t="shared" ca="1" si="59"/>
        <v/>
      </c>
      <c r="AW84" t="str">
        <f t="shared" ca="1" si="45"/>
        <v/>
      </c>
      <c r="AX84" t="str">
        <f t="shared" ca="1" si="45"/>
        <v/>
      </c>
      <c r="AY84" t="str">
        <f t="shared" ca="1" si="45"/>
        <v/>
      </c>
      <c r="AZ84" t="str">
        <f t="shared" ca="1" si="45"/>
        <v/>
      </c>
      <c r="BD84">
        <f t="shared" ca="1" si="46"/>
        <v>1</v>
      </c>
      <c r="BE84">
        <f t="shared" ca="1" si="46"/>
        <v>1</v>
      </c>
      <c r="BF84">
        <f t="shared" ca="1" si="46"/>
        <v>1</v>
      </c>
      <c r="BG84">
        <f t="shared" ca="1" si="46"/>
        <v>0</v>
      </c>
      <c r="BH84">
        <f t="shared" ca="1" si="46"/>
        <v>1</v>
      </c>
      <c r="BI84">
        <f t="shared" ca="1" si="46"/>
        <v>1</v>
      </c>
      <c r="BJ84">
        <f t="shared" ca="1" si="46"/>
        <v>1</v>
      </c>
      <c r="BK84">
        <f t="shared" ca="1" si="46"/>
        <v>1</v>
      </c>
      <c r="BL84">
        <f t="shared" ca="1" si="46"/>
        <v>1</v>
      </c>
      <c r="BM84">
        <f t="shared" ca="1" si="46"/>
        <v>0</v>
      </c>
      <c r="BN84">
        <f t="shared" ca="1" si="46"/>
        <v>0</v>
      </c>
      <c r="BO84">
        <f t="shared" ca="1" si="46"/>
        <v>0</v>
      </c>
      <c r="BU84">
        <f t="shared" ca="1" si="47"/>
        <v>180</v>
      </c>
      <c r="BV84">
        <f t="shared" ca="1" si="47"/>
        <v>204</v>
      </c>
      <c r="BW84">
        <f t="shared" ca="1" si="47"/>
        <v>540</v>
      </c>
      <c r="BX84">
        <f t="shared" ca="1" si="47"/>
        <v>2160</v>
      </c>
      <c r="BY84">
        <f t="shared" ca="1" si="47"/>
        <v>120</v>
      </c>
      <c r="BZ84">
        <f t="shared" ca="1" si="47"/>
        <v>210</v>
      </c>
      <c r="CA84">
        <f t="shared" ca="1" si="47"/>
        <v>164</v>
      </c>
      <c r="CB84">
        <f t="shared" ca="1" si="47"/>
        <v>64</v>
      </c>
      <c r="CC84">
        <f t="shared" ca="1" si="47"/>
        <v>158</v>
      </c>
      <c r="CD84">
        <f t="shared" ca="1" si="47"/>
        <v>2160</v>
      </c>
      <c r="CE84">
        <f t="shared" ca="1" si="47"/>
        <v>2160</v>
      </c>
      <c r="CF84">
        <f t="shared" ca="1" si="47"/>
        <v>2160</v>
      </c>
      <c r="CL84">
        <f t="shared" ca="1" si="48"/>
        <v>0</v>
      </c>
      <c r="CM84">
        <f t="shared" ca="1" si="48"/>
        <v>0</v>
      </c>
      <c r="CN84">
        <f t="shared" ca="1" si="48"/>
        <v>0</v>
      </c>
      <c r="CO84">
        <f t="shared" ca="1" si="48"/>
        <v>0</v>
      </c>
      <c r="CP84">
        <f t="shared" ca="1" si="48"/>
        <v>0</v>
      </c>
      <c r="CQ84">
        <f t="shared" ca="1" si="48"/>
        <v>0</v>
      </c>
      <c r="CR84">
        <f t="shared" ca="1" si="48"/>
        <v>0</v>
      </c>
      <c r="CS84">
        <f t="shared" ca="1" si="48"/>
        <v>1</v>
      </c>
      <c r="CT84">
        <f t="shared" ca="1" si="48"/>
        <v>0</v>
      </c>
      <c r="CU84">
        <f t="shared" ca="1" si="48"/>
        <v>0</v>
      </c>
      <c r="CV84">
        <f t="shared" ca="1" si="48"/>
        <v>0</v>
      </c>
      <c r="CW84">
        <f t="shared" ca="1" si="48"/>
        <v>0</v>
      </c>
      <c r="DC84" cm="1">
        <f t="array" aca="1" ref="DC84" ca="1">IF(ISNA(E84),,OFFSET(INDIRECT("'"&amp;DT$67&amp;"'!f1"),E84-1,))*1</f>
        <v>28872.270616553698</v>
      </c>
      <c r="DD84" cm="1">
        <f t="array" aca="1" ref="DD84" ca="1">IF(ISNA(F84),,OFFSET(INDIRECT("'"&amp;DU$67&amp;"'!f1"),F84-1,))*1</f>
        <v>28825.068733595301</v>
      </c>
      <c r="DE84" cm="1">
        <f t="array" aca="1" ref="DE84" ca="1">IF(ISNA(G84),,OFFSET(INDIRECT("'"&amp;DV$67&amp;"'!f1"),G84-1,))*1</f>
        <v>28800.392328403799</v>
      </c>
      <c r="DF84" cm="1">
        <f t="array" aca="1" ref="DF84" ca="1">IF(ISNA(H84),,OFFSET(INDIRECT("'"&amp;DW$67&amp;"'!f1"),H84-1,))*1</f>
        <v>28800.30060961</v>
      </c>
      <c r="DG84" cm="1">
        <f t="array" aca="1" ref="DG84" ca="1">IF(ISNA(I84),,OFFSET(INDIRECT("'"&amp;DX$67&amp;"'!f1"),I84-1,))*1</f>
        <v>28803.577781832999</v>
      </c>
      <c r="DH84" cm="1">
        <f t="array" aca="1" ref="DH84" ca="1">IF(ISNA(J84),,OFFSET(INDIRECT("'"&amp;DY$67&amp;"'!f1"),J84-1,))*1</f>
        <v>108.85581167787301</v>
      </c>
      <c r="DI84" cm="1">
        <f t="array" aca="1" ref="DI84" ca="1">IF(ISNA(K84),,OFFSET(INDIRECT("'"&amp;DZ$67&amp;"'!f1"),K84-1,))*1</f>
        <v>1303.1791579937501</v>
      </c>
      <c r="DJ84" cm="1">
        <f t="array" aca="1" ref="DJ84" ca="1">IF(ISNA(L84),,OFFSET(INDIRECT("'"&amp;EA$67&amp;"'!f1"),L84-1,))*1</f>
        <v>1261.04654789809</v>
      </c>
      <c r="DK84" cm="1">
        <f t="array" aca="1" ref="DK84" ca="1">IF(ISNA(M84),,OFFSET(INDIRECT("'"&amp;EB$67&amp;"'!f1"),M84-1,))*1</f>
        <v>31960.659111233799</v>
      </c>
      <c r="DL84" cm="1">
        <f t="array" aca="1" ref="DL84" ca="1">IF(ISNA(N84),,OFFSET(INDIRECT("'"&amp;EC$67&amp;"'!f1"),N84-1,))*1</f>
        <v>0.33638845699897502</v>
      </c>
      <c r="DM84" cm="1">
        <f t="array" aca="1" ref="DM84" ca="1">IF(ISNA(O84),,OFFSET(INDIRECT("'"&amp;ED$67&amp;"'!f1"),O84-1,))*1</f>
        <v>0.36932217600406098</v>
      </c>
      <c r="DN84" cm="1">
        <f t="array" aca="1" ref="DN84" ca="1">IF(ISNA(P84),,OFFSET(INDIRECT("'"&amp;EE$67&amp;"'!f1"),P84-1,))*1</f>
        <v>0</v>
      </c>
      <c r="DT84">
        <f t="shared" ca="1" si="60"/>
        <v>0</v>
      </c>
      <c r="DU84">
        <f t="shared" ca="1" si="60"/>
        <v>0</v>
      </c>
      <c r="DV84">
        <f t="shared" ca="1" si="60"/>
        <v>0</v>
      </c>
      <c r="DW84">
        <f t="shared" ca="1" si="60"/>
        <v>0</v>
      </c>
      <c r="DX84">
        <f t="shared" ca="1" si="60"/>
        <v>0</v>
      </c>
      <c r="DY84">
        <f t="shared" ca="1" si="60"/>
        <v>0</v>
      </c>
      <c r="DZ84">
        <f t="shared" ca="1" si="60"/>
        <v>0</v>
      </c>
      <c r="EA84">
        <f t="shared" ca="1" si="60"/>
        <v>2</v>
      </c>
      <c r="EB84">
        <f t="shared" ca="1" si="60"/>
        <v>0</v>
      </c>
      <c r="EC84">
        <f t="shared" ca="1" si="60"/>
        <v>0</v>
      </c>
      <c r="ED84">
        <f t="shared" ca="1" si="60"/>
        <v>0</v>
      </c>
      <c r="EE84">
        <f t="shared" ca="1" si="60"/>
        <v>0</v>
      </c>
      <c r="EK84" cm="1">
        <f t="array" aca="1" ref="EK84" ca="1">IF(ISNA(E84),0,OFFSET(INDIRECT("'"&amp;EK$67&amp;"'!g1"),E84-1,)*CL84)</f>
        <v>0</v>
      </c>
      <c r="EL84" cm="1">
        <f t="array" aca="1" ref="EL84" ca="1">IF(ISNA(F84),0,OFFSET(INDIRECT("'"&amp;EL$67&amp;"'!g1"),F84-1,)*CM84)</f>
        <v>0</v>
      </c>
      <c r="EM84" cm="1">
        <f t="array" aca="1" ref="EM84" ca="1">IF(ISNA(G84),0,OFFSET(INDIRECT("'"&amp;EM$67&amp;"'!g1"),G84-1,)*CN84)</f>
        <v>0</v>
      </c>
      <c r="EN84" cm="1">
        <f t="array" aca="1" ref="EN84" ca="1">IF(ISNA(H84),0,OFFSET(INDIRECT("'"&amp;EN$67&amp;"'!g1"),H84-1,)*CO84)</f>
        <v>0</v>
      </c>
      <c r="EO84" cm="1">
        <f t="array" aca="1" ref="EO84" ca="1">IF(ISNA(I84),0,OFFSET(INDIRECT("'"&amp;EO$67&amp;"'!g1"),I84-1,)*CP84)</f>
        <v>0</v>
      </c>
      <c r="EP84" cm="1">
        <f t="array" aca="1" ref="EP84" ca="1">IF(ISNA(J84),0,OFFSET(INDIRECT("'"&amp;EP$67&amp;"'!g1"),J84-1,)*CQ84)</f>
        <v>0</v>
      </c>
      <c r="EQ84" cm="1">
        <f t="array" aca="1" ref="EQ84" ca="1">IF(ISNA(K84),0,OFFSET(INDIRECT("'"&amp;EQ$67&amp;"'!g1"),K84-1,)*CR84)</f>
        <v>0</v>
      </c>
      <c r="ER84" cm="1">
        <f t="array" aca="1" ref="ER84" ca="1">IF(ISNA(L84),0,OFFSET(INDIRECT("'"&amp;ER$67&amp;"'!g1"),L84-1,)*CS84)</f>
        <v>2</v>
      </c>
      <c r="ES84" cm="1">
        <f t="array" aca="1" ref="ES84" ca="1">IF(ISNA(M84),0,OFFSET(INDIRECT("'"&amp;ES$67&amp;"'!g1"),M84-1,)*CT84)</f>
        <v>0</v>
      </c>
      <c r="ET84" cm="1">
        <f t="array" aca="1" ref="ET84" ca="1">IF(ISNA(N84),0,OFFSET(INDIRECT("'"&amp;ET$67&amp;"'!g1"),N84-1,)*CU84)</f>
        <v>0</v>
      </c>
      <c r="EU84" cm="1">
        <f t="array" aca="1" ref="EU84" ca="1">IF(ISNA(O84),0,OFFSET(INDIRECT("'"&amp;EU$67&amp;"'!g1"),O84-1,)*CV84)</f>
        <v>0</v>
      </c>
      <c r="EV84" cm="1">
        <f t="array" aca="1" ref="EV84" ca="1">IF(ISNA(P84),0,OFFSET(INDIRECT("'"&amp;EV$67&amp;"'!g1"),P84-1,)*CW84)</f>
        <v>0</v>
      </c>
      <c r="FB84" s="10" cm="1">
        <f t="array" aca="1" ref="FB84" ca="1">IF(ISNA(E84),0,OFFSET(INDIRECT("'"&amp;EK$67&amp;"'!h1"),E84-1,))</f>
        <v>1</v>
      </c>
      <c r="FC84" s="10" cm="1">
        <f t="array" aca="1" ref="FC84" ca="1">IF(ISNA(F84),0,OFFSET(INDIRECT("'"&amp;EL$67&amp;"'!h1"),F84-1,))</f>
        <v>1</v>
      </c>
      <c r="FD84" s="10" cm="1">
        <f t="array" aca="1" ref="FD84" ca="1">IF(ISNA(G84),0,OFFSET(INDIRECT("'"&amp;EM$67&amp;"'!h1"),G84-1,))</f>
        <v>1</v>
      </c>
      <c r="FE84" s="10" cm="1">
        <f t="array" aca="1" ref="FE84" ca="1">IF(ISNA(H84),0,OFFSET(INDIRECT("'"&amp;EN$67&amp;"'!h1"),H84-1,))</f>
        <v>1</v>
      </c>
      <c r="FF84" s="10" cm="1">
        <f t="array" aca="1" ref="FF84" ca="1">IF(ISNA(I84),0,OFFSET(INDIRECT("'"&amp;EO$67&amp;"'!h1"),I84-1,))</f>
        <v>1</v>
      </c>
      <c r="FG84" s="10" cm="1">
        <f t="array" aca="1" ref="FG84" ca="1">IF(ISNA(J84),0,OFFSET(INDIRECT("'"&amp;EP$67&amp;"'!h1"),J84-1,))</f>
        <v>1</v>
      </c>
      <c r="FH84" s="10" cm="1">
        <f t="array" aca="1" ref="FH84" ca="1">IF(ISNA(K84),0,OFFSET(INDIRECT("'"&amp;EQ$67&amp;"'!h1"),K84-1,))</f>
        <v>10000</v>
      </c>
      <c r="FI84" s="10" cm="1">
        <f t="array" aca="1" ref="FI84" ca="1">IF(ISNA(L84),0,OFFSET(INDIRECT("'"&amp;ER$67&amp;"'!h1"),L84-1,))</f>
        <v>10000</v>
      </c>
      <c r="FJ84" s="10" cm="1">
        <f t="array" aca="1" ref="FJ84" ca="1">IF(ISNA(M84),0,OFFSET(INDIRECT("'"&amp;ES$67&amp;"'!h1"),M84-1,))</f>
        <v>10000</v>
      </c>
      <c r="FK84" s="10" cm="1">
        <f t="array" aca="1" ref="FK84" ca="1">IF(ISNA(N84),0,OFFSET(INDIRECT("'"&amp;ET$67&amp;"'!h1"),N84-1,))</f>
        <v>1</v>
      </c>
      <c r="FL84" s="10" cm="1">
        <f t="array" aca="1" ref="FL84" ca="1">IF(ISNA(O84),0,OFFSET(INDIRECT("'"&amp;EU$67&amp;"'!h1"),O84-1,))</f>
        <v>1</v>
      </c>
      <c r="FM84" s="10" cm="1">
        <f t="array" aca="1" ref="FM84" ca="1">IF(ISNA(P84),0,OFFSET(INDIRECT("'"&amp;EV$67&amp;"'!h1"),P84-1,))</f>
        <v>0</v>
      </c>
      <c r="FN84" s="10"/>
      <c r="FO84" s="10"/>
      <c r="FP84" s="10"/>
      <c r="FQ84" s="10"/>
      <c r="FS84">
        <f t="shared" ca="1" si="61"/>
        <v>2160</v>
      </c>
      <c r="FT84">
        <f t="shared" ca="1" si="62"/>
        <v>1303.1791579937501</v>
      </c>
      <c r="FU84">
        <f t="shared" ca="1" si="63"/>
        <v>0</v>
      </c>
      <c r="FV84">
        <f t="shared" ca="1" si="64"/>
        <v>10000</v>
      </c>
      <c r="FW84" s="3">
        <f t="shared" ca="1" si="65"/>
        <v>0</v>
      </c>
      <c r="FX84" s="4" t="e">
        <f t="shared" ca="1" si="66"/>
        <v>#N/A</v>
      </c>
      <c r="FZ84" s="12">
        <f t="shared" ca="1" si="50"/>
        <v>2160</v>
      </c>
      <c r="GA84" s="24">
        <f t="shared" ca="1" si="67"/>
        <v>1.8125</v>
      </c>
      <c r="GB84" s="24">
        <f t="shared" ca="1" si="51"/>
        <v>2.1875</v>
      </c>
      <c r="GC84" s="24">
        <f t="shared" ca="1" si="51"/>
        <v>7.4375</v>
      </c>
      <c r="GD84" s="24" t="e">
        <f t="shared" ca="1" si="51"/>
        <v>#N/A</v>
      </c>
      <c r="GE84" s="24">
        <f t="shared" ca="1" si="51"/>
        <v>0.875</v>
      </c>
      <c r="GF84" s="24">
        <f t="shared" ca="1" si="51"/>
        <v>2.28125</v>
      </c>
      <c r="GG84" s="24">
        <f t="shared" ca="1" si="51"/>
        <v>1.5625</v>
      </c>
      <c r="GH84" s="24">
        <f t="shared" ca="1" si="51"/>
        <v>0</v>
      </c>
      <c r="GI84" s="24">
        <f t="shared" ca="1" si="51"/>
        <v>1.46875</v>
      </c>
      <c r="GJ84" s="24" t="e">
        <f t="shared" ca="1" si="51"/>
        <v>#N/A</v>
      </c>
      <c r="GK84" s="24" t="e">
        <f t="shared" ca="1" si="51"/>
        <v>#N/A</v>
      </c>
      <c r="GL84" s="24" t="e">
        <f t="shared" ca="1" si="51"/>
        <v>#N/A</v>
      </c>
      <c r="GM84" s="24"/>
      <c r="GN84">
        <f t="shared" ca="1" si="68"/>
        <v>2160</v>
      </c>
      <c r="GO84" s="4" t="e">
        <f t="shared" ca="1" si="69"/>
        <v>#N/A</v>
      </c>
      <c r="GP84" s="4" t="e">
        <f t="shared" ca="1" si="69"/>
        <v>#N/A</v>
      </c>
      <c r="GQ84" s="4" t="e">
        <f t="shared" ca="1" si="69"/>
        <v>#N/A</v>
      </c>
      <c r="GR84" s="4" t="e">
        <f t="shared" ca="1" si="69"/>
        <v>#N/A</v>
      </c>
      <c r="GS84" s="4" t="e">
        <f t="shared" ca="1" si="69"/>
        <v>#N/A</v>
      </c>
      <c r="GT84" s="4" t="e">
        <f t="shared" ca="1" si="70"/>
        <v>#N/A</v>
      </c>
      <c r="GU84" s="4" t="e">
        <f t="shared" ca="1" si="70"/>
        <v>#N/A</v>
      </c>
      <c r="GV84" s="4">
        <f t="shared" ca="1" si="70"/>
        <v>630.52327394904501</v>
      </c>
      <c r="GW84" s="4" t="e">
        <f t="shared" ca="1" si="70"/>
        <v>#N/A</v>
      </c>
      <c r="GX84" s="4" t="e">
        <f t="shared" ca="1" si="70"/>
        <v>#N/A</v>
      </c>
      <c r="GY84" s="4" t="e">
        <f t="shared" ca="1" si="70"/>
        <v>#N/A</v>
      </c>
      <c r="GZ84" s="4" t="e">
        <f t="shared" ca="1" si="70"/>
        <v>#N/A</v>
      </c>
      <c r="HB84" s="12">
        <f t="shared" ca="1" si="54"/>
        <v>2160</v>
      </c>
      <c r="HC84" s="3">
        <f t="shared" ca="1" si="71"/>
        <v>0</v>
      </c>
      <c r="HD84" s="3">
        <f t="shared" ca="1" si="55"/>
        <v>0</v>
      </c>
      <c r="HE84" s="3">
        <f t="shared" ca="1" si="55"/>
        <v>0</v>
      </c>
      <c r="HF84" s="3">
        <f t="shared" ca="1" si="55"/>
        <v>0</v>
      </c>
      <c r="HG84" s="3">
        <f t="shared" ca="1" si="55"/>
        <v>0</v>
      </c>
      <c r="HH84" s="3">
        <f t="shared" ca="1" si="55"/>
        <v>0</v>
      </c>
      <c r="HI84" s="3">
        <f t="shared" ca="1" si="55"/>
        <v>0</v>
      </c>
      <c r="HJ84" s="3">
        <f t="shared" ca="1" si="55"/>
        <v>2.0000000000000001E-4</v>
      </c>
      <c r="HK84" s="3">
        <f t="shared" ca="1" si="55"/>
        <v>0</v>
      </c>
      <c r="HL84" s="3">
        <f t="shared" ca="1" si="55"/>
        <v>0</v>
      </c>
      <c r="HM84" s="3">
        <f t="shared" ca="1" si="55"/>
        <v>0</v>
      </c>
      <c r="HN84" s="3">
        <f t="shared" ca="1" si="55"/>
        <v>0</v>
      </c>
    </row>
    <row r="85" spans="1:222" x14ac:dyDescent="0.2">
      <c r="A85" t="str" cm="1">
        <f t="array" aca="1" ref="A85" ca="1">INDIRECT($A$67&amp;"!A"&amp;ROW(C18)+$B$64)</f>
        <v>[[2520,8,54]]</v>
      </c>
      <c r="B85" cm="1">
        <f t="array" aca="1" ref="B85" ca="1">INDIRECT($A$67&amp;"!b"&amp;ROW(D18)+$B$64)</f>
        <v>2520</v>
      </c>
      <c r="C85">
        <f t="shared" ca="1" si="56"/>
        <v>50</v>
      </c>
      <c r="E85">
        <f t="shared" ca="1" si="72"/>
        <v>42</v>
      </c>
      <c r="F85">
        <f t="shared" ca="1" si="72"/>
        <v>43</v>
      </c>
      <c r="G85">
        <f t="shared" ca="1" si="72"/>
        <v>42</v>
      </c>
      <c r="H85">
        <f t="shared" ca="1" si="72"/>
        <v>42</v>
      </c>
      <c r="I85">
        <f t="shared" ca="1" si="72"/>
        <v>41</v>
      </c>
      <c r="J85">
        <f t="shared" ca="1" si="72"/>
        <v>43</v>
      </c>
      <c r="K85">
        <f t="shared" ca="1" si="72"/>
        <v>49</v>
      </c>
      <c r="L85">
        <f t="shared" ca="1" si="72"/>
        <v>51</v>
      </c>
      <c r="M85">
        <f t="shared" ca="1" si="72"/>
        <v>48</v>
      </c>
      <c r="N85">
        <f t="shared" ca="1" si="72"/>
        <v>42</v>
      </c>
      <c r="O85">
        <f t="shared" ca="1" si="72"/>
        <v>42</v>
      </c>
      <c r="P85" t="e">
        <f t="shared" ca="1" si="72"/>
        <v>#N/A</v>
      </c>
      <c r="V85" cm="1">
        <f t="array" aca="1" ref="V85" ca="1">IF(ISNA(E85),,OFFSET(INDIRECT("'"&amp;V$67&amp;"'!d1"),E85-1,))</f>
        <v>56</v>
      </c>
      <c r="W85" cm="1">
        <f t="array" aca="1" ref="W85" ca="1">IF(ISNA(F85),,OFFSET(INDIRECT("'"&amp;W$67&amp;"'!d1"),F85-1,))</f>
        <v>64</v>
      </c>
      <c r="X85" cm="1">
        <f t="array" aca="1" ref="X85" ca="1">IF(ISNA(G85),,OFFSET(INDIRECT("'"&amp;X$67&amp;"'!d1"),G85-1,))</f>
        <v>270</v>
      </c>
      <c r="Y85" cm="1">
        <f t="array" aca="1" ref="Y85" ca="1">IF(ISNA(H85),,OFFSET(INDIRECT("'"&amp;Y$67&amp;"'!d1"),H85-1,))</f>
        <v>0</v>
      </c>
      <c r="Z85" cm="1">
        <f t="array" aca="1" ref="Z85" ca="1">IF(ISNA(I85),,OFFSET(INDIRECT("'"&amp;Z$67&amp;"'!d1"),I85-1,))</f>
        <v>60</v>
      </c>
      <c r="AA85" cm="1">
        <f t="array" aca="1" ref="AA85" ca="1">IF(ISNA(J85),,OFFSET(INDIRECT("'"&amp;AA$67&amp;"'!d1"),J85-1,))</f>
        <v>72</v>
      </c>
      <c r="AB85" cm="1">
        <f t="array" aca="1" ref="AB85" ca="1">IF(ISNA(K85),,OFFSET(INDIRECT("'"&amp;AB$67&amp;"'!d1"),K85-1,))</f>
        <v>68</v>
      </c>
      <c r="AC85" cm="1">
        <f t="array" aca="1" ref="AC85" ca="1">IF(ISNA(L85),,OFFSET(INDIRECT("'"&amp;AC$67&amp;"'!d1"),L85-1,))</f>
        <v>52</v>
      </c>
      <c r="AD85" cm="1">
        <f t="array" aca="1" ref="AD85" ca="1">IF(ISNA(M85),,OFFSET(INDIRECT("'"&amp;AD$67&amp;"'!d1"),M85-1,))</f>
        <v>68</v>
      </c>
      <c r="AE85" cm="1">
        <f t="array" aca="1" ref="AE85" ca="1">IF(ISNA(N85),,OFFSET(INDIRECT("'"&amp;AE$67&amp;"'!d1"),N85-1,))</f>
        <v>0</v>
      </c>
      <c r="AF85" cm="1">
        <f t="array" aca="1" ref="AF85" ca="1">IF(ISNA(O85),,OFFSET(INDIRECT("'"&amp;AF$67&amp;"'!d1"),O85-1,))</f>
        <v>0</v>
      </c>
      <c r="AG85" cm="1">
        <f t="array" aca="1" ref="AG85" ca="1">IF(ISNA(P85),,OFFSET(INDIRECT("'"&amp;AG$67&amp;"'!d1"),P85-1,))</f>
        <v>0</v>
      </c>
      <c r="AM85">
        <f t="shared" ca="1" si="57"/>
        <v>0</v>
      </c>
      <c r="AN85">
        <f t="shared" ca="1" si="57"/>
        <v>0</v>
      </c>
      <c r="AO85">
        <f t="shared" ca="1" si="57"/>
        <v>0</v>
      </c>
      <c r="AP85">
        <f t="shared" ca="1" si="57"/>
        <v>0</v>
      </c>
      <c r="AQ85">
        <f t="shared" ca="1" si="58"/>
        <v>0</v>
      </c>
      <c r="AV85" t="str">
        <f t="shared" ca="1" si="59"/>
        <v/>
      </c>
      <c r="AW85" t="str">
        <f t="shared" ca="1" si="45"/>
        <v/>
      </c>
      <c r="AX85" t="str">
        <f t="shared" ca="1" si="45"/>
        <v/>
      </c>
      <c r="AY85" t="str">
        <f t="shared" ca="1" si="45"/>
        <v/>
      </c>
      <c r="AZ85" t="str">
        <f t="shared" ca="1" si="45"/>
        <v/>
      </c>
      <c r="BD85">
        <f t="shared" ca="1" si="46"/>
        <v>1</v>
      </c>
      <c r="BE85">
        <f t="shared" ca="1" si="46"/>
        <v>1</v>
      </c>
      <c r="BF85">
        <f t="shared" ca="1" si="46"/>
        <v>1</v>
      </c>
      <c r="BG85">
        <f t="shared" ca="1" si="46"/>
        <v>0</v>
      </c>
      <c r="BH85">
        <f t="shared" ca="1" si="46"/>
        <v>1</v>
      </c>
      <c r="BI85">
        <f t="shared" ca="1" si="46"/>
        <v>1</v>
      </c>
      <c r="BJ85">
        <f t="shared" ca="1" si="46"/>
        <v>1</v>
      </c>
      <c r="BK85">
        <f t="shared" ca="1" si="46"/>
        <v>1</v>
      </c>
      <c r="BL85">
        <f t="shared" ca="1" si="46"/>
        <v>1</v>
      </c>
      <c r="BM85">
        <f t="shared" ca="1" si="46"/>
        <v>0</v>
      </c>
      <c r="BN85">
        <f t="shared" ca="1" si="46"/>
        <v>0</v>
      </c>
      <c r="BO85">
        <f t="shared" ca="1" si="46"/>
        <v>0</v>
      </c>
      <c r="BU85">
        <f t="shared" ca="1" si="47"/>
        <v>56</v>
      </c>
      <c r="BV85">
        <f t="shared" ca="1" si="47"/>
        <v>64</v>
      </c>
      <c r="BW85">
        <f t="shared" ca="1" si="47"/>
        <v>270</v>
      </c>
      <c r="BX85">
        <f t="shared" ca="1" si="47"/>
        <v>2520</v>
      </c>
      <c r="BY85">
        <f t="shared" ca="1" si="47"/>
        <v>60</v>
      </c>
      <c r="BZ85">
        <f t="shared" ca="1" si="47"/>
        <v>72</v>
      </c>
      <c r="CA85">
        <f t="shared" ca="1" si="47"/>
        <v>68</v>
      </c>
      <c r="CB85">
        <f t="shared" ca="1" si="47"/>
        <v>52</v>
      </c>
      <c r="CC85">
        <f t="shared" ca="1" si="47"/>
        <v>68</v>
      </c>
      <c r="CD85">
        <f t="shared" ca="1" si="47"/>
        <v>2520</v>
      </c>
      <c r="CE85">
        <f t="shared" ca="1" si="47"/>
        <v>2520</v>
      </c>
      <c r="CF85">
        <f t="shared" ca="1" si="47"/>
        <v>2520</v>
      </c>
      <c r="CL85">
        <f t="shared" ca="1" si="48"/>
        <v>0</v>
      </c>
      <c r="CM85">
        <f t="shared" ca="1" si="48"/>
        <v>0</v>
      </c>
      <c r="CN85">
        <f t="shared" ca="1" si="48"/>
        <v>0</v>
      </c>
      <c r="CO85">
        <f t="shared" ca="1" si="48"/>
        <v>0</v>
      </c>
      <c r="CP85">
        <f t="shared" ca="1" si="48"/>
        <v>0</v>
      </c>
      <c r="CQ85">
        <f t="shared" ca="1" si="48"/>
        <v>0</v>
      </c>
      <c r="CR85">
        <f t="shared" ca="1" si="48"/>
        <v>0</v>
      </c>
      <c r="CS85">
        <f t="shared" ca="1" si="48"/>
        <v>0</v>
      </c>
      <c r="CT85">
        <f t="shared" ca="1" si="48"/>
        <v>0</v>
      </c>
      <c r="CU85">
        <f t="shared" ca="1" si="48"/>
        <v>0</v>
      </c>
      <c r="CV85">
        <f t="shared" ca="1" si="48"/>
        <v>0</v>
      </c>
      <c r="CW85">
        <f t="shared" ca="1" si="48"/>
        <v>0</v>
      </c>
      <c r="DC85" cm="1">
        <f t="array" aca="1" ref="DC85" ca="1">IF(ISNA(E85),,OFFSET(INDIRECT("'"&amp;DT$67&amp;"'!f1"),E85-1,))*1</f>
        <v>28854.312087975399</v>
      </c>
      <c r="DD85" cm="1">
        <f t="array" aca="1" ref="DD85" ca="1">IF(ISNA(F85),,OFFSET(INDIRECT("'"&amp;DU$67&amp;"'!f1"),F85-1,))*1</f>
        <v>28813.352203816099</v>
      </c>
      <c r="DE85" cm="1">
        <f t="array" aca="1" ref="DE85" ca="1">IF(ISNA(G85),,OFFSET(INDIRECT("'"&amp;DV$67&amp;"'!f1"),G85-1,))*1</f>
        <v>28800.549342364</v>
      </c>
      <c r="DF85" cm="1">
        <f t="array" aca="1" ref="DF85" ca="1">IF(ISNA(H85),,OFFSET(INDIRECT("'"&amp;DW$67&amp;"'!f1"),H85-1,))*1</f>
        <v>28800.397425748401</v>
      </c>
      <c r="DG85" cm="1">
        <f t="array" aca="1" ref="DG85" ca="1">IF(ISNA(I85),,OFFSET(INDIRECT("'"&amp;DX$67&amp;"'!f1"),I85-1,))*1</f>
        <v>28807.794125332901</v>
      </c>
      <c r="DH85" cm="1">
        <f t="array" aca="1" ref="DH85" ca="1">IF(ISNA(J85),,OFFSET(INDIRECT("'"&amp;DY$67&amp;"'!f1"),J85-1,))*1</f>
        <v>87.780956141650606</v>
      </c>
      <c r="DI85" cm="1">
        <f t="array" aca="1" ref="DI85" ca="1">IF(ISNA(K85),,OFFSET(INDIRECT("'"&amp;DZ$67&amp;"'!f1"),K85-1,))*1</f>
        <v>1322.2378642736001</v>
      </c>
      <c r="DJ85" cm="1">
        <f t="array" aca="1" ref="DJ85" ca="1">IF(ISNA(L85),,OFFSET(INDIRECT("'"&amp;EA$67&amp;"'!f1"),L85-1,))*1</f>
        <v>1310.0806835656899</v>
      </c>
      <c r="DK85" cm="1">
        <f t="array" aca="1" ref="DK85" ca="1">IF(ISNA(M85),,OFFSET(INDIRECT("'"&amp;EB$67&amp;"'!f1"),M85-1,))*1</f>
        <v>6691.4208752429104</v>
      </c>
      <c r="DL85" cm="1">
        <f t="array" aca="1" ref="DL85" ca="1">IF(ISNA(N85),,OFFSET(INDIRECT("'"&amp;EC$67&amp;"'!f1"),N85-1,))*1</f>
        <v>0.40124458000354901</v>
      </c>
      <c r="DM85" cm="1">
        <f t="array" aca="1" ref="DM85" ca="1">IF(ISNA(O85),,OFFSET(INDIRECT("'"&amp;ED$67&amp;"'!f1"),O85-1,))*1</f>
        <v>0.43741424000472701</v>
      </c>
      <c r="DN85" cm="1">
        <f t="array" aca="1" ref="DN85" ca="1">IF(ISNA(P85),,OFFSET(INDIRECT("'"&amp;EE$67&amp;"'!f1"),P85-1,))*1</f>
        <v>0</v>
      </c>
      <c r="DT85">
        <f t="shared" ca="1" si="60"/>
        <v>0</v>
      </c>
      <c r="DU85">
        <f t="shared" ca="1" si="60"/>
        <v>0</v>
      </c>
      <c r="DV85">
        <f t="shared" ca="1" si="60"/>
        <v>0</v>
      </c>
      <c r="DW85">
        <f t="shared" ca="1" si="60"/>
        <v>0</v>
      </c>
      <c r="DX85">
        <f t="shared" ca="1" si="60"/>
        <v>0</v>
      </c>
      <c r="DY85">
        <f t="shared" ca="1" si="60"/>
        <v>0</v>
      </c>
      <c r="DZ85">
        <f t="shared" ca="1" si="60"/>
        <v>0</v>
      </c>
      <c r="EA85">
        <f t="shared" ca="1" si="60"/>
        <v>0</v>
      </c>
      <c r="EB85">
        <f t="shared" ca="1" si="60"/>
        <v>0</v>
      </c>
      <c r="EC85">
        <f t="shared" ca="1" si="60"/>
        <v>0</v>
      </c>
      <c r="ED85">
        <f t="shared" ca="1" si="60"/>
        <v>0</v>
      </c>
      <c r="EE85">
        <f t="shared" ca="1" si="60"/>
        <v>0</v>
      </c>
      <c r="EK85" cm="1">
        <f t="array" aca="1" ref="EK85" ca="1">IF(ISNA(E85),0,OFFSET(INDIRECT("'"&amp;EK$67&amp;"'!g1"),E85-1,)*CL85)</f>
        <v>0</v>
      </c>
      <c r="EL85" cm="1">
        <f t="array" aca="1" ref="EL85" ca="1">IF(ISNA(F85),0,OFFSET(INDIRECT("'"&amp;EL$67&amp;"'!g1"),F85-1,)*CM85)</f>
        <v>0</v>
      </c>
      <c r="EM85" cm="1">
        <f t="array" aca="1" ref="EM85" ca="1">IF(ISNA(G85),0,OFFSET(INDIRECT("'"&amp;EM$67&amp;"'!g1"),G85-1,)*CN85)</f>
        <v>0</v>
      </c>
      <c r="EN85" cm="1">
        <f t="array" aca="1" ref="EN85" ca="1">IF(ISNA(H85),0,OFFSET(INDIRECT("'"&amp;EN$67&amp;"'!g1"),H85-1,)*CO85)</f>
        <v>0</v>
      </c>
      <c r="EO85" cm="1">
        <f t="array" aca="1" ref="EO85" ca="1">IF(ISNA(I85),0,OFFSET(INDIRECT("'"&amp;EO$67&amp;"'!g1"),I85-1,)*CP85)</f>
        <v>0</v>
      </c>
      <c r="EP85" cm="1">
        <f t="array" aca="1" ref="EP85" ca="1">IF(ISNA(J85),0,OFFSET(INDIRECT("'"&amp;EP$67&amp;"'!g1"),J85-1,)*CQ85)</f>
        <v>0</v>
      </c>
      <c r="EQ85" cm="1">
        <f t="array" aca="1" ref="EQ85" ca="1">IF(ISNA(K85),0,OFFSET(INDIRECT("'"&amp;EQ$67&amp;"'!g1"),K85-1,)*CR85)</f>
        <v>0</v>
      </c>
      <c r="ER85" cm="1">
        <f t="array" aca="1" ref="ER85" ca="1">IF(ISNA(L85),0,OFFSET(INDIRECT("'"&amp;ER$67&amp;"'!g1"),L85-1,)*CS85)</f>
        <v>0</v>
      </c>
      <c r="ES85" cm="1">
        <f t="array" aca="1" ref="ES85" ca="1">IF(ISNA(M85),0,OFFSET(INDIRECT("'"&amp;ES$67&amp;"'!g1"),M85-1,)*CT85)</f>
        <v>0</v>
      </c>
      <c r="ET85" cm="1">
        <f t="array" aca="1" ref="ET85" ca="1">IF(ISNA(N85),0,OFFSET(INDIRECT("'"&amp;ET$67&amp;"'!g1"),N85-1,)*CU85)</f>
        <v>0</v>
      </c>
      <c r="EU85" cm="1">
        <f t="array" aca="1" ref="EU85" ca="1">IF(ISNA(O85),0,OFFSET(INDIRECT("'"&amp;EU$67&amp;"'!g1"),O85-1,)*CV85)</f>
        <v>0</v>
      </c>
      <c r="EV85" cm="1">
        <f t="array" aca="1" ref="EV85" ca="1">IF(ISNA(P85),0,OFFSET(INDIRECT("'"&amp;EV$67&amp;"'!g1"),P85-1,)*CW85)</f>
        <v>0</v>
      </c>
      <c r="FB85" s="10" cm="1">
        <f t="array" aca="1" ref="FB85" ca="1">IF(ISNA(E85),0,OFFSET(INDIRECT("'"&amp;EK$67&amp;"'!h1"),E85-1,))</f>
        <v>1</v>
      </c>
      <c r="FC85" s="10" cm="1">
        <f t="array" aca="1" ref="FC85" ca="1">IF(ISNA(F85),0,OFFSET(INDIRECT("'"&amp;EL$67&amp;"'!h1"),F85-1,))</f>
        <v>1</v>
      </c>
      <c r="FD85" s="10" cm="1">
        <f t="array" aca="1" ref="FD85" ca="1">IF(ISNA(G85),0,OFFSET(INDIRECT("'"&amp;EM$67&amp;"'!h1"),G85-1,))</f>
        <v>1</v>
      </c>
      <c r="FE85" s="10" cm="1">
        <f t="array" aca="1" ref="FE85" ca="1">IF(ISNA(H85),0,OFFSET(INDIRECT("'"&amp;EN$67&amp;"'!h1"),H85-1,))</f>
        <v>1</v>
      </c>
      <c r="FF85" s="10" cm="1">
        <f t="array" aca="1" ref="FF85" ca="1">IF(ISNA(I85),0,OFFSET(INDIRECT("'"&amp;EO$67&amp;"'!h1"),I85-1,))</f>
        <v>1</v>
      </c>
      <c r="FG85" s="10" cm="1">
        <f t="array" aca="1" ref="FG85" ca="1">IF(ISNA(J85),0,OFFSET(INDIRECT("'"&amp;EP$67&amp;"'!h1"),J85-1,))</f>
        <v>1</v>
      </c>
      <c r="FH85" s="10" cm="1">
        <f t="array" aca="1" ref="FH85" ca="1">IF(ISNA(K85),0,OFFSET(INDIRECT("'"&amp;EQ$67&amp;"'!h1"),K85-1,))</f>
        <v>10000</v>
      </c>
      <c r="FI85" s="10" cm="1">
        <f t="array" aca="1" ref="FI85" ca="1">IF(ISNA(L85),0,OFFSET(INDIRECT("'"&amp;ER$67&amp;"'!h1"),L85-1,))</f>
        <v>10000</v>
      </c>
      <c r="FJ85" s="10" cm="1">
        <f t="array" aca="1" ref="FJ85" ca="1">IF(ISNA(M85),0,OFFSET(INDIRECT("'"&amp;ES$67&amp;"'!h1"),M85-1,))</f>
        <v>10000</v>
      </c>
      <c r="FK85" s="10" cm="1">
        <f t="array" aca="1" ref="FK85" ca="1">IF(ISNA(N85),0,OFFSET(INDIRECT("'"&amp;ET$67&amp;"'!h1"),N85-1,))</f>
        <v>1</v>
      </c>
      <c r="FL85" s="10" cm="1">
        <f t="array" aca="1" ref="FL85" ca="1">IF(ISNA(O85),0,OFFSET(INDIRECT("'"&amp;EU$67&amp;"'!h1"),O85-1,))</f>
        <v>1</v>
      </c>
      <c r="FM85" s="10" cm="1">
        <f t="array" aca="1" ref="FM85" ca="1">IF(ISNA(P85),0,OFFSET(INDIRECT("'"&amp;EV$67&amp;"'!h1"),P85-1,))</f>
        <v>0</v>
      </c>
      <c r="FN85" s="10"/>
      <c r="FO85" s="10"/>
      <c r="FP85" s="10"/>
      <c r="FQ85" s="10"/>
      <c r="FS85">
        <f t="shared" ca="1" si="61"/>
        <v>2520</v>
      </c>
      <c r="FT85">
        <f t="shared" ca="1" si="62"/>
        <v>1322.2378642736001</v>
      </c>
      <c r="FU85">
        <f t="shared" ca="1" si="63"/>
        <v>0</v>
      </c>
      <c r="FV85">
        <f t="shared" ca="1" si="64"/>
        <v>10000</v>
      </c>
      <c r="FW85" s="3">
        <f t="shared" ca="1" si="65"/>
        <v>0</v>
      </c>
      <c r="FX85" s="4" t="e">
        <f t="shared" ca="1" si="66"/>
        <v>#N/A</v>
      </c>
      <c r="FZ85" s="12">
        <f t="shared" ca="1" si="50"/>
        <v>2520</v>
      </c>
      <c r="GA85" s="24">
        <f t="shared" ca="1" si="67"/>
        <v>0.12</v>
      </c>
      <c r="GB85" s="24">
        <f t="shared" ca="1" si="51"/>
        <v>0.28000000000000003</v>
      </c>
      <c r="GC85" s="24">
        <f t="shared" ca="1" si="51"/>
        <v>4.4000000000000004</v>
      </c>
      <c r="GD85" s="24" t="e">
        <f t="shared" ca="1" si="51"/>
        <v>#N/A</v>
      </c>
      <c r="GE85" s="24">
        <f t="shared" ca="1" si="51"/>
        <v>0.2</v>
      </c>
      <c r="GF85" s="24">
        <f t="shared" ca="1" si="51"/>
        <v>0.44</v>
      </c>
      <c r="GG85" s="24">
        <f t="shared" ca="1" si="51"/>
        <v>0.36</v>
      </c>
      <c r="GH85" s="24">
        <f t="shared" ca="1" si="51"/>
        <v>0.04</v>
      </c>
      <c r="GI85" s="24">
        <f t="shared" ca="1" si="51"/>
        <v>0.36</v>
      </c>
      <c r="GJ85" s="24" t="e">
        <f t="shared" ca="1" si="51"/>
        <v>#N/A</v>
      </c>
      <c r="GK85" s="24" t="e">
        <f t="shared" ca="1" si="51"/>
        <v>#N/A</v>
      </c>
      <c r="GL85" s="24" t="e">
        <f t="shared" ca="1" si="51"/>
        <v>#N/A</v>
      </c>
      <c r="GM85" s="24"/>
      <c r="GN85">
        <f t="shared" ca="1" si="68"/>
        <v>2520</v>
      </c>
      <c r="GO85" s="4" t="e">
        <f t="shared" ca="1" si="69"/>
        <v>#N/A</v>
      </c>
      <c r="GP85" s="4" t="e">
        <f t="shared" ca="1" si="69"/>
        <v>#N/A</v>
      </c>
      <c r="GQ85" s="4" t="e">
        <f t="shared" ca="1" si="69"/>
        <v>#N/A</v>
      </c>
      <c r="GR85" s="4" t="e">
        <f t="shared" ca="1" si="69"/>
        <v>#N/A</v>
      </c>
      <c r="GS85" s="4" t="e">
        <f t="shared" ca="1" si="69"/>
        <v>#N/A</v>
      </c>
      <c r="GT85" s="4" t="e">
        <f t="shared" ca="1" si="70"/>
        <v>#N/A</v>
      </c>
      <c r="GU85" s="4" t="e">
        <f t="shared" ca="1" si="70"/>
        <v>#N/A</v>
      </c>
      <c r="GV85" s="4" t="e">
        <f t="shared" ca="1" si="70"/>
        <v>#N/A</v>
      </c>
      <c r="GW85" s="4" t="e">
        <f t="shared" ca="1" si="70"/>
        <v>#N/A</v>
      </c>
      <c r="GX85" s="4" t="e">
        <f t="shared" ca="1" si="70"/>
        <v>#N/A</v>
      </c>
      <c r="GY85" s="4" t="e">
        <f t="shared" ca="1" si="70"/>
        <v>#N/A</v>
      </c>
      <c r="GZ85" s="4" t="e">
        <f t="shared" ca="1" si="70"/>
        <v>#N/A</v>
      </c>
      <c r="HB85" s="12">
        <f t="shared" ca="1" si="54"/>
        <v>2520</v>
      </c>
      <c r="HC85" s="3">
        <f t="shared" ca="1" si="71"/>
        <v>0</v>
      </c>
      <c r="HD85" s="3">
        <f t="shared" ca="1" si="55"/>
        <v>0</v>
      </c>
      <c r="HE85" s="3">
        <f t="shared" ca="1" si="55"/>
        <v>0</v>
      </c>
      <c r="HF85" s="3">
        <f t="shared" ca="1" si="55"/>
        <v>0</v>
      </c>
      <c r="HG85" s="3">
        <f t="shared" ca="1" si="55"/>
        <v>0</v>
      </c>
      <c r="HH85" s="3">
        <f t="shared" ca="1" si="55"/>
        <v>0</v>
      </c>
      <c r="HI85" s="3">
        <f t="shared" ca="1" si="55"/>
        <v>0</v>
      </c>
      <c r="HJ85" s="3">
        <f t="shared" ca="1" si="55"/>
        <v>0</v>
      </c>
      <c r="HK85" s="3">
        <f t="shared" ca="1" si="55"/>
        <v>0</v>
      </c>
      <c r="HL85" s="3">
        <f t="shared" ca="1" si="55"/>
        <v>0</v>
      </c>
      <c r="HM85" s="3">
        <f t="shared" ca="1" si="55"/>
        <v>0</v>
      </c>
      <c r="HN85" s="3">
        <f t="shared" ca="1" si="55"/>
        <v>0</v>
      </c>
    </row>
    <row r="86" spans="1:222" x14ac:dyDescent="0.2">
      <c r="A86" t="str" cm="1">
        <f t="array" aca="1" ref="A86" ca="1">INDIRECT($A$67&amp;"!A"&amp;ROW(C19)+$B$64)</f>
        <v>[[2592,8,36]]</v>
      </c>
      <c r="B86" cm="1">
        <f t="array" aca="1" ref="B86" ca="1">INDIRECT($A$67&amp;"!b"&amp;ROW(D19)+$B$64)</f>
        <v>2592</v>
      </c>
      <c r="C86">
        <f t="shared" ca="1" si="56"/>
        <v>36</v>
      </c>
      <c r="E86">
        <f t="shared" ca="1" si="72"/>
        <v>43</v>
      </c>
      <c r="F86">
        <f t="shared" ca="1" si="72"/>
        <v>44</v>
      </c>
      <c r="G86">
        <f t="shared" ca="1" si="72"/>
        <v>43</v>
      </c>
      <c r="H86">
        <f t="shared" ca="1" si="72"/>
        <v>43</v>
      </c>
      <c r="I86">
        <f t="shared" ca="1" si="72"/>
        <v>44</v>
      </c>
      <c r="J86">
        <f t="shared" ca="1" si="72"/>
        <v>44</v>
      </c>
      <c r="K86">
        <f t="shared" ca="1" si="72"/>
        <v>50</v>
      </c>
      <c r="L86">
        <f t="shared" ca="1" si="72"/>
        <v>52</v>
      </c>
      <c r="M86">
        <f t="shared" ca="1" si="72"/>
        <v>49</v>
      </c>
      <c r="N86">
        <f t="shared" ca="1" si="72"/>
        <v>43</v>
      </c>
      <c r="O86">
        <f t="shared" ca="1" si="72"/>
        <v>43</v>
      </c>
      <c r="P86" t="e">
        <f t="shared" ca="1" si="72"/>
        <v>#N/A</v>
      </c>
      <c r="V86" cm="1">
        <f t="array" aca="1" ref="V86" ca="1">IF(ISNA(E86),,OFFSET(INDIRECT("'"&amp;V$67&amp;"'!d1"),E86-1,))</f>
        <v>68</v>
      </c>
      <c r="W86" cm="1">
        <f t="array" aca="1" ref="W86" ca="1">IF(ISNA(F86),,OFFSET(INDIRECT("'"&amp;W$67&amp;"'!d1"),F86-1,))</f>
        <v>48</v>
      </c>
      <c r="X86" cm="1">
        <f t="array" aca="1" ref="X86" ca="1">IF(ISNA(G86),,OFFSET(INDIRECT("'"&amp;X$67&amp;"'!d1"),G86-1,))</f>
        <v>680</v>
      </c>
      <c r="Y86" cm="1">
        <f t="array" aca="1" ref="Y86" ca="1">IF(ISNA(H86),,OFFSET(INDIRECT("'"&amp;Y$67&amp;"'!d1"),H86-1,))</f>
        <v>0</v>
      </c>
      <c r="Z86" cm="1">
        <f t="array" aca="1" ref="Z86" ca="1">IF(ISNA(I86),,OFFSET(INDIRECT("'"&amp;Z$67&amp;"'!d1"),I86-1,))</f>
        <v>136</v>
      </c>
      <c r="AA86" cm="1">
        <f t="array" aca="1" ref="AA86" ca="1">IF(ISNA(J86),,OFFSET(INDIRECT("'"&amp;AA$67&amp;"'!d1"),J86-1,))</f>
        <v>64</v>
      </c>
      <c r="AB86" cm="1">
        <f t="array" aca="1" ref="AB86" ca="1">IF(ISNA(K86),,OFFSET(INDIRECT("'"&amp;AB$67&amp;"'!d1"),K86-1,))</f>
        <v>60</v>
      </c>
      <c r="AC86" cm="1">
        <f t="array" aca="1" ref="AC86" ca="1">IF(ISNA(L86),,OFFSET(INDIRECT("'"&amp;AC$67&amp;"'!d1"),L86-1,))</f>
        <v>36</v>
      </c>
      <c r="AD86" cm="1">
        <f t="array" aca="1" ref="AD86" ca="1">IF(ISNA(M86),,OFFSET(INDIRECT("'"&amp;AD$67&amp;"'!d1"),M86-1,))</f>
        <v>62</v>
      </c>
      <c r="AE86" cm="1">
        <f t="array" aca="1" ref="AE86" ca="1">IF(ISNA(N86),,OFFSET(INDIRECT("'"&amp;AE$67&amp;"'!d1"),N86-1,))</f>
        <v>0</v>
      </c>
      <c r="AF86" cm="1">
        <f t="array" aca="1" ref="AF86" ca="1">IF(ISNA(O86),,OFFSET(INDIRECT("'"&amp;AF$67&amp;"'!d1"),O86-1,))</f>
        <v>0</v>
      </c>
      <c r="AG86" cm="1">
        <f t="array" aca="1" ref="AG86" ca="1">IF(ISNA(P86),,OFFSET(INDIRECT("'"&amp;AG$67&amp;"'!d1"),P86-1,))</f>
        <v>0</v>
      </c>
      <c r="AM86">
        <f t="shared" ca="1" si="57"/>
        <v>0</v>
      </c>
      <c r="AN86">
        <f t="shared" ca="1" si="57"/>
        <v>0</v>
      </c>
      <c r="AO86">
        <f t="shared" ca="1" si="57"/>
        <v>0</v>
      </c>
      <c r="AP86">
        <f t="shared" ca="1" si="57"/>
        <v>0</v>
      </c>
      <c r="AQ86">
        <f t="shared" ca="1" si="58"/>
        <v>0</v>
      </c>
      <c r="AV86" t="str">
        <f t="shared" ca="1" si="59"/>
        <v/>
      </c>
      <c r="AW86" t="str">
        <f t="shared" ca="1" si="45"/>
        <v/>
      </c>
      <c r="AX86" t="str">
        <f t="shared" ca="1" si="45"/>
        <v/>
      </c>
      <c r="AY86" t="str">
        <f t="shared" ca="1" si="45"/>
        <v/>
      </c>
      <c r="AZ86" t="str">
        <f t="shared" ca="1" si="45"/>
        <v/>
      </c>
      <c r="BD86">
        <f t="shared" ca="1" si="46"/>
        <v>1</v>
      </c>
      <c r="BE86">
        <f t="shared" ca="1" si="46"/>
        <v>1</v>
      </c>
      <c r="BF86">
        <f t="shared" ca="1" si="46"/>
        <v>1</v>
      </c>
      <c r="BG86">
        <f t="shared" ca="1" si="46"/>
        <v>0</v>
      </c>
      <c r="BH86">
        <f t="shared" ca="1" si="46"/>
        <v>1</v>
      </c>
      <c r="BI86">
        <f t="shared" ca="1" si="46"/>
        <v>1</v>
      </c>
      <c r="BJ86">
        <f t="shared" ca="1" si="46"/>
        <v>1</v>
      </c>
      <c r="BK86">
        <f t="shared" ca="1" si="46"/>
        <v>1</v>
      </c>
      <c r="BL86">
        <f t="shared" ca="1" si="46"/>
        <v>1</v>
      </c>
      <c r="BM86">
        <f t="shared" ca="1" si="46"/>
        <v>0</v>
      </c>
      <c r="BN86">
        <f t="shared" ca="1" si="46"/>
        <v>0</v>
      </c>
      <c r="BO86">
        <f t="shared" ca="1" si="46"/>
        <v>0</v>
      </c>
      <c r="BU86">
        <f t="shared" ca="1" si="47"/>
        <v>68</v>
      </c>
      <c r="BV86">
        <f t="shared" ca="1" si="47"/>
        <v>48</v>
      </c>
      <c r="BW86">
        <f t="shared" ca="1" si="47"/>
        <v>680</v>
      </c>
      <c r="BX86">
        <f t="shared" ca="1" si="47"/>
        <v>2592</v>
      </c>
      <c r="BY86">
        <f t="shared" ca="1" si="47"/>
        <v>136</v>
      </c>
      <c r="BZ86">
        <f t="shared" ca="1" si="47"/>
        <v>64</v>
      </c>
      <c r="CA86">
        <f t="shared" ca="1" si="47"/>
        <v>60</v>
      </c>
      <c r="CB86">
        <f t="shared" ca="1" si="47"/>
        <v>36</v>
      </c>
      <c r="CC86">
        <f t="shared" ca="1" si="47"/>
        <v>62</v>
      </c>
      <c r="CD86">
        <f t="shared" ca="1" si="47"/>
        <v>2592</v>
      </c>
      <c r="CE86">
        <f t="shared" ca="1" si="47"/>
        <v>2592</v>
      </c>
      <c r="CF86">
        <f t="shared" ca="1" si="47"/>
        <v>2592</v>
      </c>
      <c r="CL86">
        <f t="shared" ca="1" si="48"/>
        <v>0</v>
      </c>
      <c r="CM86">
        <f t="shared" ca="1" si="48"/>
        <v>0</v>
      </c>
      <c r="CN86">
        <f t="shared" ca="1" si="48"/>
        <v>0</v>
      </c>
      <c r="CO86">
        <f t="shared" ca="1" si="48"/>
        <v>0</v>
      </c>
      <c r="CP86">
        <f t="shared" ca="1" si="48"/>
        <v>0</v>
      </c>
      <c r="CQ86">
        <f t="shared" ca="1" si="48"/>
        <v>0</v>
      </c>
      <c r="CR86">
        <f t="shared" ca="1" si="48"/>
        <v>0</v>
      </c>
      <c r="CS86">
        <f t="shared" ca="1" si="48"/>
        <v>1</v>
      </c>
      <c r="CT86">
        <f t="shared" ca="1" si="48"/>
        <v>0</v>
      </c>
      <c r="CU86">
        <f t="shared" ca="1" si="48"/>
        <v>0</v>
      </c>
      <c r="CV86">
        <f t="shared" ca="1" si="48"/>
        <v>0</v>
      </c>
      <c r="CW86">
        <f t="shared" ca="1" si="48"/>
        <v>0</v>
      </c>
      <c r="DC86" cm="1">
        <f t="array" aca="1" ref="DC86" ca="1">IF(ISNA(E86),,OFFSET(INDIRECT("'"&amp;DT$67&amp;"'!f1"),E86-1,))*1</f>
        <v>28851.162602156401</v>
      </c>
      <c r="DD86" cm="1">
        <f t="array" aca="1" ref="DD86" ca="1">IF(ISNA(F86),,OFFSET(INDIRECT("'"&amp;DU$67&amp;"'!f1"),F86-1,))*1</f>
        <v>28816.122593067499</v>
      </c>
      <c r="DE86" cm="1">
        <f t="array" aca="1" ref="DE86" ca="1">IF(ISNA(G86),,OFFSET(INDIRECT("'"&amp;DV$67&amp;"'!f1"),G86-1,))*1</f>
        <v>28800.454601064299</v>
      </c>
      <c r="DF86" cm="1">
        <f t="array" aca="1" ref="DF86" ca="1">IF(ISNA(H86),,OFFSET(INDIRECT("'"&amp;DW$67&amp;"'!f1"),H86-1,))*1</f>
        <v>28800.760796048598</v>
      </c>
      <c r="DG86" cm="1">
        <f t="array" aca="1" ref="DG86" ca="1">IF(ISNA(I86),,OFFSET(INDIRECT("'"&amp;DX$67&amp;"'!f1"),I86-1,))*1</f>
        <v>28816.142093083901</v>
      </c>
      <c r="DH86" cm="1">
        <f t="array" aca="1" ref="DH86" ca="1">IF(ISNA(J86),,OFFSET(INDIRECT("'"&amp;DY$67&amp;"'!f1"),J86-1,))*1</f>
        <v>93.472090311348396</v>
      </c>
      <c r="DI86" cm="1">
        <f t="array" aca="1" ref="DI86" ca="1">IF(ISNA(K86),,OFFSET(INDIRECT("'"&amp;DZ$67&amp;"'!f1"),K86-1,))*1</f>
        <v>1421.45548123307</v>
      </c>
      <c r="DJ86" cm="1">
        <f t="array" aca="1" ref="DJ86" ca="1">IF(ISNA(L86),,OFFSET(INDIRECT("'"&amp;EA$67&amp;"'!f1"),L86-1,))*1</f>
        <v>1430.1932840719801</v>
      </c>
      <c r="DK86" cm="1">
        <f t="array" aca="1" ref="DK86" ca="1">IF(ISNA(M86),,OFFSET(INDIRECT("'"&amp;EB$67&amp;"'!f1"),M86-1,))*1</f>
        <v>9996.1552195590903</v>
      </c>
      <c r="DL86" cm="1">
        <f t="array" aca="1" ref="DL86" ca="1">IF(ISNA(N86),,OFFSET(INDIRECT("'"&amp;EC$67&amp;"'!f1"),N86-1,))*1</f>
        <v>0.42127963800157803</v>
      </c>
      <c r="DM86" cm="1">
        <f t="array" aca="1" ref="DM86" ca="1">IF(ISNA(O86),,OFFSET(INDIRECT("'"&amp;ED$67&amp;"'!f1"),O86-1,))*1</f>
        <v>0.46542935600155</v>
      </c>
      <c r="DN86" cm="1">
        <f t="array" aca="1" ref="DN86" ca="1">IF(ISNA(P86),,OFFSET(INDIRECT("'"&amp;EE$67&amp;"'!f1"),P86-1,))*1</f>
        <v>0</v>
      </c>
      <c r="DT86">
        <f t="shared" ca="1" si="60"/>
        <v>0</v>
      </c>
      <c r="DU86">
        <f t="shared" ca="1" si="60"/>
        <v>0</v>
      </c>
      <c r="DV86">
        <f t="shared" ca="1" si="60"/>
        <v>0</v>
      </c>
      <c r="DW86">
        <f t="shared" ca="1" si="60"/>
        <v>0</v>
      </c>
      <c r="DX86">
        <f t="shared" ca="1" si="60"/>
        <v>0</v>
      </c>
      <c r="DY86">
        <f t="shared" ca="1" si="60"/>
        <v>0</v>
      </c>
      <c r="DZ86">
        <f t="shared" ca="1" si="60"/>
        <v>0</v>
      </c>
      <c r="EA86">
        <f t="shared" ca="1" si="60"/>
        <v>1766</v>
      </c>
      <c r="EB86">
        <f t="shared" ca="1" si="60"/>
        <v>0</v>
      </c>
      <c r="EC86">
        <f t="shared" ca="1" si="60"/>
        <v>0</v>
      </c>
      <c r="ED86">
        <f t="shared" ca="1" si="60"/>
        <v>0</v>
      </c>
      <c r="EE86">
        <f t="shared" ca="1" si="60"/>
        <v>0</v>
      </c>
      <c r="EK86" cm="1">
        <f t="array" aca="1" ref="EK86" ca="1">IF(ISNA(E86),0,OFFSET(INDIRECT("'"&amp;EK$67&amp;"'!g1"),E86-1,)*CL86)</f>
        <v>0</v>
      </c>
      <c r="EL86" cm="1">
        <f t="array" aca="1" ref="EL86" ca="1">IF(ISNA(F86),0,OFFSET(INDIRECT("'"&amp;EL$67&amp;"'!g1"),F86-1,)*CM86)</f>
        <v>0</v>
      </c>
      <c r="EM86" cm="1">
        <f t="array" aca="1" ref="EM86" ca="1">IF(ISNA(G86),0,OFFSET(INDIRECT("'"&amp;EM$67&amp;"'!g1"),G86-1,)*CN86)</f>
        <v>0</v>
      </c>
      <c r="EN86" cm="1">
        <f t="array" aca="1" ref="EN86" ca="1">IF(ISNA(H86),0,OFFSET(INDIRECT("'"&amp;EN$67&amp;"'!g1"),H86-1,)*CO86)</f>
        <v>0</v>
      </c>
      <c r="EO86" cm="1">
        <f t="array" aca="1" ref="EO86" ca="1">IF(ISNA(I86),0,OFFSET(INDIRECT("'"&amp;EO$67&amp;"'!g1"),I86-1,)*CP86)</f>
        <v>0</v>
      </c>
      <c r="EP86" cm="1">
        <f t="array" aca="1" ref="EP86" ca="1">IF(ISNA(J86),0,OFFSET(INDIRECT("'"&amp;EP$67&amp;"'!g1"),J86-1,)*CQ86)</f>
        <v>0</v>
      </c>
      <c r="EQ86" cm="1">
        <f t="array" aca="1" ref="EQ86" ca="1">IF(ISNA(K86),0,OFFSET(INDIRECT("'"&amp;EQ$67&amp;"'!g1"),K86-1,)*CR86)</f>
        <v>0</v>
      </c>
      <c r="ER86" cm="1">
        <f t="array" aca="1" ref="ER86" ca="1">IF(ISNA(L86),0,OFFSET(INDIRECT("'"&amp;ER$67&amp;"'!g1"),L86-1,)*CS86)</f>
        <v>1766</v>
      </c>
      <c r="ES86" cm="1">
        <f t="array" aca="1" ref="ES86" ca="1">IF(ISNA(M86),0,OFFSET(INDIRECT("'"&amp;ES$67&amp;"'!g1"),M86-1,)*CT86)</f>
        <v>0</v>
      </c>
      <c r="ET86" cm="1">
        <f t="array" aca="1" ref="ET86" ca="1">IF(ISNA(N86),0,OFFSET(INDIRECT("'"&amp;ET$67&amp;"'!g1"),N86-1,)*CU86)</f>
        <v>0</v>
      </c>
      <c r="EU86" cm="1">
        <f t="array" aca="1" ref="EU86" ca="1">IF(ISNA(O86),0,OFFSET(INDIRECT("'"&amp;EU$67&amp;"'!g1"),O86-1,)*CV86)</f>
        <v>0</v>
      </c>
      <c r="EV86" cm="1">
        <f t="array" aca="1" ref="EV86" ca="1">IF(ISNA(P86),0,OFFSET(INDIRECT("'"&amp;EV$67&amp;"'!g1"),P86-1,)*CW86)</f>
        <v>0</v>
      </c>
      <c r="FB86" s="10" cm="1">
        <f t="array" aca="1" ref="FB86" ca="1">IF(ISNA(E86),0,OFFSET(INDIRECT("'"&amp;EK$67&amp;"'!h1"),E86-1,))</f>
        <v>1</v>
      </c>
      <c r="FC86" s="10" cm="1">
        <f t="array" aca="1" ref="FC86" ca="1">IF(ISNA(F86),0,OFFSET(INDIRECT("'"&amp;EL$67&amp;"'!h1"),F86-1,))</f>
        <v>1</v>
      </c>
      <c r="FD86" s="10" cm="1">
        <f t="array" aca="1" ref="FD86" ca="1">IF(ISNA(G86),0,OFFSET(INDIRECT("'"&amp;EM$67&amp;"'!h1"),G86-1,))</f>
        <v>1</v>
      </c>
      <c r="FE86" s="10" cm="1">
        <f t="array" aca="1" ref="FE86" ca="1">IF(ISNA(H86),0,OFFSET(INDIRECT("'"&amp;EN$67&amp;"'!h1"),H86-1,))</f>
        <v>1</v>
      </c>
      <c r="FF86" s="10" cm="1">
        <f t="array" aca="1" ref="FF86" ca="1">IF(ISNA(I86),0,OFFSET(INDIRECT("'"&amp;EO$67&amp;"'!h1"),I86-1,))</f>
        <v>1</v>
      </c>
      <c r="FG86" s="10" cm="1">
        <f t="array" aca="1" ref="FG86" ca="1">IF(ISNA(J86),0,OFFSET(INDIRECT("'"&amp;EP$67&amp;"'!h1"),J86-1,))</f>
        <v>1</v>
      </c>
      <c r="FH86" s="10" cm="1">
        <f t="array" aca="1" ref="FH86" ca="1">IF(ISNA(K86),0,OFFSET(INDIRECT("'"&amp;EQ$67&amp;"'!h1"),K86-1,))</f>
        <v>10000</v>
      </c>
      <c r="FI86" s="10" cm="1">
        <f t="array" aca="1" ref="FI86" ca="1">IF(ISNA(L86),0,OFFSET(INDIRECT("'"&amp;ER$67&amp;"'!h1"),L86-1,))</f>
        <v>10000</v>
      </c>
      <c r="FJ86" s="10" cm="1">
        <f t="array" aca="1" ref="FJ86" ca="1">IF(ISNA(M86),0,OFFSET(INDIRECT("'"&amp;ES$67&amp;"'!h1"),M86-1,))</f>
        <v>10000</v>
      </c>
      <c r="FK86" s="10" cm="1">
        <f t="array" aca="1" ref="FK86" ca="1">IF(ISNA(N86),0,OFFSET(INDIRECT("'"&amp;ET$67&amp;"'!h1"),N86-1,))</f>
        <v>1</v>
      </c>
      <c r="FL86" s="10" cm="1">
        <f t="array" aca="1" ref="FL86" ca="1">IF(ISNA(O86),0,OFFSET(INDIRECT("'"&amp;EU$67&amp;"'!h1"),O86-1,))</f>
        <v>1</v>
      </c>
      <c r="FM86" s="10" cm="1">
        <f t="array" aca="1" ref="FM86" ca="1">IF(ISNA(P86),0,OFFSET(INDIRECT("'"&amp;EV$67&amp;"'!h1"),P86-1,))</f>
        <v>0</v>
      </c>
      <c r="FN86" s="10"/>
      <c r="FO86" s="10"/>
      <c r="FP86" s="10"/>
      <c r="FQ86" s="10"/>
      <c r="FS86">
        <f t="shared" ca="1" si="61"/>
        <v>2592</v>
      </c>
      <c r="FT86">
        <f t="shared" ca="1" si="62"/>
        <v>1421.45548123307</v>
      </c>
      <c r="FU86">
        <f t="shared" ca="1" si="63"/>
        <v>0</v>
      </c>
      <c r="FV86">
        <f t="shared" ca="1" si="64"/>
        <v>10000</v>
      </c>
      <c r="FW86" s="3">
        <f t="shared" ca="1" si="65"/>
        <v>0</v>
      </c>
      <c r="FX86" s="4" t="e">
        <f t="shared" ca="1" si="66"/>
        <v>#N/A</v>
      </c>
      <c r="FZ86" s="12">
        <f t="shared" ca="1" si="50"/>
        <v>2592</v>
      </c>
      <c r="GA86" s="24">
        <f t="shared" ca="1" si="67"/>
        <v>0.88888888888888884</v>
      </c>
      <c r="GB86" s="24">
        <f t="shared" ca="1" si="51"/>
        <v>0.33333333333333331</v>
      </c>
      <c r="GC86" s="24">
        <f t="shared" ca="1" si="51"/>
        <v>17.888888888888889</v>
      </c>
      <c r="GD86" s="24" t="e">
        <f t="shared" ca="1" si="51"/>
        <v>#N/A</v>
      </c>
      <c r="GE86" s="24">
        <f t="shared" ca="1" si="51"/>
        <v>2.7777777777777777</v>
      </c>
      <c r="GF86" s="24">
        <f t="shared" ca="1" si="51"/>
        <v>0.77777777777777779</v>
      </c>
      <c r="GG86" s="24">
        <f t="shared" ca="1" si="51"/>
        <v>0.66666666666666663</v>
      </c>
      <c r="GH86" s="24">
        <f t="shared" ca="1" si="51"/>
        <v>0</v>
      </c>
      <c r="GI86" s="24">
        <f t="shared" ca="1" si="51"/>
        <v>0.72222222222222221</v>
      </c>
      <c r="GJ86" s="24" t="e">
        <f t="shared" ca="1" si="51"/>
        <v>#N/A</v>
      </c>
      <c r="GK86" s="24" t="e">
        <f t="shared" ca="1" si="51"/>
        <v>#N/A</v>
      </c>
      <c r="GL86" s="24" t="e">
        <f t="shared" ca="1" si="51"/>
        <v>#N/A</v>
      </c>
      <c r="GM86" s="24"/>
      <c r="GN86">
        <f t="shared" ca="1" si="68"/>
        <v>2592</v>
      </c>
      <c r="GO86" s="4" t="e">
        <f t="shared" ca="1" si="69"/>
        <v>#N/A</v>
      </c>
      <c r="GP86" s="4" t="e">
        <f t="shared" ca="1" si="69"/>
        <v>#N/A</v>
      </c>
      <c r="GQ86" s="4" t="e">
        <f t="shared" ca="1" si="69"/>
        <v>#N/A</v>
      </c>
      <c r="GR86" s="4" t="e">
        <f t="shared" ca="1" si="69"/>
        <v>#N/A</v>
      </c>
      <c r="GS86" s="4" t="e">
        <f t="shared" ca="1" si="69"/>
        <v>#N/A</v>
      </c>
      <c r="GT86" s="4" t="e">
        <f t="shared" ca="1" si="70"/>
        <v>#N/A</v>
      </c>
      <c r="GU86" s="4" t="e">
        <f t="shared" ca="1" si="70"/>
        <v>#N/A</v>
      </c>
      <c r="GV86" s="4">
        <f t="shared" ca="1" si="70"/>
        <v>0.80984897172818804</v>
      </c>
      <c r="GW86" s="4" t="e">
        <f t="shared" ca="1" si="70"/>
        <v>#N/A</v>
      </c>
      <c r="GX86" s="4" t="e">
        <f t="shared" ca="1" si="70"/>
        <v>#N/A</v>
      </c>
      <c r="GY86" s="4" t="e">
        <f t="shared" ca="1" si="70"/>
        <v>#N/A</v>
      </c>
      <c r="GZ86" s="4" t="e">
        <f t="shared" ca="1" si="70"/>
        <v>#N/A</v>
      </c>
      <c r="HB86" s="12">
        <f t="shared" ca="1" si="54"/>
        <v>2592</v>
      </c>
      <c r="HC86" s="3">
        <f t="shared" ca="1" si="71"/>
        <v>0</v>
      </c>
      <c r="HD86" s="3">
        <f t="shared" ca="1" si="55"/>
        <v>0</v>
      </c>
      <c r="HE86" s="3">
        <f t="shared" ca="1" si="55"/>
        <v>0</v>
      </c>
      <c r="HF86" s="3">
        <f t="shared" ca="1" si="55"/>
        <v>0</v>
      </c>
      <c r="HG86" s="3">
        <f t="shared" ca="1" si="55"/>
        <v>0</v>
      </c>
      <c r="HH86" s="3">
        <f t="shared" ca="1" si="55"/>
        <v>0</v>
      </c>
      <c r="HI86" s="3">
        <f t="shared" ca="1" si="55"/>
        <v>0</v>
      </c>
      <c r="HJ86" s="3">
        <f t="shared" ca="1" si="55"/>
        <v>0.17660000000000001</v>
      </c>
      <c r="HK86" s="3">
        <f t="shared" ca="1" si="55"/>
        <v>0</v>
      </c>
      <c r="HL86" s="3">
        <f t="shared" ca="1" si="55"/>
        <v>0</v>
      </c>
      <c r="HM86" s="3">
        <f t="shared" ca="1" si="55"/>
        <v>0</v>
      </c>
      <c r="HN86" s="3">
        <f t="shared" ca="1" si="55"/>
        <v>0</v>
      </c>
    </row>
    <row r="87" spans="1:222" x14ac:dyDescent="0.2">
      <c r="A87" t="str" cm="1">
        <f t="array" aca="1" ref="A87" ca="1">INDIRECT($A$67&amp;"!A"&amp;ROW(C20)+$B$64)</f>
        <v>[[3024,4,84]]</v>
      </c>
      <c r="B87" cm="1">
        <f t="array" aca="1" ref="B87" ca="1">INDIRECT($A$67&amp;"!b"&amp;ROW(D20)+$B$64)</f>
        <v>3024</v>
      </c>
      <c r="C87">
        <f t="shared" ca="1" si="56"/>
        <v>72</v>
      </c>
      <c r="E87">
        <f t="shared" ca="1" si="72"/>
        <v>44</v>
      </c>
      <c r="F87">
        <f t="shared" ca="1" si="72"/>
        <v>45</v>
      </c>
      <c r="G87">
        <f t="shared" ca="1" si="72"/>
        <v>44</v>
      </c>
      <c r="H87">
        <f t="shared" ca="1" si="72"/>
        <v>44</v>
      </c>
      <c r="I87">
        <f t="shared" ca="1" si="72"/>
        <v>47</v>
      </c>
      <c r="J87">
        <f t="shared" ca="1" si="72"/>
        <v>45</v>
      </c>
      <c r="K87">
        <f t="shared" ca="1" si="72"/>
        <v>51</v>
      </c>
      <c r="L87">
        <f t="shared" ca="1" si="72"/>
        <v>53</v>
      </c>
      <c r="M87">
        <f t="shared" ca="1" si="72"/>
        <v>50</v>
      </c>
      <c r="N87">
        <f t="shared" ca="1" si="72"/>
        <v>44</v>
      </c>
      <c r="O87">
        <f t="shared" ca="1" si="72"/>
        <v>44</v>
      </c>
      <c r="P87" t="e">
        <f t="shared" ca="1" si="72"/>
        <v>#N/A</v>
      </c>
      <c r="V87" cm="1">
        <f t="array" aca="1" ref="V87" ca="1">IF(ISNA(E87),,OFFSET(INDIRECT("'"&amp;V$67&amp;"'!d1"),E87-1,))</f>
        <v>88</v>
      </c>
      <c r="W87" cm="1">
        <f t="array" aca="1" ref="W87" ca="1">IF(ISNA(F87),,OFFSET(INDIRECT("'"&amp;W$67&amp;"'!d1"),F87-1,))</f>
        <v>238</v>
      </c>
      <c r="X87" cm="1">
        <f t="array" aca="1" ref="X87" ca="1">IF(ISNA(G87),,OFFSET(INDIRECT("'"&amp;X$67&amp;"'!d1"),G87-1,))</f>
        <v>858</v>
      </c>
      <c r="Y87" cm="1">
        <f t="array" aca="1" ref="Y87" ca="1">IF(ISNA(H87),,OFFSET(INDIRECT("'"&amp;Y$67&amp;"'!d1"),H87-1,))</f>
        <v>0</v>
      </c>
      <c r="Z87" cm="1">
        <f t="array" aca="1" ref="Z87" ca="1">IF(ISNA(I87),,OFFSET(INDIRECT("'"&amp;Z$67&amp;"'!d1"),I87-1,))</f>
        <v>72</v>
      </c>
      <c r="AA87" cm="1">
        <f t="array" aca="1" ref="AA87" ca="1">IF(ISNA(J87),,OFFSET(INDIRECT("'"&amp;AA$67&amp;"'!d1"),J87-1,))</f>
        <v>162</v>
      </c>
      <c r="AB87" cm="1">
        <f t="array" aca="1" ref="AB87" ca="1">IF(ISNA(K87),,OFFSET(INDIRECT("'"&amp;AB$67&amp;"'!d1"),K87-1,))</f>
        <v>170</v>
      </c>
      <c r="AC87" cm="1">
        <f t="array" aca="1" ref="AC87" ca="1">IF(ISNA(L87),,OFFSET(INDIRECT("'"&amp;AC$67&amp;"'!d1"),L87-1,))</f>
        <v>92</v>
      </c>
      <c r="AD87" cm="1">
        <f t="array" aca="1" ref="AD87" ca="1">IF(ISNA(M87),,OFFSET(INDIRECT("'"&amp;AD$67&amp;"'!d1"),M87-1,))</f>
        <v>152</v>
      </c>
      <c r="AE87" cm="1">
        <f t="array" aca="1" ref="AE87" ca="1">IF(ISNA(N87),,OFFSET(INDIRECT("'"&amp;AE$67&amp;"'!d1"),N87-1,))</f>
        <v>0</v>
      </c>
      <c r="AF87" cm="1">
        <f t="array" aca="1" ref="AF87" ca="1">IF(ISNA(O87),,OFFSET(INDIRECT("'"&amp;AF$67&amp;"'!d1"),O87-1,))</f>
        <v>0</v>
      </c>
      <c r="AG87" cm="1">
        <f t="array" aca="1" ref="AG87" ca="1">IF(ISNA(P87),,OFFSET(INDIRECT("'"&amp;AG$67&amp;"'!d1"),P87-1,))</f>
        <v>0</v>
      </c>
      <c r="AM87">
        <f t="shared" ref="AM87:AP87" ca="1" si="73">IF(DC87&gt;= $N$3,0,BD87)</f>
        <v>0</v>
      </c>
      <c r="AN87">
        <f t="shared" ca="1" si="73"/>
        <v>0</v>
      </c>
      <c r="AO87">
        <f t="shared" ca="1" si="73"/>
        <v>0</v>
      </c>
      <c r="AP87">
        <f t="shared" ca="1" si="73"/>
        <v>0</v>
      </c>
      <c r="AQ87">
        <f t="shared" ca="1" si="58"/>
        <v>0</v>
      </c>
      <c r="AV87" t="str">
        <f t="shared" ca="1" si="59"/>
        <v/>
      </c>
      <c r="AW87" t="str">
        <f t="shared" ca="1" si="59"/>
        <v/>
      </c>
      <c r="AX87" t="str">
        <f t="shared" ca="1" si="59"/>
        <v/>
      </c>
      <c r="AY87" t="str">
        <f t="shared" ca="1" si="59"/>
        <v/>
      </c>
      <c r="AZ87" t="str">
        <f t="shared" ca="1" si="59"/>
        <v/>
      </c>
      <c r="BD87">
        <f t="shared" ref="BD87:BO87" ca="1" si="74">IF(AND(V87&gt;0,V87&lt;$B87),1,0)</f>
        <v>1</v>
      </c>
      <c r="BE87">
        <f t="shared" ca="1" si="74"/>
        <v>1</v>
      </c>
      <c r="BF87">
        <f t="shared" ca="1" si="74"/>
        <v>1</v>
      </c>
      <c r="BG87">
        <f t="shared" ca="1" si="74"/>
        <v>0</v>
      </c>
      <c r="BH87">
        <f t="shared" ca="1" si="74"/>
        <v>1</v>
      </c>
      <c r="BI87">
        <f t="shared" ca="1" si="74"/>
        <v>1</v>
      </c>
      <c r="BJ87">
        <f t="shared" ca="1" si="74"/>
        <v>1</v>
      </c>
      <c r="BK87">
        <f t="shared" ca="1" si="74"/>
        <v>1</v>
      </c>
      <c r="BL87">
        <f t="shared" ca="1" si="74"/>
        <v>1</v>
      </c>
      <c r="BM87">
        <f t="shared" ca="1" si="74"/>
        <v>0</v>
      </c>
      <c r="BN87">
        <f t="shared" ca="1" si="74"/>
        <v>0</v>
      </c>
      <c r="BO87">
        <f t="shared" ca="1" si="74"/>
        <v>0</v>
      </c>
      <c r="BU87">
        <f t="shared" ref="BU87:CF87" ca="1" si="75">IF(BD87,V87,$B87)</f>
        <v>88</v>
      </c>
      <c r="BV87">
        <f t="shared" ca="1" si="75"/>
        <v>238</v>
      </c>
      <c r="BW87">
        <f t="shared" ca="1" si="75"/>
        <v>858</v>
      </c>
      <c r="BX87">
        <f t="shared" ca="1" si="75"/>
        <v>3024</v>
      </c>
      <c r="BY87">
        <f t="shared" ca="1" si="75"/>
        <v>72</v>
      </c>
      <c r="BZ87">
        <f t="shared" ca="1" si="75"/>
        <v>162</v>
      </c>
      <c r="CA87">
        <f t="shared" ca="1" si="75"/>
        <v>170</v>
      </c>
      <c r="CB87">
        <f t="shared" ca="1" si="75"/>
        <v>92</v>
      </c>
      <c r="CC87">
        <f t="shared" ca="1" si="75"/>
        <v>152</v>
      </c>
      <c r="CD87">
        <f t="shared" ca="1" si="75"/>
        <v>3024</v>
      </c>
      <c r="CE87">
        <f t="shared" ca="1" si="75"/>
        <v>3024</v>
      </c>
      <c r="CF87">
        <f t="shared" ca="1" si="75"/>
        <v>3024</v>
      </c>
      <c r="CL87">
        <f t="shared" ref="CL87:CW87" ca="1" si="76">IF(BU87=$C87,1,0)</f>
        <v>0</v>
      </c>
      <c r="CM87">
        <f t="shared" ca="1" si="76"/>
        <v>0</v>
      </c>
      <c r="CN87">
        <f t="shared" ca="1" si="76"/>
        <v>0</v>
      </c>
      <c r="CO87">
        <f t="shared" ca="1" si="76"/>
        <v>0</v>
      </c>
      <c r="CP87">
        <f t="shared" ca="1" si="76"/>
        <v>1</v>
      </c>
      <c r="CQ87">
        <f t="shared" ca="1" si="76"/>
        <v>0</v>
      </c>
      <c r="CR87">
        <f t="shared" ca="1" si="76"/>
        <v>0</v>
      </c>
      <c r="CS87">
        <f t="shared" ca="1" si="76"/>
        <v>0</v>
      </c>
      <c r="CT87">
        <f t="shared" ca="1" si="76"/>
        <v>0</v>
      </c>
      <c r="CU87">
        <f t="shared" ca="1" si="76"/>
        <v>0</v>
      </c>
      <c r="CV87">
        <f t="shared" ca="1" si="76"/>
        <v>0</v>
      </c>
      <c r="CW87">
        <f t="shared" ca="1" si="76"/>
        <v>0</v>
      </c>
      <c r="DC87" cm="1">
        <f t="array" aca="1" ref="DC87" ca="1">IF(ISNA(E87),,OFFSET(INDIRECT("'"&amp;DT$67&amp;"'!f1"),E87-1,))*1</f>
        <v>28844.2125263288</v>
      </c>
      <c r="DD87" cm="1">
        <f t="array" aca="1" ref="DD87" ca="1">IF(ISNA(F87),,OFFSET(INDIRECT("'"&amp;DU$67&amp;"'!f1"),F87-1,))*1</f>
        <v>28814.3673165664</v>
      </c>
      <c r="DE87" cm="1">
        <f t="array" aca="1" ref="DE87" ca="1">IF(ISNA(G87),,OFFSET(INDIRECT("'"&amp;DV$67&amp;"'!f1"),G87-1,))*1</f>
        <v>28800.594927780301</v>
      </c>
      <c r="DF87" cm="1">
        <f t="array" aca="1" ref="DF87" ca="1">IF(ISNA(H87),,OFFSET(INDIRECT("'"&amp;DW$67&amp;"'!f1"),H87-1,))*1</f>
        <v>28800.221383702901</v>
      </c>
      <c r="DG87" cm="1">
        <f t="array" aca="1" ref="DG87" ca="1">IF(ISNA(I87),,OFFSET(INDIRECT("'"&amp;DX$67&amp;"'!f1"),I87-1,))*1</f>
        <v>28811.915322416</v>
      </c>
      <c r="DH87" cm="1">
        <f t="array" aca="1" ref="DH87" ca="1">IF(ISNA(J87),,OFFSET(INDIRECT("'"&amp;DY$67&amp;"'!f1"),J87-1,))*1</f>
        <v>219.59011103212799</v>
      </c>
      <c r="DI87" cm="1">
        <f t="array" aca="1" ref="DI87" ca="1">IF(ISNA(K87),,OFFSET(INDIRECT("'"&amp;DZ$67&amp;"'!f1"),K87-1,))*1</f>
        <v>2771.3942460482899</v>
      </c>
      <c r="DJ87" cm="1">
        <f t="array" aca="1" ref="DJ87" ca="1">IF(ISNA(L87),,OFFSET(INDIRECT("'"&amp;EA$67&amp;"'!f1"),L87-1,))*1</f>
        <v>2621.3308551497698</v>
      </c>
      <c r="DK87" cm="1">
        <f t="array" aca="1" ref="DK87" ca="1">IF(ISNA(M87),,OFFSET(INDIRECT("'"&amp;EB$67&amp;"'!f1"),M87-1,))*1</f>
        <v>55303.274950175997</v>
      </c>
      <c r="DL87" cm="1">
        <f t="array" aca="1" ref="DL87" ca="1">IF(ISNA(N87),,OFFSET(INDIRECT("'"&amp;EC$67&amp;"'!f1"),N87-1,))*1</f>
        <v>0.52100808199611404</v>
      </c>
      <c r="DM87" cm="1">
        <f t="array" aca="1" ref="DM87" ca="1">IF(ISNA(O87),,OFFSET(INDIRECT("'"&amp;ED$67&amp;"'!f1"),O87-1,))*1</f>
        <v>0.572076782991644</v>
      </c>
      <c r="DN87" cm="1">
        <f t="array" aca="1" ref="DN87" ca="1">IF(ISNA(P87),,OFFSET(INDIRECT("'"&amp;EE$67&amp;"'!f1"),P87-1,))*1</f>
        <v>0</v>
      </c>
      <c r="DT87">
        <f t="shared" ref="DT87:EE87" ca="1" si="77">IF(CL87,EK87,)</f>
        <v>0</v>
      </c>
      <c r="DU87">
        <f t="shared" ca="1" si="77"/>
        <v>0</v>
      </c>
      <c r="DV87">
        <f t="shared" ca="1" si="77"/>
        <v>0</v>
      </c>
      <c r="DW87">
        <f t="shared" ca="1" si="77"/>
        <v>0</v>
      </c>
      <c r="DX87">
        <f t="shared" ca="1" si="77"/>
        <v>1</v>
      </c>
      <c r="DY87">
        <f t="shared" ca="1" si="77"/>
        <v>0</v>
      </c>
      <c r="DZ87">
        <f t="shared" ca="1" si="77"/>
        <v>0</v>
      </c>
      <c r="EA87">
        <f t="shared" ca="1" si="77"/>
        <v>0</v>
      </c>
      <c r="EB87">
        <f t="shared" ca="1" si="77"/>
        <v>0</v>
      </c>
      <c r="EC87">
        <f t="shared" ca="1" si="77"/>
        <v>0</v>
      </c>
      <c r="ED87">
        <f t="shared" ca="1" si="77"/>
        <v>0</v>
      </c>
      <c r="EE87">
        <f t="shared" ca="1" si="77"/>
        <v>0</v>
      </c>
      <c r="EK87" cm="1">
        <f t="array" aca="1" ref="EK87" ca="1">IF(ISNA(E87),0,OFFSET(INDIRECT("'"&amp;EK$67&amp;"'!g1"),E87-1,)*CL87)</f>
        <v>0</v>
      </c>
      <c r="EL87" cm="1">
        <f t="array" aca="1" ref="EL87" ca="1">IF(ISNA(F87),0,OFFSET(INDIRECT("'"&amp;EL$67&amp;"'!g1"),F87-1,)*CM87)</f>
        <v>0</v>
      </c>
      <c r="EM87" cm="1">
        <f t="array" aca="1" ref="EM87" ca="1">IF(ISNA(G87),0,OFFSET(INDIRECT("'"&amp;EM$67&amp;"'!g1"),G87-1,)*CN87)</f>
        <v>0</v>
      </c>
      <c r="EN87" cm="1">
        <f t="array" aca="1" ref="EN87" ca="1">IF(ISNA(H87),0,OFFSET(INDIRECT("'"&amp;EN$67&amp;"'!g1"),H87-1,)*CO87)</f>
        <v>0</v>
      </c>
      <c r="EO87" cm="1">
        <f t="array" aca="1" ref="EO87" ca="1">IF(ISNA(I87),0,OFFSET(INDIRECT("'"&amp;EO$67&amp;"'!g1"),I87-1,)*CP87)</f>
        <v>1</v>
      </c>
      <c r="EP87" cm="1">
        <f t="array" aca="1" ref="EP87" ca="1">IF(ISNA(J87),0,OFFSET(INDIRECT("'"&amp;EP$67&amp;"'!g1"),J87-1,)*CQ87)</f>
        <v>0</v>
      </c>
      <c r="EQ87" cm="1">
        <f t="array" aca="1" ref="EQ87" ca="1">IF(ISNA(K87),0,OFFSET(INDIRECT("'"&amp;EQ$67&amp;"'!g1"),K87-1,)*CR87)</f>
        <v>0</v>
      </c>
      <c r="ER87" cm="1">
        <f t="array" aca="1" ref="ER87" ca="1">IF(ISNA(L87),0,OFFSET(INDIRECT("'"&amp;ER$67&amp;"'!g1"),L87-1,)*CS87)</f>
        <v>0</v>
      </c>
      <c r="ES87" cm="1">
        <f t="array" aca="1" ref="ES87" ca="1">IF(ISNA(M87),0,OFFSET(INDIRECT("'"&amp;ES$67&amp;"'!g1"),M87-1,)*CT87)</f>
        <v>0</v>
      </c>
      <c r="ET87" cm="1">
        <f t="array" aca="1" ref="ET87" ca="1">IF(ISNA(N87),0,OFFSET(INDIRECT("'"&amp;ET$67&amp;"'!g1"),N87-1,)*CU87)</f>
        <v>0</v>
      </c>
      <c r="EU87" cm="1">
        <f t="array" aca="1" ref="EU87" ca="1">IF(ISNA(O87),0,OFFSET(INDIRECT("'"&amp;EU$67&amp;"'!g1"),O87-1,)*CV87)</f>
        <v>0</v>
      </c>
      <c r="EV87" cm="1">
        <f t="array" aca="1" ref="EV87" ca="1">IF(ISNA(P87),0,OFFSET(INDIRECT("'"&amp;EV$67&amp;"'!g1"),P87-1,)*CW87)</f>
        <v>0</v>
      </c>
      <c r="FB87" s="10" cm="1">
        <f t="array" aca="1" ref="FB87" ca="1">IF(ISNA(E87),0,OFFSET(INDIRECT("'"&amp;EK$67&amp;"'!h1"),E87-1,))</f>
        <v>1</v>
      </c>
      <c r="FC87" s="10" cm="1">
        <f t="array" aca="1" ref="FC87" ca="1">IF(ISNA(F87),0,OFFSET(INDIRECT("'"&amp;EL$67&amp;"'!h1"),F87-1,))</f>
        <v>1</v>
      </c>
      <c r="FD87" s="10" cm="1">
        <f t="array" aca="1" ref="FD87" ca="1">IF(ISNA(G87),0,OFFSET(INDIRECT("'"&amp;EM$67&amp;"'!h1"),G87-1,))</f>
        <v>1</v>
      </c>
      <c r="FE87" s="10" cm="1">
        <f t="array" aca="1" ref="FE87" ca="1">IF(ISNA(H87),0,OFFSET(INDIRECT("'"&amp;EN$67&amp;"'!h1"),H87-1,))</f>
        <v>1</v>
      </c>
      <c r="FF87" s="10" cm="1">
        <f t="array" aca="1" ref="FF87" ca="1">IF(ISNA(I87),0,OFFSET(INDIRECT("'"&amp;EO$67&amp;"'!h1"),I87-1,))</f>
        <v>1</v>
      </c>
      <c r="FG87" s="10" cm="1">
        <f t="array" aca="1" ref="FG87" ca="1">IF(ISNA(J87),0,OFFSET(INDIRECT("'"&amp;EP$67&amp;"'!h1"),J87-1,))</f>
        <v>1</v>
      </c>
      <c r="FH87" s="10" cm="1">
        <f t="array" aca="1" ref="FH87" ca="1">IF(ISNA(K87),0,OFFSET(INDIRECT("'"&amp;EQ$67&amp;"'!h1"),K87-1,))</f>
        <v>10000</v>
      </c>
      <c r="FI87" s="10" cm="1">
        <f t="array" aca="1" ref="FI87" ca="1">IF(ISNA(L87),0,OFFSET(INDIRECT("'"&amp;ER$67&amp;"'!h1"),L87-1,))</f>
        <v>10000</v>
      </c>
      <c r="FJ87" s="10" cm="1">
        <f t="array" aca="1" ref="FJ87" ca="1">IF(ISNA(M87),0,OFFSET(INDIRECT("'"&amp;ES$67&amp;"'!h1"),M87-1,))</f>
        <v>10000</v>
      </c>
      <c r="FK87" s="10" cm="1">
        <f t="array" aca="1" ref="FK87" ca="1">IF(ISNA(N87),0,OFFSET(INDIRECT("'"&amp;ET$67&amp;"'!h1"),N87-1,))</f>
        <v>1</v>
      </c>
      <c r="FL87" s="10" cm="1">
        <f t="array" aca="1" ref="FL87" ca="1">IF(ISNA(O87),0,OFFSET(INDIRECT("'"&amp;EU$67&amp;"'!h1"),O87-1,))</f>
        <v>1</v>
      </c>
      <c r="FM87" s="10" cm="1">
        <f t="array" aca="1" ref="FM87" ca="1">IF(ISNA(P87),0,OFFSET(INDIRECT("'"&amp;EV$67&amp;"'!h1"),P87-1,))</f>
        <v>0</v>
      </c>
      <c r="FN87" s="10"/>
      <c r="FO87" s="10"/>
      <c r="FP87" s="10"/>
      <c r="FQ87" s="10"/>
      <c r="FS87">
        <f t="shared" ca="1" si="61"/>
        <v>3024</v>
      </c>
      <c r="FT87">
        <f t="shared" ca="1" si="62"/>
        <v>2771.3942460482899</v>
      </c>
      <c r="FU87">
        <f t="shared" ca="1" si="63"/>
        <v>0</v>
      </c>
      <c r="FV87">
        <f t="shared" ca="1" si="64"/>
        <v>10000</v>
      </c>
      <c r="FW87" s="3">
        <f t="shared" ca="1" si="65"/>
        <v>0</v>
      </c>
      <c r="FX87" s="4" t="e">
        <f t="shared" ca="1" si="66"/>
        <v>#N/A</v>
      </c>
      <c r="FZ87" s="12">
        <f t="shared" ca="1" si="50"/>
        <v>3024</v>
      </c>
      <c r="GA87" s="24">
        <f t="shared" ca="1" si="67"/>
        <v>0.22222222222222221</v>
      </c>
      <c r="GB87" s="24">
        <f t="shared" ca="1" si="51"/>
        <v>2.3055555555555554</v>
      </c>
      <c r="GC87" s="24">
        <f t="shared" ca="1" si="51"/>
        <v>10.916666666666666</v>
      </c>
      <c r="GD87" s="24" t="e">
        <f t="shared" ca="1" si="51"/>
        <v>#N/A</v>
      </c>
      <c r="GE87" s="24">
        <f t="shared" ca="1" si="51"/>
        <v>0</v>
      </c>
      <c r="GF87" s="24">
        <f t="shared" ca="1" si="51"/>
        <v>1.25</v>
      </c>
      <c r="GG87" s="24">
        <f t="shared" ca="1" si="51"/>
        <v>1.3611111111111112</v>
      </c>
      <c r="GH87" s="24">
        <f t="shared" ca="1" si="51"/>
        <v>0.27777777777777779</v>
      </c>
      <c r="GI87" s="24">
        <f t="shared" ca="1" si="51"/>
        <v>1.1111111111111112</v>
      </c>
      <c r="GJ87" s="24" t="e">
        <f t="shared" ca="1" si="51"/>
        <v>#N/A</v>
      </c>
      <c r="GK87" s="24" t="e">
        <f t="shared" ca="1" si="51"/>
        <v>#N/A</v>
      </c>
      <c r="GL87" s="24" t="e">
        <f t="shared" ca="1" si="51"/>
        <v>#N/A</v>
      </c>
      <c r="GM87" s="24"/>
      <c r="GN87">
        <f t="shared" ca="1" si="68"/>
        <v>3024</v>
      </c>
      <c r="GO87" s="4" t="e">
        <f t="shared" ca="1" si="69"/>
        <v>#N/A</v>
      </c>
      <c r="GP87" s="4" t="e">
        <f t="shared" ca="1" si="69"/>
        <v>#N/A</v>
      </c>
      <c r="GQ87" s="4" t="e">
        <f t="shared" ca="1" si="69"/>
        <v>#N/A</v>
      </c>
      <c r="GR87" s="4" t="e">
        <f t="shared" ca="1" si="69"/>
        <v>#N/A</v>
      </c>
      <c r="GS87" s="4" t="e">
        <f t="shared" ca="1" si="69"/>
        <v>#N/A</v>
      </c>
      <c r="GT87" s="4" t="e">
        <f t="shared" ca="1" si="70"/>
        <v>#N/A</v>
      </c>
      <c r="GU87" s="4" t="e">
        <f t="shared" ca="1" si="70"/>
        <v>#N/A</v>
      </c>
      <c r="GV87" s="4" t="e">
        <f t="shared" ca="1" si="70"/>
        <v>#N/A</v>
      </c>
      <c r="GW87" s="4" t="e">
        <f t="shared" ca="1" si="70"/>
        <v>#N/A</v>
      </c>
      <c r="GX87" s="4" t="e">
        <f t="shared" ca="1" si="70"/>
        <v>#N/A</v>
      </c>
      <c r="GY87" s="4" t="e">
        <f t="shared" ca="1" si="70"/>
        <v>#N/A</v>
      </c>
      <c r="GZ87" s="4" t="e">
        <f t="shared" ca="1" si="70"/>
        <v>#N/A</v>
      </c>
      <c r="HB87" s="12">
        <f t="shared" ca="1" si="54"/>
        <v>3024</v>
      </c>
      <c r="HC87" s="3">
        <f t="shared" ca="1" si="71"/>
        <v>0</v>
      </c>
      <c r="HD87" s="3">
        <f t="shared" ca="1" si="55"/>
        <v>0</v>
      </c>
      <c r="HE87" s="3">
        <f t="shared" ca="1" si="55"/>
        <v>0</v>
      </c>
      <c r="HF87" s="3">
        <f t="shared" ca="1" si="55"/>
        <v>0</v>
      </c>
      <c r="HG87" s="3">
        <f t="shared" ca="1" si="55"/>
        <v>1</v>
      </c>
      <c r="HH87" s="3">
        <f t="shared" ca="1" si="55"/>
        <v>0</v>
      </c>
      <c r="HI87" s="3">
        <f t="shared" ca="1" si="55"/>
        <v>0</v>
      </c>
      <c r="HJ87" s="3">
        <f t="shared" ca="1" si="55"/>
        <v>0</v>
      </c>
      <c r="HK87" s="3">
        <f t="shared" ca="1" si="55"/>
        <v>0</v>
      </c>
      <c r="HL87" s="3">
        <f t="shared" ca="1" si="55"/>
        <v>0</v>
      </c>
      <c r="HM87" s="3">
        <f t="shared" ca="1" si="55"/>
        <v>0</v>
      </c>
      <c r="HN87" s="3">
        <f t="shared" ca="1" si="55"/>
        <v>0</v>
      </c>
    </row>
    <row r="88" spans="1:222" x14ac:dyDescent="0.2">
      <c r="FB88" s="10"/>
      <c r="FC88" s="10"/>
      <c r="FD88" s="10"/>
      <c r="FE88" s="10"/>
      <c r="FF88" s="10"/>
      <c r="FG88" s="10"/>
      <c r="FH88" s="10"/>
      <c r="FI88" s="10"/>
      <c r="FJ88" s="10"/>
      <c r="FK88" s="10"/>
      <c r="FL88" s="10"/>
      <c r="FM88" s="10"/>
      <c r="FN88" s="10"/>
      <c r="FO88" s="10"/>
      <c r="FP88" s="10"/>
      <c r="FQ88" s="10"/>
      <c r="FW88" s="3"/>
      <c r="FX88" s="4"/>
      <c r="FZ88" s="12"/>
      <c r="GA88" s="24"/>
      <c r="GB88" s="24"/>
      <c r="GC88" s="24"/>
      <c r="GD88" s="24"/>
      <c r="GE88" s="24"/>
      <c r="GF88" s="24"/>
      <c r="GG88" s="24"/>
      <c r="GH88" s="24"/>
      <c r="GI88" s="24"/>
      <c r="GJ88" s="24"/>
      <c r="GK88" s="24"/>
      <c r="GL88" s="24"/>
      <c r="GM88" s="24"/>
      <c r="GO88" s="4"/>
      <c r="GP88" s="4"/>
      <c r="GQ88" s="4"/>
      <c r="GR88" s="4"/>
      <c r="GS88" s="4"/>
      <c r="GT88" s="4"/>
      <c r="GU88" s="4"/>
      <c r="GV88" s="4"/>
      <c r="GW88" s="4"/>
      <c r="GX88" s="4"/>
      <c r="GY88" s="4"/>
      <c r="GZ88" s="4"/>
      <c r="HB88" s="12"/>
      <c r="HC88" s="3"/>
      <c r="HD88" s="3"/>
      <c r="HE88" s="3"/>
      <c r="HF88" s="3"/>
      <c r="HG88" s="3"/>
      <c r="HH88" s="3"/>
      <c r="HI88" s="3"/>
      <c r="HJ88" s="3"/>
      <c r="HK88" s="3"/>
      <c r="HL88" s="3"/>
      <c r="HM88" s="3"/>
      <c r="HN88" s="3"/>
    </row>
    <row r="89" spans="1:222" x14ac:dyDescent="0.2">
      <c r="FB89" s="10"/>
      <c r="FC89" s="10"/>
      <c r="FD89" s="10"/>
      <c r="FE89" s="10"/>
      <c r="FF89" s="10"/>
      <c r="FG89" s="10"/>
      <c r="FH89" s="10"/>
      <c r="FI89" s="10"/>
      <c r="FJ89" s="10"/>
      <c r="FK89" s="10"/>
      <c r="FL89" s="10"/>
      <c r="FM89" s="10"/>
      <c r="FN89" s="10"/>
      <c r="FO89" s="10"/>
      <c r="FP89" s="10"/>
      <c r="FQ89" s="10"/>
      <c r="FW89" s="3"/>
      <c r="FX89" s="4"/>
      <c r="FZ89" s="12"/>
      <c r="GA89" s="24"/>
      <c r="GB89" s="24"/>
      <c r="GC89" s="24"/>
      <c r="GD89" s="24"/>
      <c r="GE89" s="24"/>
      <c r="GF89" s="24"/>
      <c r="GG89" s="24"/>
      <c r="GH89" s="24"/>
      <c r="GI89" s="24"/>
      <c r="GJ89" s="24"/>
      <c r="GK89" s="24"/>
      <c r="GL89" s="24"/>
      <c r="GM89" s="24"/>
      <c r="GO89" s="4"/>
      <c r="GP89" s="4"/>
      <c r="GQ89" s="4"/>
      <c r="GR89" s="4"/>
      <c r="GS89" s="4"/>
      <c r="GT89" s="4"/>
      <c r="GU89" s="4"/>
      <c r="GV89" s="4"/>
      <c r="GW89" s="4"/>
      <c r="GX89" s="4"/>
      <c r="GY89" s="4"/>
      <c r="GZ89" s="4"/>
      <c r="HB89" s="12"/>
      <c r="HC89" s="3"/>
      <c r="HD89" s="3"/>
      <c r="HE89" s="3"/>
      <c r="HF89" s="3"/>
      <c r="HG89" s="3"/>
      <c r="HH89" s="3"/>
      <c r="HI89" s="3"/>
      <c r="HJ89" s="3"/>
      <c r="HK89" s="3"/>
      <c r="HL89" s="3"/>
      <c r="HM89" s="3"/>
      <c r="HN89" s="3"/>
    </row>
    <row r="90" spans="1:222" x14ac:dyDescent="0.2">
      <c r="FB90" s="10"/>
      <c r="FC90" s="10"/>
      <c r="FD90" s="10"/>
      <c r="FE90" s="10"/>
      <c r="FF90" s="10"/>
      <c r="FG90" s="10"/>
      <c r="FH90" s="10"/>
      <c r="FI90" s="10"/>
      <c r="FJ90" s="10"/>
      <c r="FK90" s="10"/>
      <c r="FL90" s="10"/>
      <c r="FM90" s="10"/>
      <c r="FN90" s="10"/>
      <c r="FO90" s="10"/>
      <c r="FP90" s="10"/>
      <c r="FQ90" s="10"/>
      <c r="FW90" s="3"/>
      <c r="FX90" s="4"/>
      <c r="FZ90" s="12"/>
      <c r="GA90" s="24"/>
      <c r="GB90" s="24"/>
      <c r="GC90" s="24"/>
      <c r="GD90" s="24"/>
      <c r="GE90" s="24"/>
      <c r="GF90" s="24"/>
      <c r="GG90" s="24"/>
      <c r="GH90" s="24"/>
      <c r="GI90" s="24"/>
      <c r="GJ90" s="24"/>
      <c r="GK90" s="24"/>
      <c r="GL90" s="24"/>
      <c r="GM90" s="24"/>
      <c r="GO90" s="4"/>
      <c r="GP90" s="4"/>
      <c r="GQ90" s="4"/>
      <c r="GR90" s="4"/>
      <c r="GS90" s="4"/>
      <c r="GT90" s="4"/>
      <c r="GU90" s="4"/>
      <c r="GV90" s="4"/>
      <c r="GW90" s="4"/>
      <c r="GX90" s="4"/>
      <c r="GY90" s="4"/>
      <c r="GZ90" s="4"/>
      <c r="HB90" s="12"/>
      <c r="HC90" s="3"/>
      <c r="HD90" s="3"/>
      <c r="HE90" s="3"/>
      <c r="HF90" s="3"/>
      <c r="HG90" s="3"/>
      <c r="HH90" s="3"/>
      <c r="HI90" s="3"/>
      <c r="HJ90" s="3"/>
      <c r="HK90" s="3"/>
      <c r="HL90" s="3"/>
      <c r="HM90" s="3"/>
      <c r="HN90" s="3"/>
    </row>
    <row r="91" spans="1:222" x14ac:dyDescent="0.2">
      <c r="FB91" s="10"/>
      <c r="FC91" s="10"/>
      <c r="FD91" s="10"/>
      <c r="FE91" s="10"/>
      <c r="FF91" s="10"/>
      <c r="FG91" s="10"/>
      <c r="FH91" s="10"/>
      <c r="FI91" s="10"/>
      <c r="FJ91" s="10"/>
      <c r="FK91" s="10"/>
      <c r="FL91" s="10"/>
      <c r="FM91" s="10"/>
      <c r="FN91" s="10"/>
      <c r="FO91" s="10"/>
      <c r="FP91" s="10"/>
      <c r="FQ91" s="10"/>
      <c r="FW91" s="3"/>
      <c r="FX91" s="4"/>
      <c r="FZ91" s="12"/>
      <c r="GA91" s="24"/>
      <c r="GB91" s="24"/>
      <c r="GC91" s="24"/>
      <c r="GD91" s="24"/>
      <c r="GE91" s="24"/>
      <c r="GF91" s="24"/>
      <c r="GG91" s="24"/>
      <c r="GH91" s="24"/>
      <c r="GI91" s="24"/>
      <c r="GJ91" s="24"/>
      <c r="GK91" s="24"/>
      <c r="GL91" s="24"/>
      <c r="GM91" s="24"/>
      <c r="GO91" s="4"/>
      <c r="GP91" s="4"/>
      <c r="GQ91" s="4"/>
      <c r="GR91" s="4"/>
      <c r="GS91" s="4"/>
      <c r="GT91" s="4"/>
      <c r="GU91" s="4"/>
      <c r="GV91" s="4"/>
      <c r="GW91" s="4"/>
      <c r="GX91" s="4"/>
      <c r="GY91" s="4"/>
      <c r="GZ91" s="4"/>
      <c r="HB91" s="12"/>
      <c r="HC91" s="3"/>
      <c r="HD91" s="3"/>
      <c r="HE91" s="3"/>
      <c r="HF91" s="3"/>
      <c r="HG91" s="3"/>
      <c r="HH91" s="3"/>
      <c r="HI91" s="3"/>
      <c r="HJ91" s="3"/>
      <c r="HK91" s="3"/>
      <c r="HL91" s="3"/>
      <c r="HM91" s="3"/>
      <c r="HN91" s="3"/>
    </row>
    <row r="92" spans="1:222" x14ac:dyDescent="0.2">
      <c r="FB92" s="10"/>
      <c r="FC92" s="10"/>
      <c r="FD92" s="10"/>
      <c r="FE92" s="10"/>
      <c r="FF92" s="10"/>
      <c r="FG92" s="10"/>
      <c r="FH92" s="10"/>
      <c r="FI92" s="10"/>
      <c r="FJ92" s="10"/>
      <c r="FK92" s="10"/>
      <c r="FL92" s="10"/>
      <c r="FM92" s="10"/>
      <c r="FN92" s="10"/>
      <c r="FO92" s="10"/>
      <c r="FP92" s="10"/>
      <c r="FQ92" s="10"/>
      <c r="FW92" s="3"/>
      <c r="FX92" s="4"/>
      <c r="FZ92" s="12"/>
      <c r="GA92" s="24"/>
      <c r="GB92" s="24"/>
      <c r="GC92" s="24"/>
      <c r="GD92" s="24"/>
      <c r="GE92" s="24"/>
      <c r="GF92" s="24"/>
      <c r="GG92" s="24"/>
      <c r="GH92" s="24"/>
      <c r="GI92" s="24"/>
      <c r="GJ92" s="24"/>
      <c r="GK92" s="24"/>
      <c r="GL92" s="24"/>
      <c r="GM92" s="24"/>
      <c r="GO92" s="4"/>
      <c r="GP92" s="4"/>
      <c r="GQ92" s="4"/>
      <c r="GR92" s="4"/>
      <c r="GS92" s="4"/>
      <c r="GT92" s="4"/>
      <c r="GU92" s="4"/>
      <c r="GV92" s="4"/>
      <c r="GW92" s="4"/>
      <c r="GX92" s="4"/>
      <c r="GY92" s="4"/>
      <c r="GZ92" s="4"/>
      <c r="HB92" s="12"/>
      <c r="HC92" s="3"/>
      <c r="HD92" s="3"/>
      <c r="HE92" s="3"/>
      <c r="HF92" s="3"/>
      <c r="HG92" s="3"/>
      <c r="HH92" s="3"/>
      <c r="HI92" s="3"/>
      <c r="HJ92" s="3"/>
      <c r="HK92" s="3"/>
      <c r="HL92" s="3"/>
      <c r="HM92" s="3"/>
      <c r="HN92" s="3"/>
    </row>
    <row r="93" spans="1:222" x14ac:dyDescent="0.2">
      <c r="FB93" s="10"/>
      <c r="FC93" s="10"/>
      <c r="FD93" s="10"/>
      <c r="FE93" s="10"/>
      <c r="FF93" s="10"/>
      <c r="FG93" s="10"/>
      <c r="FH93" s="10"/>
      <c r="FI93" s="10"/>
      <c r="FJ93" s="10"/>
      <c r="FK93" s="10"/>
      <c r="FL93" s="10"/>
      <c r="FM93" s="10"/>
      <c r="FN93" s="10"/>
      <c r="FO93" s="10"/>
      <c r="FP93" s="10"/>
      <c r="FQ93" s="10"/>
      <c r="FW93" s="3"/>
      <c r="FX93" s="4"/>
      <c r="FZ93" s="12"/>
      <c r="GA93" s="24"/>
      <c r="GB93" s="24"/>
      <c r="GC93" s="24"/>
      <c r="GD93" s="24"/>
      <c r="GE93" s="24"/>
      <c r="GF93" s="24"/>
      <c r="GG93" s="24"/>
      <c r="GH93" s="24"/>
      <c r="GI93" s="24"/>
      <c r="GJ93" s="24"/>
      <c r="GK93" s="24"/>
      <c r="GL93" s="24"/>
      <c r="GM93" s="24"/>
      <c r="GO93" s="4"/>
      <c r="GP93" s="4"/>
      <c r="GQ93" s="4"/>
      <c r="GR93" s="4"/>
      <c r="GS93" s="4"/>
      <c r="GT93" s="4"/>
      <c r="GU93" s="4"/>
      <c r="GV93" s="4"/>
      <c r="GW93" s="4"/>
      <c r="GX93" s="4"/>
      <c r="GY93" s="4"/>
      <c r="GZ93" s="4"/>
      <c r="HB93" s="12"/>
      <c r="HC93" s="3"/>
      <c r="HD93" s="3"/>
      <c r="HE93" s="3"/>
      <c r="HF93" s="3"/>
      <c r="HG93" s="3"/>
      <c r="HH93" s="3"/>
      <c r="HI93" s="3"/>
      <c r="HJ93" s="3"/>
      <c r="HK93" s="3"/>
      <c r="HL93" s="3"/>
      <c r="HM93" s="3"/>
      <c r="HN93" s="3"/>
    </row>
    <row r="94" spans="1:222" x14ac:dyDescent="0.2">
      <c r="FB94" s="10"/>
      <c r="FC94" s="10"/>
      <c r="FD94" s="10"/>
      <c r="FE94" s="10"/>
      <c r="FF94" s="10"/>
      <c r="FG94" s="10"/>
      <c r="FH94" s="10"/>
      <c r="FI94" s="10"/>
      <c r="FJ94" s="10"/>
      <c r="FK94" s="10"/>
      <c r="FL94" s="10"/>
      <c r="FM94" s="10"/>
      <c r="FN94" s="10"/>
      <c r="FO94" s="10"/>
      <c r="FP94" s="10"/>
      <c r="FQ94" s="10"/>
      <c r="FW94" s="3"/>
      <c r="FX94" s="4"/>
      <c r="FZ94" s="12"/>
      <c r="GA94" s="24"/>
      <c r="GB94" s="24"/>
      <c r="GC94" s="24"/>
      <c r="GD94" s="24"/>
      <c r="GE94" s="24"/>
      <c r="GF94" s="24"/>
      <c r="GG94" s="24"/>
      <c r="GH94" s="24"/>
      <c r="GI94" s="24"/>
      <c r="GJ94" s="24"/>
      <c r="GK94" s="24"/>
      <c r="GL94" s="24"/>
      <c r="GM94" s="24"/>
      <c r="GO94" s="4"/>
      <c r="GP94" s="4"/>
      <c r="GQ94" s="4"/>
      <c r="GR94" s="4"/>
      <c r="GS94" s="4"/>
      <c r="GT94" s="4"/>
      <c r="GU94" s="4"/>
      <c r="GV94" s="4"/>
      <c r="GW94" s="4"/>
      <c r="GX94" s="4"/>
      <c r="GY94" s="4"/>
      <c r="GZ94" s="4"/>
      <c r="HB94" s="12"/>
      <c r="HC94" s="3"/>
      <c r="HD94" s="3"/>
      <c r="HE94" s="3"/>
      <c r="HF94" s="3"/>
      <c r="HG94" s="3"/>
      <c r="HH94" s="3"/>
      <c r="HI94" s="3"/>
      <c r="HJ94" s="3"/>
      <c r="HK94" s="3"/>
      <c r="HL94" s="3"/>
      <c r="HM94" s="3"/>
      <c r="HN94" s="3"/>
    </row>
    <row r="95" spans="1:222" x14ac:dyDescent="0.2">
      <c r="FB95" s="10"/>
      <c r="FC95" s="10"/>
      <c r="FD95" s="10"/>
      <c r="FE95" s="10"/>
      <c r="FF95" s="10"/>
      <c r="FG95" s="10"/>
      <c r="FH95" s="10"/>
      <c r="FI95" s="10"/>
      <c r="FJ95" s="10"/>
      <c r="FK95" s="10"/>
      <c r="FL95" s="10"/>
      <c r="FM95" s="10"/>
      <c r="FN95" s="10"/>
      <c r="FO95" s="10"/>
      <c r="FP95" s="10"/>
      <c r="FQ95" s="10"/>
      <c r="FW95" s="3"/>
      <c r="FX95" s="4"/>
      <c r="FZ95" s="12"/>
      <c r="GA95" s="24"/>
      <c r="GB95" s="24"/>
      <c r="GC95" s="24"/>
      <c r="GD95" s="24"/>
      <c r="GE95" s="24"/>
      <c r="GF95" s="24"/>
      <c r="GG95" s="24"/>
      <c r="GH95" s="24"/>
      <c r="GI95" s="24"/>
      <c r="GJ95" s="24"/>
      <c r="GK95" s="24"/>
      <c r="GL95" s="24"/>
      <c r="GM95" s="24"/>
      <c r="GO95" s="4"/>
      <c r="GP95" s="4"/>
      <c r="GQ95" s="4"/>
      <c r="GR95" s="4"/>
      <c r="GS95" s="4"/>
      <c r="GT95" s="4"/>
      <c r="GU95" s="4"/>
      <c r="GV95" s="4"/>
      <c r="GW95" s="4"/>
      <c r="GX95" s="4"/>
      <c r="GY95" s="4"/>
      <c r="GZ95" s="4"/>
      <c r="HB95" s="12"/>
      <c r="HC95" s="3"/>
      <c r="HD95" s="3"/>
      <c r="HE95" s="3"/>
      <c r="HF95" s="3"/>
      <c r="HG95" s="3"/>
      <c r="HH95" s="3"/>
      <c r="HI95" s="3"/>
      <c r="HJ95" s="3"/>
      <c r="HK95" s="3"/>
      <c r="HL95" s="3"/>
      <c r="HM95" s="3"/>
      <c r="HN95" s="3"/>
    </row>
    <row r="96" spans="1:222" x14ac:dyDescent="0.2">
      <c r="FB96" s="10"/>
      <c r="FC96" s="10"/>
      <c r="FD96" s="10"/>
      <c r="FE96" s="10"/>
      <c r="FF96" s="10"/>
      <c r="FG96" s="10"/>
      <c r="FH96" s="10"/>
      <c r="FI96" s="10"/>
      <c r="FJ96" s="10"/>
      <c r="FK96" s="10"/>
      <c r="FL96" s="10"/>
      <c r="FM96" s="10"/>
      <c r="FN96" s="10"/>
      <c r="FO96" s="10"/>
      <c r="FP96" s="10"/>
      <c r="FQ96" s="10"/>
      <c r="FW96" s="3"/>
      <c r="FX96" s="4"/>
      <c r="FZ96" s="12"/>
      <c r="GA96" s="24"/>
      <c r="GB96" s="24"/>
      <c r="GC96" s="24"/>
      <c r="GD96" s="24"/>
      <c r="GE96" s="24"/>
      <c r="GF96" s="24"/>
      <c r="GG96" s="24"/>
      <c r="GH96" s="24"/>
      <c r="GI96" s="24"/>
      <c r="GJ96" s="24"/>
      <c r="GK96" s="24"/>
      <c r="GL96" s="24"/>
      <c r="GM96" s="24"/>
      <c r="GO96" s="4"/>
      <c r="GP96" s="4"/>
      <c r="GQ96" s="4"/>
      <c r="GR96" s="4"/>
      <c r="GS96" s="4"/>
      <c r="GT96" s="4"/>
      <c r="GU96" s="4"/>
      <c r="GV96" s="4"/>
      <c r="GW96" s="4"/>
      <c r="GX96" s="4"/>
      <c r="GY96" s="4"/>
      <c r="GZ96" s="4"/>
      <c r="HB96" s="12"/>
      <c r="HC96" s="3"/>
      <c r="HD96" s="3"/>
      <c r="HE96" s="3"/>
      <c r="HF96" s="3"/>
      <c r="HG96" s="3"/>
      <c r="HH96" s="3"/>
      <c r="HI96" s="3"/>
      <c r="HJ96" s="3"/>
      <c r="HK96" s="3"/>
      <c r="HL96" s="3"/>
      <c r="HM96" s="3"/>
      <c r="HN96" s="3"/>
    </row>
    <row r="97" spans="158:222" x14ac:dyDescent="0.2">
      <c r="FB97" s="10"/>
      <c r="FC97" s="10"/>
      <c r="FD97" s="10"/>
      <c r="FE97" s="10"/>
      <c r="FF97" s="10"/>
      <c r="FG97" s="10"/>
      <c r="FH97" s="10"/>
      <c r="FI97" s="10"/>
      <c r="FJ97" s="10"/>
      <c r="FK97" s="10"/>
      <c r="FL97" s="10"/>
      <c r="FM97" s="10"/>
      <c r="FN97" s="10"/>
      <c r="FO97" s="10"/>
      <c r="FP97" s="10"/>
      <c r="FQ97" s="10"/>
      <c r="FW97" s="3"/>
      <c r="FX97" s="4"/>
      <c r="FZ97" s="12"/>
      <c r="GA97" s="24"/>
      <c r="GB97" s="24"/>
      <c r="GC97" s="24"/>
      <c r="GD97" s="24"/>
      <c r="GE97" s="24"/>
      <c r="GF97" s="24"/>
      <c r="GG97" s="24"/>
      <c r="GH97" s="24"/>
      <c r="GI97" s="24"/>
      <c r="GJ97" s="24"/>
      <c r="GK97" s="24"/>
      <c r="GL97" s="24"/>
      <c r="GM97" s="24"/>
      <c r="GO97" s="4"/>
      <c r="GP97" s="4"/>
      <c r="GQ97" s="4"/>
      <c r="GR97" s="4"/>
      <c r="GS97" s="4"/>
      <c r="GT97" s="4"/>
      <c r="GU97" s="4"/>
      <c r="GV97" s="4"/>
      <c r="GW97" s="4"/>
      <c r="GX97" s="4"/>
      <c r="GY97" s="4"/>
      <c r="GZ97" s="4"/>
      <c r="HB97" s="12"/>
      <c r="HC97" s="3"/>
      <c r="HD97" s="3"/>
      <c r="HE97" s="3"/>
      <c r="HF97" s="3"/>
      <c r="HG97" s="3"/>
      <c r="HH97" s="3"/>
      <c r="HI97" s="3"/>
      <c r="HJ97" s="3"/>
      <c r="HK97" s="3"/>
      <c r="HL97" s="3"/>
      <c r="HM97" s="3"/>
      <c r="HN97" s="3"/>
    </row>
    <row r="98" spans="158:222" x14ac:dyDescent="0.2">
      <c r="FB98" s="10"/>
      <c r="FC98" s="10"/>
      <c r="FD98" s="10"/>
      <c r="FE98" s="10"/>
      <c r="FF98" s="10"/>
      <c r="FG98" s="10"/>
      <c r="FH98" s="10"/>
      <c r="FI98" s="10"/>
      <c r="FJ98" s="10"/>
      <c r="FK98" s="10"/>
      <c r="FL98" s="10"/>
      <c r="FM98" s="10"/>
      <c r="FN98" s="10"/>
      <c r="FO98" s="10"/>
      <c r="FP98" s="10"/>
      <c r="FQ98" s="10"/>
      <c r="FW98" s="3"/>
      <c r="FX98" s="4"/>
      <c r="FZ98" s="12"/>
      <c r="GA98" s="24"/>
      <c r="GB98" s="24"/>
      <c r="GC98" s="24"/>
      <c r="GD98" s="24"/>
      <c r="GE98" s="24"/>
      <c r="GF98" s="24"/>
      <c r="GG98" s="24"/>
      <c r="GH98" s="24"/>
      <c r="GI98" s="24"/>
      <c r="GJ98" s="24"/>
      <c r="GK98" s="24"/>
      <c r="GL98" s="24"/>
      <c r="GM98" s="24"/>
      <c r="GO98" s="4"/>
      <c r="GP98" s="4"/>
      <c r="GQ98" s="4"/>
      <c r="GR98" s="4"/>
      <c r="GS98" s="4"/>
      <c r="GT98" s="4"/>
      <c r="GU98" s="4"/>
      <c r="GV98" s="4"/>
      <c r="GW98" s="4"/>
      <c r="GX98" s="4"/>
      <c r="GY98" s="4"/>
      <c r="GZ98" s="4"/>
      <c r="HB98" s="12"/>
      <c r="HC98" s="3"/>
      <c r="HD98" s="3"/>
      <c r="HE98" s="3"/>
      <c r="HF98" s="3"/>
      <c r="HG98" s="3"/>
      <c r="HH98" s="3"/>
      <c r="HI98" s="3"/>
      <c r="HJ98" s="3"/>
      <c r="HK98" s="3"/>
      <c r="HL98" s="3"/>
      <c r="HM98" s="3"/>
      <c r="HN98" s="3"/>
    </row>
    <row r="99" spans="158:222" x14ac:dyDescent="0.2">
      <c r="FB99" s="10"/>
      <c r="FC99" s="10"/>
      <c r="FD99" s="10"/>
      <c r="FE99" s="10"/>
      <c r="FF99" s="10"/>
      <c r="FG99" s="10"/>
      <c r="FH99" s="10"/>
      <c r="FI99" s="10"/>
      <c r="FJ99" s="10"/>
      <c r="FK99" s="10"/>
      <c r="FL99" s="10"/>
      <c r="FM99" s="10"/>
      <c r="FN99" s="10"/>
      <c r="FO99" s="10"/>
      <c r="FP99" s="10"/>
      <c r="FQ99" s="10"/>
      <c r="FW99" s="3"/>
      <c r="FX99" s="4"/>
      <c r="FZ99" s="12"/>
      <c r="GA99" s="24"/>
      <c r="GB99" s="24"/>
      <c r="GC99" s="24"/>
      <c r="GD99" s="24"/>
      <c r="GE99" s="24"/>
      <c r="GF99" s="24"/>
      <c r="GG99" s="24"/>
      <c r="GH99" s="24"/>
      <c r="GI99" s="24"/>
      <c r="GJ99" s="24"/>
      <c r="GK99" s="24"/>
      <c r="GL99" s="24"/>
      <c r="GM99" s="24"/>
      <c r="GO99" s="4"/>
      <c r="GP99" s="4"/>
      <c r="GQ99" s="4"/>
      <c r="GR99" s="4"/>
      <c r="GS99" s="4"/>
      <c r="GT99" s="4"/>
      <c r="GU99" s="4"/>
      <c r="GV99" s="4"/>
      <c r="GW99" s="4"/>
      <c r="GX99" s="4"/>
      <c r="GY99" s="4"/>
      <c r="GZ99" s="4"/>
      <c r="HB99" s="12"/>
      <c r="HC99" s="3"/>
      <c r="HD99" s="3"/>
      <c r="HE99" s="3"/>
      <c r="HF99" s="3"/>
      <c r="HG99" s="3"/>
      <c r="HH99" s="3"/>
      <c r="HI99" s="3"/>
      <c r="HJ99" s="3"/>
      <c r="HK99" s="3"/>
      <c r="HL99" s="3"/>
      <c r="HM99" s="3"/>
      <c r="HN99" s="3"/>
    </row>
    <row r="100" spans="158:222" x14ac:dyDescent="0.2">
      <c r="FB100" s="10"/>
      <c r="FC100" s="10"/>
      <c r="FD100" s="10"/>
      <c r="FE100" s="10"/>
      <c r="FF100" s="10"/>
      <c r="FG100" s="10"/>
      <c r="FH100" s="10"/>
      <c r="FI100" s="10"/>
      <c r="FJ100" s="10"/>
      <c r="FK100" s="10"/>
      <c r="FL100" s="10"/>
      <c r="FM100" s="10"/>
      <c r="FN100" s="10"/>
      <c r="FO100" s="10"/>
      <c r="FP100" s="10"/>
      <c r="FQ100" s="10"/>
      <c r="FW100" s="3"/>
      <c r="FX100" s="4"/>
      <c r="FZ100" s="12"/>
      <c r="GA100" s="24"/>
      <c r="GB100" s="24"/>
      <c r="GC100" s="24"/>
      <c r="GD100" s="24"/>
      <c r="GE100" s="24"/>
      <c r="GF100" s="24"/>
      <c r="GG100" s="24"/>
      <c r="GH100" s="24"/>
      <c r="GI100" s="24"/>
      <c r="GJ100" s="24"/>
      <c r="GK100" s="24"/>
      <c r="GL100" s="24"/>
      <c r="GM100" s="24"/>
      <c r="GO100" s="4"/>
      <c r="GP100" s="4"/>
      <c r="GQ100" s="4"/>
      <c r="GR100" s="4"/>
      <c r="GS100" s="4"/>
      <c r="GT100" s="4"/>
      <c r="GU100" s="4"/>
      <c r="GV100" s="4"/>
      <c r="GW100" s="4"/>
      <c r="GX100" s="4"/>
      <c r="GY100" s="4"/>
      <c r="GZ100" s="4"/>
      <c r="HB100" s="12"/>
      <c r="HC100" s="3"/>
      <c r="HD100" s="3"/>
      <c r="HE100" s="3"/>
      <c r="HF100" s="3"/>
      <c r="HG100" s="3"/>
      <c r="HH100" s="3"/>
      <c r="HI100" s="3"/>
      <c r="HJ100" s="3"/>
      <c r="HK100" s="3"/>
      <c r="HL100" s="3"/>
      <c r="HM100" s="3"/>
      <c r="HN100" s="3"/>
    </row>
    <row r="101" spans="158:222" x14ac:dyDescent="0.2">
      <c r="FB101" s="10"/>
      <c r="FC101" s="10"/>
      <c r="FD101" s="10"/>
      <c r="FE101" s="10"/>
      <c r="FF101" s="10"/>
      <c r="FG101" s="10"/>
      <c r="FH101" s="10"/>
      <c r="FI101" s="10"/>
      <c r="FJ101" s="10"/>
      <c r="FK101" s="10"/>
      <c r="FL101" s="10"/>
      <c r="FM101" s="10"/>
      <c r="FN101" s="10"/>
      <c r="FO101" s="10"/>
      <c r="FP101" s="10"/>
      <c r="FQ101" s="10"/>
      <c r="FW101" s="3"/>
      <c r="FX101" s="4"/>
      <c r="FZ101" s="12"/>
      <c r="GA101" s="24"/>
      <c r="GB101" s="24"/>
      <c r="GC101" s="24"/>
      <c r="GD101" s="24"/>
      <c r="GE101" s="24"/>
      <c r="GF101" s="24"/>
      <c r="GG101" s="24"/>
      <c r="GH101" s="24"/>
      <c r="GI101" s="24"/>
      <c r="GJ101" s="24"/>
      <c r="GK101" s="24"/>
      <c r="GL101" s="24"/>
      <c r="GM101" s="24"/>
      <c r="GO101" s="4"/>
      <c r="GP101" s="4"/>
      <c r="GQ101" s="4"/>
      <c r="GR101" s="4"/>
      <c r="GS101" s="4"/>
      <c r="GT101" s="4"/>
      <c r="GU101" s="4"/>
      <c r="GV101" s="4"/>
      <c r="GW101" s="4"/>
      <c r="GX101" s="4"/>
      <c r="GY101" s="4"/>
      <c r="GZ101" s="4"/>
      <c r="HB101" s="12"/>
      <c r="HC101" s="3"/>
      <c r="HD101" s="3"/>
      <c r="HE101" s="3"/>
      <c r="HF101" s="3"/>
      <c r="HG101" s="3"/>
      <c r="HH101" s="3"/>
      <c r="HI101" s="3"/>
      <c r="HJ101" s="3"/>
      <c r="HK101" s="3"/>
      <c r="HL101" s="3"/>
      <c r="HM101" s="3"/>
      <c r="HN101" s="3"/>
    </row>
    <row r="102" spans="158:222" x14ac:dyDescent="0.2">
      <c r="FB102" s="10"/>
      <c r="FC102" s="10"/>
      <c r="FD102" s="10"/>
      <c r="FE102" s="10"/>
      <c r="FF102" s="10"/>
      <c r="FG102" s="10"/>
      <c r="FH102" s="10"/>
      <c r="FI102" s="10"/>
      <c r="FJ102" s="10"/>
      <c r="FK102" s="10"/>
      <c r="FL102" s="10"/>
      <c r="FM102" s="10"/>
      <c r="FN102" s="10"/>
      <c r="FO102" s="10"/>
      <c r="FP102" s="10"/>
      <c r="FQ102" s="10"/>
      <c r="FW102" s="3"/>
      <c r="FX102" s="4"/>
      <c r="FZ102" s="12"/>
      <c r="GA102" s="24"/>
      <c r="GB102" s="24"/>
      <c r="GC102" s="24"/>
      <c r="GD102" s="24"/>
      <c r="GE102" s="24"/>
      <c r="GF102" s="24"/>
      <c r="GG102" s="24"/>
      <c r="GH102" s="24"/>
      <c r="GI102" s="24"/>
      <c r="GJ102" s="24"/>
      <c r="GK102" s="24"/>
      <c r="GL102" s="24"/>
      <c r="GM102" s="24"/>
      <c r="GO102" s="4"/>
      <c r="GP102" s="4"/>
      <c r="GQ102" s="4"/>
      <c r="GR102" s="4"/>
      <c r="GS102" s="4"/>
      <c r="GT102" s="4"/>
      <c r="GU102" s="4"/>
      <c r="GV102" s="4"/>
      <c r="GW102" s="4"/>
      <c r="GX102" s="4"/>
      <c r="GY102" s="4"/>
      <c r="GZ102" s="4"/>
      <c r="HB102" s="12"/>
      <c r="HC102" s="3"/>
      <c r="HD102" s="3"/>
      <c r="HE102" s="3"/>
      <c r="HF102" s="3"/>
      <c r="HG102" s="3"/>
      <c r="HH102" s="3"/>
      <c r="HI102" s="3"/>
      <c r="HJ102" s="3"/>
      <c r="HK102" s="3"/>
      <c r="HL102" s="3"/>
      <c r="HM102" s="3"/>
      <c r="HN102" s="3"/>
    </row>
    <row r="103" spans="158:222" x14ac:dyDescent="0.2">
      <c r="FB103" s="10"/>
      <c r="FC103" s="10"/>
      <c r="FD103" s="10"/>
      <c r="FE103" s="10"/>
      <c r="FF103" s="10"/>
      <c r="FG103" s="10"/>
      <c r="FH103" s="10"/>
      <c r="FI103" s="10"/>
      <c r="FJ103" s="10"/>
      <c r="FK103" s="10"/>
      <c r="FL103" s="10"/>
      <c r="FM103" s="10"/>
      <c r="FN103" s="10"/>
      <c r="FO103" s="10"/>
      <c r="FP103" s="10"/>
      <c r="FQ103" s="10"/>
      <c r="FW103" s="3"/>
      <c r="FX103" s="4"/>
      <c r="FZ103" s="12"/>
      <c r="GA103" s="24"/>
      <c r="GB103" s="24"/>
      <c r="GC103" s="24"/>
      <c r="GD103" s="24"/>
      <c r="GE103" s="24"/>
      <c r="GF103" s="24"/>
      <c r="GG103" s="24"/>
      <c r="GH103" s="24"/>
      <c r="GI103" s="24"/>
      <c r="GJ103" s="24"/>
      <c r="GK103" s="24"/>
      <c r="GL103" s="24"/>
      <c r="GM103" s="24"/>
      <c r="GO103" s="4"/>
      <c r="GP103" s="4"/>
      <c r="GQ103" s="4"/>
      <c r="GR103" s="4"/>
      <c r="GS103" s="4"/>
      <c r="GT103" s="4"/>
      <c r="GU103" s="4"/>
      <c r="GV103" s="4"/>
      <c r="GW103" s="4"/>
      <c r="GX103" s="4"/>
      <c r="GY103" s="4"/>
      <c r="GZ103" s="4"/>
      <c r="HB103" s="12"/>
      <c r="HC103" s="3"/>
      <c r="HD103" s="3"/>
      <c r="HE103" s="3"/>
      <c r="HF103" s="3"/>
      <c r="HG103" s="3"/>
      <c r="HH103" s="3"/>
      <c r="HI103" s="3"/>
      <c r="HJ103" s="3"/>
      <c r="HK103" s="3"/>
      <c r="HL103" s="3"/>
      <c r="HM103" s="3"/>
      <c r="HN103" s="3"/>
    </row>
    <row r="104" spans="158:222" x14ac:dyDescent="0.2">
      <c r="FB104" s="10"/>
      <c r="FC104" s="10"/>
      <c r="FD104" s="10"/>
      <c r="FE104" s="10"/>
      <c r="FF104" s="10"/>
      <c r="FG104" s="10"/>
      <c r="FH104" s="10"/>
      <c r="FI104" s="10"/>
      <c r="FJ104" s="10"/>
      <c r="FK104" s="10"/>
      <c r="FL104" s="10"/>
      <c r="FM104" s="10"/>
      <c r="FN104" s="10"/>
      <c r="FO104" s="10"/>
      <c r="FP104" s="10"/>
      <c r="FQ104" s="10"/>
      <c r="FW104" s="3"/>
      <c r="FX104" s="4"/>
      <c r="FZ104" s="12"/>
      <c r="GA104" s="24"/>
      <c r="GB104" s="24"/>
      <c r="GC104" s="24"/>
      <c r="GD104" s="24"/>
      <c r="GE104" s="24"/>
      <c r="GF104" s="24"/>
      <c r="GG104" s="24"/>
      <c r="GH104" s="24"/>
      <c r="GI104" s="24"/>
      <c r="GJ104" s="24"/>
      <c r="GK104" s="24"/>
      <c r="GL104" s="24"/>
      <c r="GM104" s="24"/>
      <c r="GO104" s="4"/>
      <c r="GP104" s="4"/>
      <c r="GQ104" s="4"/>
      <c r="GR104" s="4"/>
      <c r="GS104" s="4"/>
      <c r="GT104" s="4"/>
      <c r="GU104" s="4"/>
      <c r="GV104" s="4"/>
      <c r="GW104" s="4"/>
      <c r="GX104" s="4"/>
      <c r="GY104" s="4"/>
      <c r="GZ104" s="4"/>
      <c r="HB104" s="12"/>
      <c r="HC104" s="3"/>
      <c r="HD104" s="3"/>
      <c r="HE104" s="3"/>
      <c r="HF104" s="3"/>
      <c r="HG104" s="3"/>
      <c r="HH104" s="3"/>
      <c r="HI104" s="3"/>
      <c r="HJ104" s="3"/>
      <c r="HK104" s="3"/>
      <c r="HL104" s="3"/>
      <c r="HM104" s="3"/>
      <c r="HN104" s="3"/>
    </row>
    <row r="105" spans="158:222" x14ac:dyDescent="0.2">
      <c r="FB105" s="10"/>
      <c r="FC105" s="10"/>
      <c r="FD105" s="10"/>
      <c r="FE105" s="10"/>
      <c r="FF105" s="10"/>
      <c r="FG105" s="10"/>
      <c r="FH105" s="10"/>
      <c r="FI105" s="10"/>
      <c r="FJ105" s="10"/>
      <c r="FK105" s="10"/>
      <c r="FL105" s="10"/>
      <c r="FM105" s="10"/>
      <c r="FN105" s="10"/>
      <c r="FO105" s="10"/>
      <c r="FP105" s="10"/>
      <c r="FQ105" s="10"/>
      <c r="FW105" s="3"/>
      <c r="FX105" s="4"/>
      <c r="FZ105" s="12"/>
      <c r="GA105" s="24"/>
      <c r="GB105" s="24"/>
      <c r="GC105" s="24"/>
      <c r="GD105" s="24"/>
      <c r="GE105" s="24"/>
      <c r="GF105" s="24"/>
      <c r="GG105" s="24"/>
      <c r="GH105" s="24"/>
      <c r="GI105" s="24"/>
      <c r="GJ105" s="24"/>
      <c r="GK105" s="24"/>
      <c r="GL105" s="24"/>
      <c r="GM105" s="24"/>
      <c r="GO105" s="4"/>
      <c r="GP105" s="4"/>
      <c r="GQ105" s="4"/>
      <c r="GR105" s="4"/>
      <c r="GS105" s="4"/>
      <c r="GT105" s="4"/>
      <c r="GU105" s="4"/>
      <c r="GV105" s="4"/>
      <c r="GW105" s="4"/>
      <c r="GX105" s="4"/>
      <c r="GY105" s="4"/>
      <c r="GZ105" s="4"/>
      <c r="HB105" s="12"/>
      <c r="HC105" s="3"/>
      <c r="HD105" s="3"/>
      <c r="HE105" s="3"/>
      <c r="HF105" s="3"/>
      <c r="HG105" s="3"/>
      <c r="HH105" s="3"/>
      <c r="HI105" s="3"/>
      <c r="HJ105" s="3"/>
      <c r="HK105" s="3"/>
      <c r="HL105" s="3"/>
      <c r="HM105" s="3"/>
      <c r="HN105" s="3"/>
    </row>
    <row r="106" spans="158:222" x14ac:dyDescent="0.2">
      <c r="FB106" s="10"/>
      <c r="FC106" s="10"/>
      <c r="FD106" s="10"/>
      <c r="FE106" s="10"/>
      <c r="FF106" s="10"/>
      <c r="FG106" s="10"/>
      <c r="FH106" s="10"/>
      <c r="FI106" s="10"/>
      <c r="FJ106" s="10"/>
      <c r="FK106" s="10"/>
      <c r="FL106" s="10"/>
      <c r="FM106" s="10"/>
      <c r="FN106" s="10"/>
      <c r="FO106" s="10"/>
      <c r="FP106" s="10"/>
      <c r="FQ106" s="10"/>
      <c r="FW106" s="3"/>
      <c r="FX106" s="4"/>
      <c r="FZ106" s="12"/>
      <c r="GA106" s="24"/>
      <c r="GB106" s="24"/>
      <c r="GC106" s="24"/>
      <c r="GD106" s="24"/>
      <c r="GE106" s="24"/>
      <c r="GF106" s="24"/>
      <c r="GG106" s="24"/>
      <c r="GH106" s="24"/>
      <c r="GI106" s="24"/>
      <c r="GJ106" s="24"/>
      <c r="GK106" s="24"/>
      <c r="GL106" s="24"/>
      <c r="GM106" s="24"/>
      <c r="GO106" s="4"/>
      <c r="GP106" s="4"/>
      <c r="GQ106" s="4"/>
      <c r="GR106" s="4"/>
      <c r="GS106" s="4"/>
      <c r="GT106" s="4"/>
      <c r="GU106" s="4"/>
      <c r="GV106" s="4"/>
      <c r="GW106" s="4"/>
      <c r="GX106" s="4"/>
      <c r="GY106" s="4"/>
      <c r="GZ106" s="4"/>
      <c r="HB106" s="12"/>
      <c r="HC106" s="3"/>
      <c r="HD106" s="3"/>
      <c r="HE106" s="3"/>
      <c r="HF106" s="3"/>
      <c r="HG106" s="3"/>
      <c r="HH106" s="3"/>
      <c r="HI106" s="3"/>
      <c r="HJ106" s="3"/>
      <c r="HK106" s="3"/>
      <c r="HL106" s="3"/>
      <c r="HM106" s="3"/>
      <c r="HN106" s="3"/>
    </row>
    <row r="107" spans="158:222" x14ac:dyDescent="0.2">
      <c r="FB107" s="10"/>
      <c r="FC107" s="10"/>
      <c r="FD107" s="10"/>
      <c r="FE107" s="10"/>
      <c r="FF107" s="10"/>
      <c r="FG107" s="10"/>
      <c r="FH107" s="10"/>
      <c r="FI107" s="10"/>
      <c r="FJ107" s="10"/>
      <c r="FK107" s="10"/>
      <c r="FL107" s="10"/>
      <c r="FM107" s="10"/>
      <c r="FN107" s="10"/>
      <c r="FO107" s="10"/>
      <c r="FP107" s="10"/>
      <c r="FQ107" s="10"/>
      <c r="FW107" s="3"/>
      <c r="FX107" s="4"/>
      <c r="FZ107" s="12"/>
      <c r="GA107" s="24"/>
      <c r="GB107" s="24"/>
      <c r="GC107" s="24"/>
      <c r="GD107" s="24"/>
      <c r="GE107" s="24"/>
      <c r="GF107" s="24"/>
      <c r="GG107" s="24"/>
      <c r="GH107" s="24"/>
      <c r="GI107" s="24"/>
      <c r="GJ107" s="24"/>
      <c r="GK107" s="24"/>
      <c r="GL107" s="24"/>
      <c r="GM107" s="24"/>
      <c r="GO107" s="4"/>
      <c r="GP107" s="4"/>
      <c r="GQ107" s="4"/>
      <c r="GR107" s="4"/>
      <c r="GS107" s="4"/>
      <c r="GT107" s="4"/>
      <c r="GU107" s="4"/>
      <c r="GV107" s="4"/>
      <c r="GW107" s="4"/>
      <c r="GX107" s="4"/>
      <c r="GY107" s="4"/>
      <c r="GZ107" s="4"/>
      <c r="HB107" s="12"/>
      <c r="HC107" s="3"/>
      <c r="HD107" s="3"/>
      <c r="HE107" s="3"/>
      <c r="HF107" s="3"/>
      <c r="HG107" s="3"/>
      <c r="HH107" s="3"/>
      <c r="HI107" s="3"/>
      <c r="HJ107" s="3"/>
      <c r="HK107" s="3"/>
      <c r="HL107" s="3"/>
      <c r="HM107" s="3"/>
      <c r="HN107" s="3"/>
    </row>
    <row r="108" spans="158:222" x14ac:dyDescent="0.2">
      <c r="FB108" s="10"/>
      <c r="FC108" s="10"/>
      <c r="FD108" s="10"/>
      <c r="FE108" s="10"/>
      <c r="FF108" s="10"/>
      <c r="FG108" s="10"/>
      <c r="FH108" s="10"/>
      <c r="FI108" s="10"/>
      <c r="FJ108" s="10"/>
      <c r="FK108" s="10"/>
      <c r="FL108" s="10"/>
      <c r="FM108" s="10"/>
      <c r="FN108" s="10"/>
      <c r="FO108" s="10"/>
      <c r="FP108" s="10"/>
      <c r="FQ108" s="10"/>
      <c r="FW108" s="3"/>
      <c r="FX108" s="4"/>
      <c r="FZ108" s="12"/>
      <c r="GA108" s="24"/>
      <c r="GB108" s="24"/>
      <c r="GC108" s="24"/>
      <c r="GD108" s="24"/>
      <c r="GE108" s="24"/>
      <c r="GF108" s="24"/>
      <c r="GG108" s="24"/>
      <c r="GH108" s="24"/>
      <c r="GI108" s="24"/>
      <c r="GJ108" s="24"/>
      <c r="GK108" s="24"/>
      <c r="GL108" s="24"/>
      <c r="GM108" s="24"/>
      <c r="GO108" s="4"/>
      <c r="GP108" s="4"/>
      <c r="GQ108" s="4"/>
      <c r="GR108" s="4"/>
      <c r="GS108" s="4"/>
      <c r="GT108" s="4"/>
      <c r="GU108" s="4"/>
      <c r="GV108" s="4"/>
      <c r="GW108" s="4"/>
      <c r="GX108" s="4"/>
      <c r="GY108" s="4"/>
      <c r="GZ108" s="4"/>
      <c r="HB108" s="12"/>
      <c r="HC108" s="3"/>
      <c r="HD108" s="3"/>
      <c r="HE108" s="3"/>
      <c r="HF108" s="3"/>
      <c r="HG108" s="3"/>
      <c r="HH108" s="3"/>
      <c r="HI108" s="3"/>
      <c r="HJ108" s="3"/>
      <c r="HK108" s="3"/>
      <c r="HL108" s="3"/>
      <c r="HM108" s="3"/>
      <c r="HN108" s="3"/>
    </row>
    <row r="109" spans="158:222" x14ac:dyDescent="0.2">
      <c r="FB109" s="10"/>
      <c r="FC109" s="10"/>
      <c r="FD109" s="10"/>
      <c r="FE109" s="10"/>
      <c r="FF109" s="10"/>
      <c r="FG109" s="10"/>
      <c r="FH109" s="10"/>
      <c r="FI109" s="10"/>
      <c r="FJ109" s="10"/>
      <c r="FK109" s="10"/>
      <c r="FL109" s="10"/>
      <c r="FM109" s="10"/>
      <c r="FN109" s="10"/>
      <c r="FO109" s="10"/>
      <c r="FP109" s="10"/>
      <c r="FQ109" s="10"/>
      <c r="FW109" s="3"/>
      <c r="FX109" s="4"/>
      <c r="FZ109" s="12"/>
      <c r="GA109" s="24"/>
      <c r="GB109" s="24"/>
      <c r="GC109" s="24"/>
      <c r="GD109" s="24"/>
      <c r="GE109" s="24"/>
      <c r="GF109" s="24"/>
      <c r="GG109" s="24"/>
      <c r="GH109" s="24"/>
      <c r="GI109" s="24"/>
      <c r="GJ109" s="24"/>
      <c r="GK109" s="24"/>
      <c r="GL109" s="24"/>
      <c r="GM109" s="24"/>
      <c r="GO109" s="4"/>
      <c r="GP109" s="4"/>
      <c r="GQ109" s="4"/>
      <c r="GR109" s="4"/>
      <c r="GS109" s="4"/>
      <c r="GT109" s="4"/>
      <c r="GU109" s="4"/>
      <c r="GV109" s="4"/>
      <c r="GW109" s="4"/>
      <c r="GX109" s="4"/>
      <c r="GY109" s="4"/>
      <c r="GZ109" s="4"/>
      <c r="HB109" s="12"/>
      <c r="HC109" s="3"/>
      <c r="HD109" s="3"/>
      <c r="HE109" s="3"/>
      <c r="HF109" s="3"/>
      <c r="HG109" s="3"/>
      <c r="HH109" s="3"/>
      <c r="HI109" s="3"/>
      <c r="HJ109" s="3"/>
      <c r="HK109" s="3"/>
      <c r="HL109" s="3"/>
      <c r="HM109" s="3"/>
      <c r="HN109" s="3"/>
    </row>
    <row r="110" spans="158:222" x14ac:dyDescent="0.2">
      <c r="FB110" s="10"/>
      <c r="FC110" s="10"/>
      <c r="FD110" s="10"/>
      <c r="FE110" s="10"/>
      <c r="FF110" s="10"/>
      <c r="FG110" s="10"/>
      <c r="FH110" s="10"/>
      <c r="FI110" s="10"/>
      <c r="FJ110" s="10"/>
      <c r="FK110" s="10"/>
      <c r="FL110" s="10"/>
      <c r="FM110" s="10"/>
      <c r="FN110" s="10"/>
      <c r="FO110" s="10"/>
      <c r="FP110" s="10"/>
      <c r="FQ110" s="10"/>
      <c r="FW110" s="3"/>
      <c r="FX110" s="4"/>
      <c r="FZ110" s="12"/>
      <c r="GA110" s="24"/>
      <c r="GB110" s="24"/>
      <c r="GC110" s="24"/>
      <c r="GD110" s="24"/>
      <c r="GE110" s="24"/>
      <c r="GF110" s="24"/>
      <c r="GG110" s="24"/>
      <c r="GH110" s="24"/>
      <c r="GI110" s="24"/>
      <c r="GJ110" s="24"/>
      <c r="GK110" s="24"/>
      <c r="GL110" s="24"/>
      <c r="GM110" s="24"/>
      <c r="GO110" s="4"/>
      <c r="GP110" s="4"/>
      <c r="GQ110" s="4"/>
      <c r="GR110" s="4"/>
      <c r="GS110" s="4"/>
      <c r="GT110" s="4"/>
      <c r="GU110" s="4"/>
      <c r="GV110" s="4"/>
      <c r="GW110" s="4"/>
      <c r="GX110" s="4"/>
      <c r="GY110" s="4"/>
      <c r="GZ110" s="4"/>
      <c r="HB110" s="12"/>
      <c r="HC110" s="3"/>
      <c r="HD110" s="3"/>
      <c r="HE110" s="3"/>
      <c r="HF110" s="3"/>
      <c r="HG110" s="3"/>
      <c r="HH110" s="3"/>
      <c r="HI110" s="3"/>
      <c r="HJ110" s="3"/>
      <c r="HK110" s="3"/>
      <c r="HL110" s="3"/>
      <c r="HM110" s="3"/>
      <c r="HN110" s="3"/>
    </row>
    <row r="111" spans="158:222" x14ac:dyDescent="0.2">
      <c r="FB111" s="10"/>
      <c r="FC111" s="10"/>
      <c r="FD111" s="10"/>
      <c r="FE111" s="10"/>
      <c r="FF111" s="10"/>
      <c r="FG111" s="10"/>
      <c r="FH111" s="10"/>
      <c r="FI111" s="10"/>
      <c r="FJ111" s="10"/>
      <c r="FK111" s="10"/>
      <c r="FL111" s="10"/>
      <c r="FM111" s="10"/>
      <c r="FN111" s="10"/>
      <c r="FO111" s="10"/>
      <c r="FP111" s="10"/>
      <c r="FQ111" s="10"/>
      <c r="FW111" s="3"/>
      <c r="FX111" s="4"/>
      <c r="FZ111" s="12"/>
      <c r="GA111" s="24"/>
      <c r="GB111" s="24"/>
      <c r="GC111" s="24"/>
      <c r="GD111" s="24"/>
      <c r="GE111" s="24"/>
      <c r="GF111" s="24"/>
      <c r="GG111" s="24"/>
      <c r="GH111" s="24"/>
      <c r="GI111" s="24"/>
      <c r="GJ111" s="24"/>
      <c r="GK111" s="24"/>
      <c r="GL111" s="24"/>
      <c r="GM111" s="24"/>
      <c r="GO111" s="4"/>
      <c r="GP111" s="4"/>
      <c r="GQ111" s="4"/>
      <c r="GR111" s="4"/>
      <c r="GS111" s="4"/>
      <c r="GT111" s="4"/>
      <c r="GU111" s="4"/>
      <c r="GV111" s="4"/>
      <c r="GW111" s="4"/>
      <c r="GX111" s="4"/>
      <c r="GY111" s="4"/>
      <c r="GZ111" s="4"/>
      <c r="HB111" s="12"/>
      <c r="HC111" s="3"/>
      <c r="HD111" s="3"/>
      <c r="HE111" s="3"/>
      <c r="HF111" s="3"/>
      <c r="HG111" s="3"/>
      <c r="HH111" s="3"/>
      <c r="HI111" s="3"/>
      <c r="HJ111" s="3"/>
      <c r="HK111" s="3"/>
      <c r="HL111" s="3"/>
      <c r="HM111" s="3"/>
      <c r="HN111" s="3"/>
    </row>
    <row r="112" spans="158:222" x14ac:dyDescent="0.2">
      <c r="FB112" s="10"/>
      <c r="FC112" s="10"/>
      <c r="FD112" s="10"/>
      <c r="FE112" s="10"/>
      <c r="FF112" s="10"/>
      <c r="FG112" s="10"/>
      <c r="FH112" s="10"/>
      <c r="FI112" s="10"/>
      <c r="FJ112" s="10"/>
      <c r="FK112" s="10"/>
      <c r="FL112" s="10"/>
      <c r="FM112" s="10"/>
      <c r="FN112" s="10"/>
      <c r="FO112" s="10"/>
      <c r="FP112" s="10"/>
      <c r="FQ112" s="10"/>
      <c r="FW112" s="3"/>
      <c r="FX112" s="4"/>
      <c r="FZ112" s="12"/>
      <c r="GA112" s="24"/>
      <c r="GB112" s="24"/>
      <c r="GC112" s="24"/>
      <c r="GD112" s="24"/>
      <c r="GE112" s="24"/>
      <c r="GF112" s="24"/>
      <c r="GG112" s="24"/>
      <c r="GH112" s="24"/>
      <c r="GI112" s="24"/>
      <c r="GJ112" s="24"/>
      <c r="GK112" s="24"/>
      <c r="GL112" s="24"/>
      <c r="GM112" s="24"/>
      <c r="GO112" s="4"/>
      <c r="GP112" s="4"/>
      <c r="GQ112" s="4"/>
      <c r="GR112" s="4"/>
      <c r="GS112" s="4"/>
      <c r="GT112" s="4"/>
      <c r="GU112" s="4"/>
      <c r="GV112" s="4"/>
      <c r="GW112" s="4"/>
      <c r="GX112" s="4"/>
      <c r="GY112" s="4"/>
      <c r="GZ112" s="4"/>
      <c r="HB112" s="12"/>
      <c r="HC112" s="3"/>
      <c r="HD112" s="3"/>
      <c r="HE112" s="3"/>
      <c r="HF112" s="3"/>
      <c r="HG112" s="3"/>
      <c r="HH112" s="3"/>
      <c r="HI112" s="3"/>
      <c r="HJ112" s="3"/>
      <c r="HK112" s="3"/>
      <c r="HL112" s="3"/>
      <c r="HM112" s="3"/>
      <c r="HN112" s="3"/>
    </row>
    <row r="113" spans="158:222" x14ac:dyDescent="0.2">
      <c r="FB113" s="10"/>
      <c r="FC113" s="10"/>
      <c r="FD113" s="10"/>
      <c r="FE113" s="10"/>
      <c r="FF113" s="10"/>
      <c r="FG113" s="10"/>
      <c r="FH113" s="10"/>
      <c r="FI113" s="10"/>
      <c r="FJ113" s="10"/>
      <c r="FK113" s="10"/>
      <c r="FL113" s="10"/>
      <c r="FM113" s="10"/>
      <c r="FN113" s="10"/>
      <c r="FO113" s="10"/>
      <c r="FP113" s="10"/>
      <c r="FQ113" s="10"/>
      <c r="FW113" s="3"/>
      <c r="FX113" s="4"/>
      <c r="FZ113" s="12"/>
      <c r="GA113" s="24"/>
      <c r="GB113" s="24"/>
      <c r="GC113" s="24"/>
      <c r="GD113" s="24"/>
      <c r="GE113" s="24"/>
      <c r="GF113" s="24"/>
      <c r="GG113" s="24"/>
      <c r="GH113" s="24"/>
      <c r="GI113" s="24"/>
      <c r="GJ113" s="24"/>
      <c r="GK113" s="24"/>
      <c r="GL113" s="24"/>
      <c r="GM113" s="24"/>
      <c r="GO113" s="4"/>
      <c r="GP113" s="4"/>
      <c r="GQ113" s="4"/>
      <c r="GR113" s="4"/>
      <c r="GS113" s="4"/>
      <c r="GT113" s="4"/>
      <c r="GU113" s="4"/>
      <c r="GV113" s="4"/>
      <c r="GW113" s="4"/>
      <c r="GX113" s="4"/>
      <c r="GY113" s="4"/>
      <c r="GZ113" s="4"/>
      <c r="HB113" s="12"/>
      <c r="HC113" s="3"/>
      <c r="HD113" s="3"/>
      <c r="HE113" s="3"/>
      <c r="HF113" s="3"/>
      <c r="HG113" s="3"/>
      <c r="HH113" s="3"/>
      <c r="HI113" s="3"/>
      <c r="HJ113" s="3"/>
      <c r="HK113" s="3"/>
      <c r="HL113" s="3"/>
      <c r="HM113" s="3"/>
      <c r="HN113" s="3"/>
    </row>
    <row r="114" spans="158:222" x14ac:dyDescent="0.2">
      <c r="FB114" s="10"/>
      <c r="FC114" s="10"/>
      <c r="FD114" s="10"/>
      <c r="FE114" s="10"/>
      <c r="FF114" s="10"/>
      <c r="FG114" s="10"/>
      <c r="FH114" s="10"/>
      <c r="FI114" s="10"/>
      <c r="FJ114" s="10"/>
      <c r="FK114" s="10"/>
      <c r="FL114" s="10"/>
      <c r="FM114" s="10"/>
      <c r="FN114" s="10"/>
      <c r="FO114" s="10"/>
      <c r="FP114" s="10"/>
      <c r="FQ114" s="10"/>
      <c r="FW114" s="3"/>
      <c r="FX114" s="4"/>
      <c r="FZ114" s="12"/>
      <c r="GA114" s="24"/>
      <c r="GB114" s="24"/>
      <c r="GC114" s="24"/>
      <c r="GD114" s="24"/>
      <c r="GE114" s="24"/>
      <c r="GF114" s="24"/>
      <c r="GG114" s="24"/>
      <c r="GH114" s="24"/>
      <c r="GI114" s="24"/>
      <c r="GJ114" s="24"/>
      <c r="GK114" s="24"/>
      <c r="GL114" s="24"/>
      <c r="GM114" s="24"/>
      <c r="GO114" s="4"/>
      <c r="GP114" s="4"/>
      <c r="GQ114" s="4"/>
      <c r="GR114" s="4"/>
      <c r="GS114" s="4"/>
      <c r="GT114" s="4"/>
      <c r="GU114" s="4"/>
      <c r="GV114" s="4"/>
      <c r="GW114" s="4"/>
      <c r="GX114" s="4"/>
      <c r="GY114" s="4"/>
      <c r="GZ114" s="4"/>
      <c r="HB114" s="12"/>
      <c r="HC114" s="3"/>
      <c r="HD114" s="3"/>
      <c r="HE114" s="3"/>
      <c r="HF114" s="3"/>
      <c r="HG114" s="3"/>
      <c r="HH114" s="3"/>
      <c r="HI114" s="3"/>
      <c r="HJ114" s="3"/>
      <c r="HK114" s="3"/>
      <c r="HL114" s="3"/>
      <c r="HM114" s="3"/>
      <c r="HN114" s="3"/>
    </row>
    <row r="115" spans="158:222" x14ac:dyDescent="0.2">
      <c r="FB115" s="10"/>
      <c r="FC115" s="10"/>
      <c r="FD115" s="10"/>
      <c r="FE115" s="10"/>
      <c r="FF115" s="10"/>
      <c r="FG115" s="10"/>
      <c r="FH115" s="10"/>
      <c r="FI115" s="10"/>
      <c r="FJ115" s="10"/>
      <c r="FK115" s="10"/>
      <c r="FL115" s="10"/>
      <c r="FM115" s="10"/>
      <c r="FN115" s="10"/>
      <c r="FO115" s="10"/>
      <c r="FP115" s="10"/>
      <c r="FQ115" s="10"/>
      <c r="FW115" s="3"/>
      <c r="FX115" s="4"/>
      <c r="FZ115" s="12"/>
      <c r="GA115" s="24"/>
      <c r="GB115" s="24"/>
      <c r="GC115" s="24"/>
      <c r="GD115" s="24"/>
      <c r="GE115" s="24"/>
      <c r="GF115" s="24"/>
      <c r="GG115" s="24"/>
      <c r="GH115" s="24"/>
      <c r="GI115" s="24"/>
      <c r="GJ115" s="24"/>
      <c r="GK115" s="24"/>
      <c r="GL115" s="24"/>
      <c r="GM115" s="24"/>
      <c r="GO115" s="4"/>
      <c r="GP115" s="4"/>
      <c r="GQ115" s="4"/>
      <c r="GR115" s="4"/>
      <c r="GS115" s="4"/>
      <c r="GT115" s="4"/>
      <c r="GU115" s="4"/>
      <c r="GV115" s="4"/>
      <c r="GW115" s="4"/>
      <c r="GX115" s="4"/>
      <c r="GY115" s="4"/>
      <c r="GZ115" s="4"/>
      <c r="HB115" s="12"/>
      <c r="HC115" s="3"/>
      <c r="HD115" s="3"/>
      <c r="HE115" s="3"/>
      <c r="HF115" s="3"/>
      <c r="HG115" s="3"/>
      <c r="HH115" s="3"/>
      <c r="HI115" s="3"/>
      <c r="HJ115" s="3"/>
      <c r="HK115" s="3"/>
      <c r="HL115" s="3"/>
      <c r="HM115" s="3"/>
      <c r="HN115" s="3"/>
    </row>
    <row r="116" spans="158:222" x14ac:dyDescent="0.2">
      <c r="FB116" s="10"/>
      <c r="FC116" s="10"/>
      <c r="FD116" s="10"/>
      <c r="FE116" s="10"/>
      <c r="FF116" s="10"/>
      <c r="FG116" s="10"/>
      <c r="FH116" s="10"/>
      <c r="FI116" s="10"/>
      <c r="FJ116" s="10"/>
      <c r="FK116" s="10"/>
      <c r="FL116" s="10"/>
      <c r="FM116" s="10"/>
      <c r="FN116" s="10"/>
      <c r="FO116" s="10"/>
      <c r="FP116" s="10"/>
      <c r="FQ116" s="10"/>
      <c r="FW116" s="3"/>
      <c r="FX116" s="4"/>
      <c r="FZ116" s="12"/>
      <c r="GA116" s="24"/>
      <c r="GB116" s="24"/>
      <c r="GC116" s="24"/>
      <c r="GD116" s="24"/>
      <c r="GE116" s="24"/>
      <c r="GF116" s="24"/>
      <c r="GG116" s="24"/>
      <c r="GH116" s="24"/>
      <c r="GI116" s="24"/>
      <c r="GJ116" s="24"/>
      <c r="GK116" s="24"/>
      <c r="GL116" s="24"/>
      <c r="GM116" s="24"/>
      <c r="GO116" s="4"/>
      <c r="GP116" s="4"/>
      <c r="GQ116" s="4"/>
      <c r="GR116" s="4"/>
      <c r="GS116" s="4"/>
      <c r="GT116" s="4"/>
      <c r="GU116" s="4"/>
      <c r="GV116" s="4"/>
      <c r="GW116" s="4"/>
      <c r="GX116" s="4"/>
      <c r="GY116" s="4"/>
      <c r="GZ116" s="4"/>
      <c r="HB116" s="12"/>
      <c r="HC116" s="3"/>
      <c r="HD116" s="3"/>
      <c r="HE116" s="3"/>
      <c r="HF116" s="3"/>
      <c r="HG116" s="3"/>
      <c r="HH116" s="3"/>
      <c r="HI116" s="3"/>
      <c r="HJ116" s="3"/>
      <c r="HK116" s="3"/>
      <c r="HL116" s="3"/>
      <c r="HM116" s="3"/>
      <c r="HN116" s="3"/>
    </row>
    <row r="117" spans="158:222" x14ac:dyDescent="0.2">
      <c r="FB117" s="10"/>
      <c r="FC117" s="10"/>
      <c r="FD117" s="10"/>
      <c r="FE117" s="10"/>
      <c r="FF117" s="10"/>
      <c r="FG117" s="10"/>
      <c r="FH117" s="10"/>
      <c r="FI117" s="10"/>
      <c r="FJ117" s="10"/>
      <c r="FK117" s="10"/>
      <c r="FL117" s="10"/>
      <c r="FM117" s="10"/>
      <c r="FN117" s="10"/>
      <c r="FO117" s="10"/>
      <c r="FP117" s="10"/>
      <c r="FQ117" s="10"/>
      <c r="FW117" s="3"/>
      <c r="FX117" s="4"/>
      <c r="FZ117" s="12"/>
      <c r="GA117" s="24"/>
      <c r="GB117" s="24"/>
      <c r="GC117" s="24"/>
      <c r="GD117" s="24"/>
      <c r="GE117" s="24"/>
      <c r="GF117" s="24"/>
      <c r="GG117" s="24"/>
      <c r="GH117" s="24"/>
      <c r="GI117" s="24"/>
      <c r="GJ117" s="24"/>
      <c r="GK117" s="24"/>
      <c r="GL117" s="24"/>
      <c r="GM117" s="24"/>
      <c r="GO117" s="4"/>
      <c r="GP117" s="4"/>
      <c r="GQ117" s="4"/>
      <c r="GR117" s="4"/>
      <c r="GS117" s="4"/>
      <c r="GT117" s="4"/>
      <c r="GU117" s="4"/>
      <c r="GV117" s="4"/>
      <c r="GW117" s="4"/>
      <c r="GX117" s="4"/>
      <c r="GY117" s="4"/>
      <c r="GZ117" s="4"/>
      <c r="HB117" s="12"/>
      <c r="HC117" s="3"/>
      <c r="HD117" s="3"/>
      <c r="HE117" s="3"/>
      <c r="HF117" s="3"/>
      <c r="HG117" s="3"/>
      <c r="HH117" s="3"/>
      <c r="HI117" s="3"/>
      <c r="HJ117" s="3"/>
      <c r="HK117" s="3"/>
      <c r="HL117" s="3"/>
      <c r="HM117" s="3"/>
      <c r="HN117" s="3"/>
    </row>
    <row r="118" spans="158:222" x14ac:dyDescent="0.2">
      <c r="FB118" s="10"/>
      <c r="FC118" s="10"/>
      <c r="FD118" s="10"/>
      <c r="FE118" s="10"/>
      <c r="FF118" s="10"/>
      <c r="FG118" s="10"/>
      <c r="FH118" s="10"/>
      <c r="FI118" s="10"/>
      <c r="FJ118" s="10"/>
      <c r="FK118" s="10"/>
      <c r="FL118" s="10"/>
      <c r="FM118" s="10"/>
      <c r="FN118" s="10"/>
      <c r="FO118" s="10"/>
      <c r="FP118" s="10"/>
      <c r="FQ118" s="10"/>
      <c r="FW118" s="3"/>
      <c r="FX118" s="4"/>
      <c r="FZ118" s="12"/>
      <c r="GA118" s="24"/>
      <c r="GB118" s="24"/>
      <c r="GC118" s="24"/>
      <c r="GD118" s="24"/>
      <c r="GE118" s="24"/>
      <c r="GF118" s="24"/>
      <c r="GG118" s="24"/>
      <c r="GH118" s="24"/>
      <c r="GI118" s="24"/>
      <c r="GJ118" s="24"/>
      <c r="GK118" s="24"/>
      <c r="GL118" s="24"/>
      <c r="GM118" s="24"/>
      <c r="GO118" s="4"/>
      <c r="GP118" s="4"/>
      <c r="GQ118" s="4"/>
      <c r="GR118" s="4"/>
      <c r="GS118" s="4"/>
      <c r="GT118" s="4"/>
      <c r="GU118" s="4"/>
      <c r="GV118" s="4"/>
      <c r="GW118" s="4"/>
      <c r="GX118" s="4"/>
      <c r="GY118" s="4"/>
      <c r="GZ118" s="4"/>
      <c r="HB118" s="12"/>
      <c r="HC118" s="3"/>
      <c r="HD118" s="3"/>
      <c r="HE118" s="3"/>
      <c r="HF118" s="3"/>
      <c r="HG118" s="3"/>
      <c r="HH118" s="3"/>
      <c r="HI118" s="3"/>
      <c r="HJ118" s="3"/>
      <c r="HK118" s="3"/>
      <c r="HL118" s="3"/>
      <c r="HM118" s="3"/>
      <c r="HN118" s="3"/>
    </row>
    <row r="119" spans="158:222" x14ac:dyDescent="0.2">
      <c r="FB119" s="10"/>
      <c r="FC119" s="10"/>
      <c r="FD119" s="10"/>
      <c r="FE119" s="10"/>
      <c r="FF119" s="10"/>
      <c r="FG119" s="10"/>
      <c r="FH119" s="10"/>
      <c r="FI119" s="10"/>
      <c r="FJ119" s="10"/>
      <c r="FK119" s="10"/>
      <c r="FL119" s="10"/>
      <c r="FM119" s="10"/>
      <c r="FN119" s="10"/>
      <c r="FO119" s="10"/>
      <c r="FP119" s="10"/>
      <c r="FQ119" s="10"/>
      <c r="FW119" s="3"/>
      <c r="FX119" s="4"/>
      <c r="FZ119" s="12"/>
      <c r="GA119" s="24"/>
      <c r="GB119" s="24"/>
      <c r="GC119" s="24"/>
      <c r="GD119" s="24"/>
      <c r="GE119" s="24"/>
      <c r="GF119" s="24"/>
      <c r="GG119" s="24"/>
      <c r="GH119" s="24"/>
      <c r="GI119" s="24"/>
      <c r="GJ119" s="24"/>
      <c r="GK119" s="24"/>
      <c r="GL119" s="24"/>
      <c r="GM119" s="24"/>
      <c r="GO119" s="4"/>
      <c r="GP119" s="4"/>
      <c r="GQ119" s="4"/>
      <c r="GR119" s="4"/>
      <c r="GS119" s="4"/>
      <c r="GT119" s="4"/>
      <c r="GU119" s="4"/>
      <c r="GV119" s="4"/>
      <c r="GW119" s="4"/>
      <c r="GX119" s="4"/>
      <c r="GY119" s="4"/>
      <c r="GZ119" s="4"/>
      <c r="HB119" s="12"/>
      <c r="HC119" s="3"/>
      <c r="HD119" s="3"/>
      <c r="HE119" s="3"/>
      <c r="HF119" s="3"/>
      <c r="HG119" s="3"/>
      <c r="HH119" s="3"/>
      <c r="HI119" s="3"/>
      <c r="HJ119" s="3"/>
      <c r="HK119" s="3"/>
      <c r="HL119" s="3"/>
      <c r="HM119" s="3"/>
      <c r="HN119" s="3"/>
    </row>
    <row r="120" spans="158:222" x14ac:dyDescent="0.2">
      <c r="FB120" s="10"/>
      <c r="FC120" s="10"/>
      <c r="FD120" s="10"/>
      <c r="FE120" s="10"/>
      <c r="FF120" s="10"/>
      <c r="FG120" s="10"/>
      <c r="FH120" s="10"/>
      <c r="FI120" s="10"/>
      <c r="FJ120" s="10"/>
      <c r="FK120" s="10"/>
      <c r="FL120" s="10"/>
      <c r="FM120" s="10"/>
      <c r="FN120" s="10"/>
      <c r="FO120" s="10"/>
      <c r="FP120" s="10"/>
      <c r="FQ120" s="10"/>
      <c r="FW120" s="3"/>
      <c r="FX120" s="4"/>
      <c r="FZ120" s="12"/>
      <c r="GA120" s="24"/>
      <c r="GB120" s="24"/>
      <c r="GC120" s="24"/>
      <c r="GD120" s="24"/>
      <c r="GE120" s="24"/>
      <c r="GF120" s="24"/>
      <c r="GG120" s="24"/>
      <c r="GH120" s="24"/>
      <c r="GI120" s="24"/>
      <c r="GJ120" s="24"/>
      <c r="GK120" s="24"/>
      <c r="GL120" s="24"/>
      <c r="GM120" s="24"/>
      <c r="GO120" s="4"/>
      <c r="GP120" s="4"/>
      <c r="GQ120" s="4"/>
      <c r="GR120" s="4"/>
      <c r="GS120" s="4"/>
      <c r="GT120" s="4"/>
      <c r="GU120" s="4"/>
      <c r="GV120" s="4"/>
      <c r="GW120" s="4"/>
      <c r="GX120" s="4"/>
      <c r="GY120" s="4"/>
      <c r="GZ120" s="4"/>
      <c r="HB120" s="12"/>
      <c r="HC120" s="3"/>
      <c r="HD120" s="3"/>
      <c r="HE120" s="3"/>
      <c r="HF120" s="3"/>
      <c r="HG120" s="3"/>
      <c r="HH120" s="3"/>
      <c r="HI120" s="3"/>
      <c r="HJ120" s="3"/>
      <c r="HK120" s="3"/>
      <c r="HL120" s="3"/>
      <c r="HM120" s="3"/>
      <c r="HN120" s="3"/>
    </row>
    <row r="121" spans="158:222" x14ac:dyDescent="0.2">
      <c r="FB121" s="10"/>
      <c r="FC121" s="10"/>
      <c r="FD121" s="10"/>
      <c r="FE121" s="10"/>
      <c r="FF121" s="10"/>
      <c r="FG121" s="10"/>
      <c r="FH121" s="10"/>
      <c r="FI121" s="10"/>
      <c r="FJ121" s="10"/>
      <c r="FK121" s="10"/>
      <c r="FL121" s="10"/>
      <c r="FM121" s="10"/>
      <c r="FN121" s="10"/>
      <c r="FO121" s="10"/>
      <c r="FP121" s="10"/>
      <c r="FQ121" s="10"/>
      <c r="FW121" s="3"/>
      <c r="FX121" s="4"/>
      <c r="FZ121" s="12"/>
      <c r="GA121" s="24"/>
      <c r="GB121" s="24"/>
      <c r="GC121" s="24"/>
      <c r="GD121" s="24"/>
      <c r="GE121" s="24"/>
      <c r="GF121" s="24"/>
      <c r="GG121" s="24"/>
      <c r="GH121" s="24"/>
      <c r="GI121" s="24"/>
      <c r="GJ121" s="24"/>
      <c r="GK121" s="24"/>
      <c r="GL121" s="24"/>
      <c r="GM121" s="24"/>
      <c r="GO121" s="4"/>
      <c r="GP121" s="4"/>
      <c r="GQ121" s="4"/>
      <c r="GR121" s="4"/>
      <c r="GS121" s="4"/>
      <c r="GT121" s="4"/>
      <c r="GU121" s="4"/>
      <c r="GV121" s="4"/>
      <c r="GW121" s="4"/>
      <c r="GX121" s="4"/>
      <c r="GY121" s="4"/>
      <c r="GZ121" s="4"/>
      <c r="HB121" s="12"/>
      <c r="HC121" s="3"/>
      <c r="HD121" s="3"/>
      <c r="HE121" s="3"/>
      <c r="HF121" s="3"/>
      <c r="HG121" s="3"/>
      <c r="HH121" s="3"/>
      <c r="HI121" s="3"/>
      <c r="HJ121" s="3"/>
      <c r="HK121" s="3"/>
      <c r="HL121" s="3"/>
      <c r="HM121" s="3"/>
      <c r="HN121" s="3"/>
    </row>
    <row r="122" spans="158:222" x14ac:dyDescent="0.2">
      <c r="FB122" s="10"/>
      <c r="FC122" s="10"/>
      <c r="FD122" s="10"/>
      <c r="FE122" s="10"/>
      <c r="FF122" s="10"/>
      <c r="FG122" s="10"/>
      <c r="FH122" s="10"/>
      <c r="FI122" s="10"/>
      <c r="FJ122" s="10"/>
      <c r="FK122" s="10"/>
      <c r="FL122" s="10"/>
      <c r="FM122" s="10"/>
      <c r="FN122" s="10"/>
      <c r="FO122" s="10"/>
      <c r="FP122" s="10"/>
      <c r="FQ122" s="10"/>
      <c r="FW122" s="3"/>
      <c r="FX122" s="4"/>
      <c r="FZ122" s="12"/>
      <c r="GA122" s="24"/>
      <c r="GB122" s="24"/>
      <c r="GC122" s="24"/>
      <c r="GD122" s="24"/>
      <c r="GE122" s="24"/>
      <c r="GF122" s="24"/>
      <c r="GG122" s="24"/>
      <c r="GH122" s="24"/>
      <c r="GI122" s="24"/>
      <c r="GJ122" s="24"/>
      <c r="GK122" s="24"/>
      <c r="GL122" s="24"/>
      <c r="GM122" s="24"/>
      <c r="GO122" s="4"/>
      <c r="GP122" s="4"/>
      <c r="GQ122" s="4"/>
      <c r="GR122" s="4"/>
      <c r="GS122" s="4"/>
      <c r="GT122" s="4"/>
      <c r="GU122" s="4"/>
      <c r="GV122" s="4"/>
      <c r="GW122" s="4"/>
      <c r="GX122" s="4"/>
      <c r="GY122" s="4"/>
      <c r="GZ122" s="4"/>
      <c r="HB122" s="12"/>
      <c r="HC122" s="3"/>
      <c r="HD122" s="3"/>
      <c r="HE122" s="3"/>
      <c r="HF122" s="3"/>
      <c r="HG122" s="3"/>
      <c r="HH122" s="3"/>
      <c r="HI122" s="3"/>
      <c r="HJ122" s="3"/>
      <c r="HK122" s="3"/>
      <c r="HL122" s="3"/>
      <c r="HM122" s="3"/>
      <c r="HN122" s="3"/>
    </row>
    <row r="123" spans="158:222" x14ac:dyDescent="0.2">
      <c r="FB123" s="10"/>
      <c r="FC123" s="10"/>
      <c r="FD123" s="10"/>
      <c r="FE123" s="10"/>
      <c r="FF123" s="10"/>
      <c r="FG123" s="10"/>
      <c r="FH123" s="10"/>
      <c r="FI123" s="10"/>
      <c r="FJ123" s="10"/>
      <c r="FK123" s="10"/>
      <c r="FL123" s="10"/>
      <c r="FM123" s="10"/>
      <c r="FN123" s="10"/>
      <c r="FO123" s="10"/>
      <c r="FP123" s="10"/>
      <c r="FQ123" s="10"/>
      <c r="FW123" s="3"/>
      <c r="FX123" s="4"/>
      <c r="FZ123" s="12"/>
      <c r="GA123" s="24"/>
      <c r="GB123" s="24"/>
      <c r="GC123" s="24"/>
      <c r="GD123" s="24"/>
      <c r="GE123" s="24"/>
      <c r="GF123" s="24"/>
      <c r="GG123" s="24"/>
      <c r="GH123" s="24"/>
      <c r="GI123" s="24"/>
      <c r="GJ123" s="24"/>
      <c r="GK123" s="24"/>
      <c r="GL123" s="24"/>
      <c r="GM123" s="24"/>
      <c r="GO123" s="4"/>
      <c r="GP123" s="4"/>
      <c r="GQ123" s="4"/>
      <c r="GR123" s="4"/>
      <c r="GS123" s="4"/>
      <c r="GT123" s="4"/>
      <c r="GU123" s="4"/>
      <c r="GV123" s="4"/>
      <c r="GW123" s="4"/>
      <c r="GX123" s="4"/>
      <c r="GY123" s="4"/>
      <c r="GZ123" s="4"/>
      <c r="HB123" s="12"/>
      <c r="HC123" s="3"/>
      <c r="HD123" s="3"/>
      <c r="HE123" s="3"/>
      <c r="HF123" s="3"/>
      <c r="HG123" s="3"/>
      <c r="HH123" s="3"/>
      <c r="HI123" s="3"/>
      <c r="HJ123" s="3"/>
      <c r="HK123" s="3"/>
      <c r="HL123" s="3"/>
      <c r="HM123" s="3"/>
      <c r="HN123" s="3"/>
    </row>
    <row r="124" spans="158:222" x14ac:dyDescent="0.2">
      <c r="FB124" s="10"/>
      <c r="FC124" s="10"/>
      <c r="FD124" s="10"/>
      <c r="FE124" s="10"/>
      <c r="FF124" s="10"/>
      <c r="FG124" s="10"/>
      <c r="FH124" s="10"/>
      <c r="FI124" s="10"/>
      <c r="FJ124" s="10"/>
      <c r="FK124" s="10"/>
      <c r="FL124" s="10"/>
      <c r="FM124" s="10"/>
      <c r="FN124" s="10"/>
      <c r="FO124" s="10"/>
      <c r="FP124" s="10"/>
      <c r="FQ124" s="10"/>
      <c r="FW124" s="3"/>
      <c r="FX124" s="4"/>
      <c r="FZ124" s="12"/>
      <c r="GA124" s="24"/>
      <c r="GB124" s="24"/>
      <c r="GC124" s="24"/>
      <c r="GD124" s="24"/>
      <c r="GE124" s="24"/>
      <c r="GF124" s="24"/>
      <c r="GG124" s="24"/>
      <c r="GH124" s="24"/>
      <c r="GI124" s="24"/>
      <c r="GJ124" s="24"/>
      <c r="GK124" s="24"/>
      <c r="GL124" s="24"/>
      <c r="GM124" s="24"/>
      <c r="GO124" s="4"/>
      <c r="GP124" s="4"/>
      <c r="GQ124" s="4"/>
      <c r="GR124" s="4"/>
      <c r="GS124" s="4"/>
      <c r="GT124" s="4"/>
      <c r="GU124" s="4"/>
      <c r="GV124" s="4"/>
      <c r="GW124" s="4"/>
      <c r="GX124" s="4"/>
      <c r="GY124" s="4"/>
      <c r="GZ124" s="4"/>
      <c r="HB124" s="12"/>
      <c r="HC124" s="3"/>
      <c r="HD124" s="3"/>
      <c r="HE124" s="3"/>
      <c r="HF124" s="3"/>
      <c r="HG124" s="3"/>
      <c r="HH124" s="3"/>
      <c r="HI124" s="3"/>
      <c r="HJ124" s="3"/>
      <c r="HK124" s="3"/>
      <c r="HL124" s="3"/>
      <c r="HM124" s="3"/>
      <c r="HN124" s="3"/>
    </row>
    <row r="125" spans="158:222" x14ac:dyDescent="0.2">
      <c r="FB125" s="10"/>
      <c r="FC125" s="10"/>
      <c r="FD125" s="10"/>
      <c r="FE125" s="10"/>
      <c r="FF125" s="10"/>
      <c r="FG125" s="10"/>
      <c r="FH125" s="10"/>
      <c r="FI125" s="10"/>
      <c r="FJ125" s="10"/>
      <c r="FK125" s="10"/>
      <c r="FL125" s="10"/>
      <c r="FM125" s="10"/>
      <c r="FN125" s="10"/>
      <c r="FO125" s="10"/>
      <c r="FP125" s="10"/>
      <c r="FQ125" s="10"/>
      <c r="FW125" s="3"/>
      <c r="FX125" s="4"/>
      <c r="FZ125" s="12"/>
      <c r="GA125" s="24"/>
      <c r="GB125" s="24"/>
      <c r="GC125" s="24"/>
      <c r="GD125" s="24"/>
      <c r="GE125" s="24"/>
      <c r="GF125" s="24"/>
      <c r="GG125" s="24"/>
      <c r="GH125" s="24"/>
      <c r="GI125" s="24"/>
      <c r="GJ125" s="24"/>
      <c r="GK125" s="24"/>
      <c r="GL125" s="24"/>
      <c r="GM125" s="24"/>
      <c r="GO125" s="4"/>
      <c r="GP125" s="4"/>
      <c r="GQ125" s="4"/>
      <c r="GR125" s="4"/>
      <c r="GS125" s="4"/>
      <c r="GT125" s="4"/>
      <c r="GU125" s="4"/>
      <c r="GV125" s="4"/>
      <c r="GW125" s="4"/>
      <c r="GX125" s="4"/>
      <c r="GY125" s="4"/>
      <c r="GZ125" s="4"/>
      <c r="HB125" s="12"/>
      <c r="HC125" s="3"/>
      <c r="HD125" s="3"/>
      <c r="HE125" s="3"/>
      <c r="HF125" s="3"/>
      <c r="HG125" s="3"/>
      <c r="HH125" s="3"/>
      <c r="HI125" s="3"/>
      <c r="HJ125" s="3"/>
      <c r="HK125" s="3"/>
      <c r="HL125" s="3"/>
      <c r="HM125" s="3"/>
      <c r="HN125" s="3"/>
    </row>
    <row r="126" spans="158:222" x14ac:dyDescent="0.2">
      <c r="FB126" s="10"/>
      <c r="FC126" s="10"/>
      <c r="FD126" s="10"/>
      <c r="FE126" s="10"/>
      <c r="FF126" s="10"/>
      <c r="FG126" s="10"/>
      <c r="FH126" s="10"/>
      <c r="FI126" s="10"/>
      <c r="FJ126" s="10"/>
      <c r="FK126" s="10"/>
      <c r="FL126" s="10"/>
      <c r="FM126" s="10"/>
      <c r="FN126" s="10"/>
      <c r="FO126" s="10"/>
      <c r="FP126" s="10"/>
      <c r="FQ126" s="10"/>
      <c r="FW126" s="3"/>
      <c r="FX126" s="4"/>
      <c r="FZ126" s="12"/>
      <c r="GA126" s="24"/>
      <c r="GB126" s="24"/>
      <c r="GC126" s="24"/>
      <c r="GD126" s="24"/>
      <c r="GE126" s="24"/>
      <c r="GF126" s="24"/>
      <c r="GG126" s="24"/>
      <c r="GH126" s="24"/>
      <c r="GI126" s="24"/>
      <c r="GJ126" s="24"/>
      <c r="GK126" s="24"/>
      <c r="GL126" s="24"/>
      <c r="GM126" s="24"/>
      <c r="GO126" s="4"/>
      <c r="GP126" s="4"/>
      <c r="GQ126" s="4"/>
      <c r="GR126" s="4"/>
      <c r="GS126" s="4"/>
      <c r="GT126" s="4"/>
      <c r="GU126" s="4"/>
      <c r="GV126" s="4"/>
      <c r="GW126" s="4"/>
      <c r="GX126" s="4"/>
      <c r="GY126" s="4"/>
      <c r="GZ126" s="4"/>
      <c r="HB126" s="12"/>
      <c r="HC126" s="3"/>
      <c r="HD126" s="3"/>
      <c r="HE126" s="3"/>
      <c r="HF126" s="3"/>
      <c r="HG126" s="3"/>
      <c r="HH126" s="3"/>
      <c r="HI126" s="3"/>
      <c r="HJ126" s="3"/>
      <c r="HK126" s="3"/>
      <c r="HL126" s="3"/>
      <c r="HM126" s="3"/>
      <c r="HN126" s="3"/>
    </row>
    <row r="127" spans="158:222" x14ac:dyDescent="0.2">
      <c r="FB127" s="10"/>
      <c r="FC127" s="10"/>
      <c r="FD127" s="10"/>
      <c r="FE127" s="10"/>
      <c r="FF127" s="10"/>
      <c r="FG127" s="10"/>
      <c r="FH127" s="10"/>
      <c r="FI127" s="10"/>
      <c r="FJ127" s="10"/>
      <c r="FK127" s="10"/>
      <c r="FL127" s="10"/>
      <c r="FM127" s="10"/>
      <c r="FN127" s="10"/>
      <c r="FO127" s="10"/>
      <c r="FP127" s="10"/>
      <c r="FQ127" s="10"/>
      <c r="FW127" s="3"/>
      <c r="FX127" s="4"/>
      <c r="FZ127" s="12"/>
      <c r="GA127" s="24"/>
      <c r="GB127" s="24"/>
      <c r="GC127" s="24"/>
      <c r="GD127" s="24"/>
      <c r="GE127" s="24"/>
      <c r="GF127" s="24"/>
      <c r="GG127" s="24"/>
      <c r="GH127" s="24"/>
      <c r="GI127" s="24"/>
      <c r="GJ127" s="24"/>
      <c r="GK127" s="24"/>
      <c r="GL127" s="24"/>
      <c r="GM127" s="24"/>
      <c r="GO127" s="4"/>
      <c r="GP127" s="4"/>
      <c r="GQ127" s="4"/>
      <c r="GR127" s="4"/>
      <c r="GS127" s="4"/>
      <c r="GT127" s="4"/>
      <c r="GU127" s="4"/>
      <c r="GV127" s="4"/>
      <c r="GW127" s="4"/>
      <c r="GX127" s="4"/>
      <c r="GY127" s="4"/>
      <c r="GZ127" s="4"/>
      <c r="HB127" s="12"/>
      <c r="HC127" s="3"/>
      <c r="HD127" s="3"/>
      <c r="HE127" s="3"/>
      <c r="HF127" s="3"/>
      <c r="HG127" s="3"/>
      <c r="HH127" s="3"/>
      <c r="HI127" s="3"/>
      <c r="HJ127" s="3"/>
      <c r="HK127" s="3"/>
      <c r="HL127" s="3"/>
      <c r="HM127" s="3"/>
      <c r="HN127" s="3"/>
    </row>
    <row r="128" spans="158:222" x14ac:dyDescent="0.2">
      <c r="FB128" s="10"/>
      <c r="FC128" s="10"/>
      <c r="FD128" s="10"/>
      <c r="FE128" s="10"/>
      <c r="FF128" s="10"/>
      <c r="FG128" s="10"/>
      <c r="FH128" s="10"/>
      <c r="FI128" s="10"/>
      <c r="FJ128" s="10"/>
      <c r="FK128" s="10"/>
      <c r="FL128" s="10"/>
      <c r="FM128" s="10"/>
      <c r="FN128" s="10"/>
      <c r="FO128" s="10"/>
      <c r="FP128" s="10"/>
      <c r="FQ128" s="10"/>
      <c r="FW128" s="3"/>
      <c r="FX128" s="4"/>
      <c r="FZ128" s="12"/>
      <c r="GA128" s="24"/>
      <c r="GB128" s="24"/>
      <c r="GC128" s="24"/>
      <c r="GD128" s="24"/>
      <c r="GE128" s="24"/>
      <c r="GF128" s="24"/>
      <c r="GG128" s="24"/>
      <c r="GH128" s="24"/>
      <c r="GI128" s="24"/>
      <c r="GJ128" s="24"/>
      <c r="GK128" s="24"/>
      <c r="GL128" s="24"/>
      <c r="GM128" s="24"/>
      <c r="GO128" s="4"/>
      <c r="GP128" s="4"/>
      <c r="GQ128" s="4"/>
      <c r="GR128" s="4"/>
      <c r="GS128" s="4"/>
      <c r="GT128" s="4"/>
      <c r="GU128" s="4"/>
      <c r="GV128" s="4"/>
      <c r="GW128" s="4"/>
      <c r="GX128" s="4"/>
      <c r="GY128" s="4"/>
      <c r="GZ128" s="4"/>
      <c r="HB128" s="12"/>
      <c r="HC128" s="3"/>
      <c r="HD128" s="3"/>
      <c r="HE128" s="3"/>
      <c r="HF128" s="3"/>
      <c r="HG128" s="3"/>
      <c r="HH128" s="3"/>
      <c r="HI128" s="3"/>
      <c r="HJ128" s="3"/>
      <c r="HK128" s="3"/>
      <c r="HL128" s="3"/>
      <c r="HM128" s="3"/>
      <c r="HN128" s="3"/>
    </row>
    <row r="129" spans="158:222" x14ac:dyDescent="0.2">
      <c r="FB129" s="10"/>
      <c r="FC129" s="10"/>
      <c r="FD129" s="10"/>
      <c r="FE129" s="10"/>
      <c r="FF129" s="10"/>
      <c r="FG129" s="10"/>
      <c r="FH129" s="10"/>
      <c r="FI129" s="10"/>
      <c r="FJ129" s="10"/>
      <c r="FK129" s="10"/>
      <c r="FL129" s="10"/>
      <c r="FM129" s="10"/>
      <c r="FN129" s="10"/>
      <c r="FO129" s="10"/>
      <c r="FP129" s="10"/>
      <c r="FQ129" s="10"/>
      <c r="FW129" s="3"/>
      <c r="FX129" s="4"/>
      <c r="FZ129" s="12"/>
      <c r="GA129" s="24"/>
      <c r="GB129" s="24"/>
      <c r="GC129" s="24"/>
      <c r="GD129" s="24"/>
      <c r="GE129" s="24"/>
      <c r="GF129" s="24"/>
      <c r="GG129" s="24"/>
      <c r="GH129" s="24"/>
      <c r="GI129" s="24"/>
      <c r="GJ129" s="24"/>
      <c r="GK129" s="24"/>
      <c r="GL129" s="24"/>
      <c r="GM129" s="24"/>
      <c r="GO129" s="4"/>
      <c r="GP129" s="4"/>
      <c r="GQ129" s="4"/>
      <c r="GR129" s="4"/>
      <c r="GS129" s="4"/>
      <c r="GT129" s="4"/>
      <c r="GU129" s="4"/>
      <c r="GV129" s="4"/>
      <c r="GW129" s="4"/>
      <c r="GX129" s="4"/>
      <c r="GY129" s="4"/>
      <c r="GZ129" s="4"/>
      <c r="HB129" s="12"/>
      <c r="HC129" s="3"/>
      <c r="HD129" s="3"/>
      <c r="HE129" s="3"/>
      <c r="HF129" s="3"/>
      <c r="HG129" s="3"/>
      <c r="HH129" s="3"/>
      <c r="HI129" s="3"/>
      <c r="HJ129" s="3"/>
      <c r="HK129" s="3"/>
      <c r="HL129" s="3"/>
      <c r="HM129" s="3"/>
      <c r="HN129" s="3"/>
    </row>
    <row r="130" spans="158:222" x14ac:dyDescent="0.2">
      <c r="FB130" s="10"/>
      <c r="FC130" s="10"/>
      <c r="FD130" s="10"/>
      <c r="FE130" s="10"/>
      <c r="FF130" s="10"/>
      <c r="FG130" s="10"/>
      <c r="FH130" s="10"/>
      <c r="FI130" s="10"/>
      <c r="FJ130" s="10"/>
      <c r="FK130" s="10"/>
      <c r="FL130" s="10"/>
      <c r="FM130" s="10"/>
      <c r="FN130" s="10"/>
      <c r="FO130" s="10"/>
      <c r="FP130" s="10"/>
      <c r="FQ130" s="10"/>
      <c r="FW130" s="3"/>
      <c r="FX130" s="4"/>
      <c r="FZ130" s="12"/>
      <c r="GA130" s="24"/>
      <c r="GB130" s="24"/>
      <c r="GC130" s="24"/>
      <c r="GD130" s="24"/>
      <c r="GE130" s="24"/>
      <c r="GF130" s="24"/>
      <c r="GG130" s="24"/>
      <c r="GH130" s="24"/>
      <c r="GI130" s="24"/>
      <c r="GJ130" s="24"/>
      <c r="GK130" s="24"/>
      <c r="GL130" s="24"/>
      <c r="GM130" s="24"/>
      <c r="GO130" s="4"/>
      <c r="GP130" s="4"/>
      <c r="GQ130" s="4"/>
      <c r="GR130" s="4"/>
      <c r="GS130" s="4"/>
      <c r="GT130" s="4"/>
      <c r="GU130" s="4"/>
      <c r="GV130" s="4"/>
      <c r="GW130" s="4"/>
      <c r="GX130" s="4"/>
      <c r="GY130" s="4"/>
      <c r="GZ130" s="4"/>
      <c r="HB130" s="12"/>
      <c r="HC130" s="3"/>
      <c r="HD130" s="3"/>
      <c r="HE130" s="3"/>
      <c r="HF130" s="3"/>
      <c r="HG130" s="3"/>
      <c r="HH130" s="3"/>
      <c r="HI130" s="3"/>
      <c r="HJ130" s="3"/>
      <c r="HK130" s="3"/>
      <c r="HL130" s="3"/>
      <c r="HM130" s="3"/>
      <c r="HN130" s="3"/>
    </row>
    <row r="131" spans="158:222" x14ac:dyDescent="0.2">
      <c r="FB131" s="10"/>
      <c r="FC131" s="10"/>
      <c r="FD131" s="10"/>
      <c r="FE131" s="10"/>
      <c r="FF131" s="10"/>
      <c r="FG131" s="10"/>
      <c r="FH131" s="10"/>
      <c r="FI131" s="10"/>
      <c r="FJ131" s="10"/>
      <c r="FK131" s="10"/>
      <c r="FL131" s="10"/>
      <c r="FM131" s="10"/>
      <c r="FN131" s="10"/>
      <c r="FO131" s="10"/>
      <c r="FP131" s="10"/>
      <c r="FQ131" s="10"/>
      <c r="FW131" s="3"/>
      <c r="FX131" s="4"/>
      <c r="FZ131" s="12"/>
      <c r="GA131" s="24"/>
      <c r="GB131" s="24"/>
      <c r="GC131" s="24"/>
      <c r="GD131" s="24"/>
      <c r="GE131" s="24"/>
      <c r="GF131" s="24"/>
      <c r="GG131" s="24"/>
      <c r="GH131" s="24"/>
      <c r="GI131" s="24"/>
      <c r="GJ131" s="24"/>
      <c r="GK131" s="24"/>
      <c r="GL131" s="24"/>
      <c r="GM131" s="24"/>
      <c r="GO131" s="4"/>
      <c r="GP131" s="4"/>
      <c r="GQ131" s="4"/>
      <c r="GR131" s="4"/>
      <c r="GS131" s="4"/>
      <c r="GT131" s="4"/>
      <c r="GU131" s="4"/>
      <c r="GV131" s="4"/>
      <c r="GW131" s="4"/>
      <c r="GX131" s="4"/>
      <c r="GY131" s="4"/>
      <c r="GZ131" s="4"/>
      <c r="HB131" s="12"/>
      <c r="HC131" s="3"/>
      <c r="HD131" s="3"/>
      <c r="HE131" s="3"/>
      <c r="HF131" s="3"/>
      <c r="HG131" s="3"/>
      <c r="HH131" s="3"/>
      <c r="HI131" s="3"/>
      <c r="HJ131" s="3"/>
      <c r="HK131" s="3"/>
      <c r="HL131" s="3"/>
      <c r="HM131" s="3"/>
      <c r="HN131" s="3"/>
    </row>
    <row r="132" spans="158:222" x14ac:dyDescent="0.2">
      <c r="FB132" s="10"/>
      <c r="FC132" s="10"/>
      <c r="FD132" s="10"/>
      <c r="FE132" s="10"/>
      <c r="FF132" s="10"/>
      <c r="FG132" s="10"/>
      <c r="FH132" s="10"/>
      <c r="FI132" s="10"/>
      <c r="FJ132" s="10"/>
      <c r="FK132" s="10"/>
      <c r="FL132" s="10"/>
      <c r="FM132" s="10"/>
      <c r="FN132" s="10"/>
      <c r="FO132" s="10"/>
      <c r="FP132" s="10"/>
      <c r="FQ132" s="10"/>
      <c r="FW132" s="3"/>
      <c r="FX132" s="4"/>
      <c r="FZ132" s="12"/>
      <c r="GA132" s="24"/>
      <c r="GB132" s="24"/>
      <c r="GC132" s="24"/>
      <c r="GD132" s="24"/>
      <c r="GE132" s="24"/>
      <c r="GF132" s="24"/>
      <c r="GG132" s="24"/>
      <c r="GH132" s="24"/>
      <c r="GI132" s="24"/>
      <c r="GJ132" s="24"/>
      <c r="GK132" s="24"/>
      <c r="GL132" s="24"/>
      <c r="GM132" s="24"/>
      <c r="GO132" s="4"/>
      <c r="GP132" s="4"/>
      <c r="GQ132" s="4"/>
      <c r="GR132" s="4"/>
      <c r="GS132" s="4"/>
      <c r="GT132" s="4"/>
      <c r="GU132" s="4"/>
      <c r="GV132" s="4"/>
      <c r="GW132" s="4"/>
      <c r="GX132" s="4"/>
      <c r="GY132" s="4"/>
      <c r="GZ132" s="4"/>
      <c r="HB132" s="12"/>
      <c r="HC132" s="3"/>
      <c r="HD132" s="3"/>
      <c r="HE132" s="3"/>
      <c r="HF132" s="3"/>
      <c r="HG132" s="3"/>
      <c r="HH132" s="3"/>
      <c r="HI132" s="3"/>
      <c r="HJ132" s="3"/>
      <c r="HK132" s="3"/>
      <c r="HL132" s="3"/>
      <c r="HM132" s="3"/>
      <c r="HN132" s="3"/>
    </row>
    <row r="133" spans="158:222" x14ac:dyDescent="0.2">
      <c r="FB133" s="10"/>
      <c r="FC133" s="10"/>
      <c r="FD133" s="10"/>
      <c r="FE133" s="10"/>
      <c r="FF133" s="10"/>
      <c r="FG133" s="10"/>
      <c r="FH133" s="10"/>
      <c r="FI133" s="10"/>
      <c r="FJ133" s="10"/>
      <c r="FK133" s="10"/>
      <c r="FL133" s="10"/>
      <c r="FM133" s="10"/>
      <c r="FN133" s="10"/>
      <c r="FO133" s="10"/>
      <c r="FP133" s="10"/>
      <c r="FQ133" s="10"/>
      <c r="FW133" s="3"/>
      <c r="FX133" s="4"/>
      <c r="FZ133" s="12"/>
      <c r="GA133" s="24"/>
      <c r="GB133" s="24"/>
      <c r="GC133" s="24"/>
      <c r="GD133" s="24"/>
      <c r="GE133" s="24"/>
      <c r="GF133" s="24"/>
      <c r="GG133" s="24"/>
      <c r="GH133" s="24"/>
      <c r="GI133" s="24"/>
      <c r="GJ133" s="24"/>
      <c r="GK133" s="24"/>
      <c r="GL133" s="24"/>
      <c r="GM133" s="24"/>
      <c r="GO133" s="4"/>
      <c r="GP133" s="4"/>
      <c r="GQ133" s="4"/>
      <c r="GR133" s="4"/>
      <c r="GS133" s="4"/>
      <c r="GT133" s="4"/>
      <c r="GU133" s="4"/>
      <c r="GV133" s="4"/>
      <c r="GW133" s="4"/>
      <c r="GX133" s="4"/>
      <c r="GY133" s="4"/>
      <c r="GZ133" s="4"/>
      <c r="HB133" s="12"/>
      <c r="HC133" s="3"/>
      <c r="HD133" s="3"/>
      <c r="HE133" s="3"/>
      <c r="HF133" s="3"/>
      <c r="HG133" s="3"/>
      <c r="HH133" s="3"/>
      <c r="HI133" s="3"/>
      <c r="HJ133" s="3"/>
      <c r="HK133" s="3"/>
      <c r="HL133" s="3"/>
      <c r="HM133" s="3"/>
      <c r="HN133" s="3"/>
    </row>
    <row r="134" spans="158:222" x14ac:dyDescent="0.2">
      <c r="FB134" s="10"/>
      <c r="FC134" s="10"/>
      <c r="FD134" s="10"/>
      <c r="FE134" s="10"/>
      <c r="FF134" s="10"/>
      <c r="FG134" s="10"/>
      <c r="FH134" s="10"/>
      <c r="FI134" s="10"/>
      <c r="FJ134" s="10"/>
      <c r="FK134" s="10"/>
      <c r="FL134" s="10"/>
      <c r="FM134" s="10"/>
      <c r="FN134" s="10"/>
      <c r="FO134" s="10"/>
      <c r="FP134" s="10"/>
      <c r="FQ134" s="10"/>
      <c r="FW134" s="3"/>
      <c r="FX134" s="4"/>
      <c r="FZ134" s="12"/>
      <c r="GA134" s="24"/>
      <c r="GB134" s="24"/>
      <c r="GC134" s="24"/>
      <c r="GD134" s="24"/>
      <c r="GE134" s="24"/>
      <c r="GF134" s="24"/>
      <c r="GG134" s="24"/>
      <c r="GH134" s="24"/>
      <c r="GI134" s="24"/>
      <c r="GJ134" s="24"/>
      <c r="GK134" s="24"/>
      <c r="GL134" s="24"/>
      <c r="GM134" s="24"/>
      <c r="GO134" s="4"/>
      <c r="GP134" s="4"/>
      <c r="GQ134" s="4"/>
      <c r="GR134" s="4"/>
      <c r="GS134" s="4"/>
      <c r="GT134" s="4"/>
      <c r="GU134" s="4"/>
      <c r="GV134" s="4"/>
      <c r="GW134" s="4"/>
      <c r="GX134" s="4"/>
      <c r="GY134" s="4"/>
      <c r="GZ134" s="4"/>
      <c r="HB134" s="12"/>
      <c r="HC134" s="3"/>
      <c r="HD134" s="3"/>
      <c r="HE134" s="3"/>
      <c r="HF134" s="3"/>
      <c r="HG134" s="3"/>
      <c r="HH134" s="3"/>
      <c r="HI134" s="3"/>
      <c r="HJ134" s="3"/>
      <c r="HK134" s="3"/>
      <c r="HL134" s="3"/>
      <c r="HM134" s="3"/>
      <c r="HN134" s="3"/>
    </row>
    <row r="135" spans="158:222" x14ac:dyDescent="0.2">
      <c r="FB135" s="10"/>
      <c r="FC135" s="10"/>
      <c r="FD135" s="10"/>
      <c r="FE135" s="10"/>
      <c r="FF135" s="10"/>
      <c r="FG135" s="10"/>
      <c r="FH135" s="10"/>
      <c r="FI135" s="10"/>
      <c r="FJ135" s="10"/>
      <c r="FK135" s="10"/>
      <c r="FL135" s="10"/>
      <c r="FM135" s="10"/>
      <c r="FN135" s="10"/>
      <c r="FO135" s="10"/>
      <c r="FP135" s="10"/>
      <c r="FQ135" s="10"/>
      <c r="FW135" s="3"/>
      <c r="FX135" s="4"/>
      <c r="FZ135" s="12"/>
      <c r="GA135" s="24"/>
      <c r="GB135" s="24"/>
      <c r="GC135" s="24"/>
      <c r="GD135" s="24"/>
      <c r="GE135" s="24"/>
      <c r="GF135" s="24"/>
      <c r="GG135" s="24"/>
      <c r="GH135" s="24"/>
      <c r="GI135" s="24"/>
      <c r="GJ135" s="24"/>
      <c r="GK135" s="24"/>
      <c r="GL135" s="24"/>
      <c r="GM135" s="24"/>
      <c r="GO135" s="4"/>
      <c r="GP135" s="4"/>
      <c r="GQ135" s="4"/>
      <c r="GR135" s="4"/>
      <c r="GS135" s="4"/>
      <c r="GT135" s="4"/>
      <c r="GU135" s="4"/>
      <c r="GV135" s="4"/>
      <c r="GW135" s="4"/>
      <c r="GX135" s="4"/>
      <c r="GY135" s="4"/>
      <c r="GZ135" s="4"/>
      <c r="HB135" s="12"/>
      <c r="HC135" s="3"/>
      <c r="HD135" s="3"/>
      <c r="HE135" s="3"/>
      <c r="HF135" s="3"/>
      <c r="HG135" s="3"/>
      <c r="HH135" s="3"/>
      <c r="HI135" s="3"/>
      <c r="HJ135" s="3"/>
      <c r="HK135" s="3"/>
      <c r="HL135" s="3"/>
      <c r="HM135" s="3"/>
      <c r="HN135" s="3"/>
    </row>
    <row r="136" spans="158:222" x14ac:dyDescent="0.2">
      <c r="FB136" s="10"/>
      <c r="FC136" s="10"/>
      <c r="FD136" s="10"/>
      <c r="FE136" s="10"/>
      <c r="FF136" s="10"/>
      <c r="FG136" s="10"/>
      <c r="FH136" s="10"/>
      <c r="FI136" s="10"/>
      <c r="FJ136" s="10"/>
      <c r="FK136" s="10"/>
      <c r="FL136" s="10"/>
      <c r="FM136" s="10"/>
      <c r="FN136" s="10"/>
      <c r="FO136" s="10"/>
      <c r="FP136" s="10"/>
      <c r="FQ136" s="10"/>
      <c r="FW136" s="3"/>
      <c r="FX136" s="4"/>
      <c r="FZ136" s="12"/>
      <c r="GA136" s="24"/>
      <c r="GB136" s="24"/>
      <c r="GC136" s="24"/>
      <c r="GD136" s="24"/>
      <c r="GE136" s="24"/>
      <c r="GF136" s="24"/>
      <c r="GG136" s="24"/>
      <c r="GH136" s="24"/>
      <c r="GI136" s="24"/>
      <c r="GJ136" s="24"/>
      <c r="GK136" s="24"/>
      <c r="GL136" s="24"/>
      <c r="GM136" s="24"/>
      <c r="GO136" s="4"/>
      <c r="GP136" s="4"/>
      <c r="GQ136" s="4"/>
      <c r="GR136" s="4"/>
      <c r="GS136" s="4"/>
      <c r="GT136" s="4"/>
      <c r="GU136" s="4"/>
      <c r="GV136" s="4"/>
      <c r="GW136" s="4"/>
      <c r="GX136" s="4"/>
      <c r="GY136" s="4"/>
      <c r="GZ136" s="4"/>
      <c r="HB136" s="12"/>
      <c r="HC136" s="3"/>
      <c r="HD136" s="3"/>
      <c r="HE136" s="3"/>
      <c r="HF136" s="3"/>
      <c r="HG136" s="3"/>
      <c r="HH136" s="3"/>
      <c r="HI136" s="3"/>
      <c r="HJ136" s="3"/>
      <c r="HK136" s="3"/>
      <c r="HL136" s="3"/>
      <c r="HM136" s="3"/>
      <c r="HN136" s="3"/>
    </row>
    <row r="137" spans="158:222" x14ac:dyDescent="0.2">
      <c r="FB137" s="10"/>
      <c r="FC137" s="10"/>
      <c r="FD137" s="10"/>
      <c r="FE137" s="10"/>
      <c r="FF137" s="10"/>
      <c r="FG137" s="10"/>
      <c r="FH137" s="10"/>
      <c r="FI137" s="10"/>
      <c r="FJ137" s="10"/>
      <c r="FK137" s="10"/>
      <c r="FL137" s="10"/>
      <c r="FM137" s="10"/>
      <c r="FN137" s="10"/>
      <c r="FO137" s="10"/>
      <c r="FP137" s="10"/>
      <c r="FQ137" s="10"/>
      <c r="FW137" s="3"/>
      <c r="FX137" s="4"/>
      <c r="FZ137" s="12"/>
      <c r="GA137" s="24"/>
      <c r="GB137" s="24"/>
      <c r="GC137" s="24"/>
      <c r="GD137" s="24"/>
      <c r="GE137" s="24"/>
      <c r="GF137" s="24"/>
      <c r="GG137" s="24"/>
      <c r="GH137" s="24"/>
      <c r="GI137" s="24"/>
      <c r="GJ137" s="24"/>
      <c r="GK137" s="24"/>
      <c r="GL137" s="24"/>
      <c r="GM137" s="24"/>
      <c r="GO137" s="4"/>
      <c r="GP137" s="4"/>
      <c r="GQ137" s="4"/>
      <c r="GR137" s="4"/>
      <c r="GS137" s="4"/>
      <c r="GT137" s="4"/>
      <c r="GU137" s="4"/>
      <c r="GV137" s="4"/>
      <c r="GW137" s="4"/>
      <c r="GX137" s="4"/>
      <c r="GY137" s="4"/>
      <c r="GZ137" s="4"/>
      <c r="HB137" s="12"/>
      <c r="HC137" s="3"/>
      <c r="HD137" s="3"/>
      <c r="HE137" s="3"/>
      <c r="HF137" s="3"/>
      <c r="HG137" s="3"/>
      <c r="HH137" s="3"/>
      <c r="HI137" s="3"/>
      <c r="HJ137" s="3"/>
      <c r="HK137" s="3"/>
      <c r="HL137" s="3"/>
      <c r="HM137" s="3"/>
      <c r="HN137" s="3"/>
    </row>
    <row r="138" spans="158:222" x14ac:dyDescent="0.2">
      <c r="FB138" s="10"/>
      <c r="FC138" s="10"/>
      <c r="FD138" s="10"/>
      <c r="FE138" s="10"/>
      <c r="FF138" s="10"/>
      <c r="FG138" s="10"/>
      <c r="FH138" s="10"/>
      <c r="FI138" s="10"/>
      <c r="FJ138" s="10"/>
      <c r="FK138" s="10"/>
      <c r="FL138" s="10"/>
      <c r="FM138" s="10"/>
      <c r="FN138" s="10"/>
      <c r="FO138" s="10"/>
      <c r="FP138" s="10"/>
      <c r="FQ138" s="10"/>
      <c r="FW138" s="3"/>
      <c r="FX138" s="4"/>
      <c r="FZ138" s="12"/>
      <c r="GA138" s="24"/>
      <c r="GB138" s="24"/>
      <c r="GC138" s="24"/>
      <c r="GD138" s="24"/>
      <c r="GE138" s="24"/>
      <c r="GF138" s="24"/>
      <c r="GG138" s="24"/>
      <c r="GH138" s="24"/>
      <c r="GI138" s="24"/>
      <c r="GJ138" s="24"/>
      <c r="GK138" s="24"/>
      <c r="GL138" s="24"/>
      <c r="GM138" s="24"/>
      <c r="GO138" s="4"/>
      <c r="GP138" s="4"/>
      <c r="GQ138" s="4"/>
      <c r="GR138" s="4"/>
      <c r="GS138" s="4"/>
      <c r="GT138" s="4"/>
      <c r="GU138" s="4"/>
      <c r="GV138" s="4"/>
      <c r="GW138" s="4"/>
      <c r="GX138" s="4"/>
      <c r="GY138" s="4"/>
      <c r="GZ138" s="4"/>
      <c r="HB138" s="12"/>
      <c r="HC138" s="3"/>
      <c r="HD138" s="3"/>
      <c r="HE138" s="3"/>
      <c r="HF138" s="3"/>
      <c r="HG138" s="3"/>
      <c r="HH138" s="3"/>
      <c r="HI138" s="3"/>
      <c r="HJ138" s="3"/>
      <c r="HK138" s="3"/>
      <c r="HL138" s="3"/>
      <c r="HM138" s="3"/>
      <c r="HN138" s="3"/>
    </row>
    <row r="139" spans="158:222" x14ac:dyDescent="0.2">
      <c r="FB139" s="10"/>
      <c r="FC139" s="10"/>
      <c r="FD139" s="10"/>
      <c r="FE139" s="10"/>
      <c r="FF139" s="10"/>
      <c r="FG139" s="10"/>
      <c r="FH139" s="10"/>
      <c r="FI139" s="10"/>
      <c r="FJ139" s="10"/>
      <c r="FK139" s="10"/>
      <c r="FL139" s="10"/>
      <c r="FM139" s="10"/>
      <c r="FN139" s="10"/>
      <c r="FO139" s="10"/>
      <c r="FP139" s="10"/>
      <c r="FQ139" s="10"/>
      <c r="FW139" s="3"/>
      <c r="FX139" s="4"/>
      <c r="FZ139" s="12"/>
      <c r="GA139" s="24"/>
      <c r="GB139" s="24"/>
      <c r="GC139" s="24"/>
      <c r="GD139" s="24"/>
      <c r="GE139" s="24"/>
      <c r="GF139" s="24"/>
      <c r="GG139" s="24"/>
      <c r="GH139" s="24"/>
      <c r="GI139" s="24"/>
      <c r="GJ139" s="24"/>
      <c r="GK139" s="24"/>
      <c r="GL139" s="24"/>
      <c r="GM139" s="24"/>
      <c r="GO139" s="4"/>
      <c r="GP139" s="4"/>
      <c r="GQ139" s="4"/>
      <c r="GR139" s="4"/>
      <c r="GS139" s="4"/>
      <c r="GT139" s="4"/>
      <c r="GU139" s="4"/>
      <c r="GV139" s="4"/>
      <c r="GW139" s="4"/>
      <c r="GX139" s="4"/>
      <c r="GY139" s="4"/>
      <c r="GZ139" s="4"/>
      <c r="HB139" s="12"/>
      <c r="HC139" s="3"/>
      <c r="HD139" s="3"/>
      <c r="HE139" s="3"/>
      <c r="HF139" s="3"/>
      <c r="HG139" s="3"/>
      <c r="HH139" s="3"/>
      <c r="HI139" s="3"/>
      <c r="HJ139" s="3"/>
      <c r="HK139" s="3"/>
      <c r="HL139" s="3"/>
      <c r="HM139" s="3"/>
      <c r="HN139" s="3"/>
    </row>
    <row r="140" spans="158:222" x14ac:dyDescent="0.2">
      <c r="FB140" s="10"/>
      <c r="FC140" s="10"/>
      <c r="FD140" s="10"/>
      <c r="FE140" s="10"/>
      <c r="FF140" s="10"/>
      <c r="FG140" s="10"/>
      <c r="FH140" s="10"/>
      <c r="FI140" s="10"/>
      <c r="FJ140" s="10"/>
      <c r="FK140" s="10"/>
      <c r="FL140" s="10"/>
      <c r="FM140" s="10"/>
      <c r="FN140" s="10"/>
      <c r="FO140" s="10"/>
      <c r="FP140" s="10"/>
      <c r="FQ140" s="10"/>
      <c r="FW140" s="3"/>
      <c r="FX140" s="4"/>
      <c r="FZ140" s="12"/>
      <c r="GA140" s="24"/>
      <c r="GB140" s="24"/>
      <c r="GC140" s="24"/>
      <c r="GD140" s="24"/>
      <c r="GE140" s="24"/>
      <c r="GF140" s="24"/>
      <c r="GG140" s="24"/>
      <c r="GH140" s="24"/>
      <c r="GI140" s="24"/>
      <c r="GJ140" s="24"/>
      <c r="GK140" s="24"/>
      <c r="GL140" s="24"/>
      <c r="GM140" s="24"/>
      <c r="GO140" s="4"/>
      <c r="GP140" s="4"/>
      <c r="GQ140" s="4"/>
      <c r="GR140" s="4"/>
      <c r="GS140" s="4"/>
      <c r="GT140" s="4"/>
      <c r="GU140" s="4"/>
      <c r="GV140" s="4"/>
      <c r="GW140" s="4"/>
      <c r="GX140" s="4"/>
      <c r="GY140" s="4"/>
      <c r="GZ140" s="4"/>
      <c r="HB140" s="12"/>
      <c r="HC140" s="3"/>
      <c r="HD140" s="3"/>
      <c r="HE140" s="3"/>
      <c r="HF140" s="3"/>
      <c r="HG140" s="3"/>
      <c r="HH140" s="3"/>
      <c r="HI140" s="3"/>
      <c r="HJ140" s="3"/>
      <c r="HK140" s="3"/>
      <c r="HL140" s="3"/>
      <c r="HM140" s="3"/>
      <c r="HN140" s="3"/>
    </row>
    <row r="141" spans="158:222" x14ac:dyDescent="0.2">
      <c r="FB141" s="10"/>
      <c r="FC141" s="10"/>
      <c r="FD141" s="10"/>
      <c r="FE141" s="10"/>
      <c r="FF141" s="10"/>
      <c r="FG141" s="10"/>
      <c r="FH141" s="10"/>
      <c r="FI141" s="10"/>
      <c r="FJ141" s="10"/>
      <c r="FK141" s="10"/>
      <c r="FL141" s="10"/>
      <c r="FM141" s="10"/>
      <c r="FN141" s="10"/>
      <c r="FO141" s="10"/>
      <c r="FP141" s="10"/>
      <c r="FQ141" s="10"/>
      <c r="FW141" s="3"/>
      <c r="FX141" s="4"/>
      <c r="FZ141" s="12"/>
      <c r="GA141" s="24"/>
      <c r="GB141" s="24"/>
      <c r="GC141" s="24"/>
      <c r="GD141" s="24"/>
      <c r="GE141" s="24"/>
      <c r="GF141" s="24"/>
      <c r="GG141" s="24"/>
      <c r="GH141" s="24"/>
      <c r="GI141" s="24"/>
      <c r="GJ141" s="24"/>
      <c r="GK141" s="24"/>
      <c r="GL141" s="24"/>
      <c r="GM141" s="24"/>
      <c r="GO141" s="4"/>
      <c r="GP141" s="4"/>
      <c r="GQ141" s="4"/>
      <c r="GR141" s="4"/>
      <c r="GS141" s="4"/>
      <c r="GT141" s="4"/>
      <c r="GU141" s="4"/>
      <c r="GV141" s="4"/>
      <c r="GW141" s="4"/>
      <c r="GX141" s="4"/>
      <c r="GY141" s="4"/>
      <c r="GZ141" s="4"/>
      <c r="HB141" s="12"/>
      <c r="HC141" s="3"/>
      <c r="HD141" s="3"/>
      <c r="HE141" s="3"/>
      <c r="HF141" s="3"/>
      <c r="HG141" s="3"/>
      <c r="HH141" s="3"/>
      <c r="HI141" s="3"/>
      <c r="HJ141" s="3"/>
      <c r="HK141" s="3"/>
      <c r="HL141" s="3"/>
      <c r="HM141" s="3"/>
      <c r="HN141" s="3"/>
    </row>
    <row r="142" spans="158:222" x14ac:dyDescent="0.2">
      <c r="FB142" s="10"/>
      <c r="FC142" s="10"/>
      <c r="FD142" s="10"/>
      <c r="FE142" s="10"/>
      <c r="FF142" s="10"/>
      <c r="FG142" s="10"/>
      <c r="FH142" s="10"/>
      <c r="FI142" s="10"/>
      <c r="FJ142" s="10"/>
      <c r="FK142" s="10"/>
      <c r="FL142" s="10"/>
      <c r="FM142" s="10"/>
      <c r="FN142" s="10"/>
      <c r="FO142" s="10"/>
      <c r="FP142" s="10"/>
      <c r="FQ142" s="10"/>
      <c r="FW142" s="3"/>
      <c r="FX142" s="4"/>
      <c r="FZ142" s="12"/>
      <c r="GA142" s="24"/>
      <c r="GB142" s="24"/>
      <c r="GC142" s="24"/>
      <c r="GD142" s="24"/>
      <c r="GE142" s="24"/>
      <c r="GF142" s="24"/>
      <c r="GG142" s="24"/>
      <c r="GH142" s="24"/>
      <c r="GI142" s="24"/>
      <c r="GJ142" s="24"/>
      <c r="GK142" s="24"/>
      <c r="GL142" s="24"/>
      <c r="GM142" s="24"/>
      <c r="GO142" s="4"/>
      <c r="GP142" s="4"/>
      <c r="GQ142" s="4"/>
      <c r="GR142" s="4"/>
      <c r="GS142" s="4"/>
      <c r="GT142" s="4"/>
      <c r="GU142" s="4"/>
      <c r="GV142" s="4"/>
      <c r="GW142" s="4"/>
      <c r="GX142" s="4"/>
      <c r="GY142" s="4"/>
      <c r="GZ142" s="4"/>
      <c r="HB142" s="12"/>
      <c r="HC142" s="3"/>
      <c r="HD142" s="3"/>
      <c r="HE142" s="3"/>
      <c r="HF142" s="3"/>
      <c r="HG142" s="3"/>
      <c r="HH142" s="3"/>
      <c r="HI142" s="3"/>
      <c r="HJ142" s="3"/>
      <c r="HK142" s="3"/>
      <c r="HL142" s="3"/>
      <c r="HM142" s="3"/>
      <c r="HN142" s="3"/>
    </row>
    <row r="143" spans="158:222" x14ac:dyDescent="0.2">
      <c r="FB143" s="10"/>
      <c r="FC143" s="10"/>
      <c r="FD143" s="10"/>
      <c r="FE143" s="10"/>
      <c r="FF143" s="10"/>
      <c r="FG143" s="10"/>
      <c r="FH143" s="10"/>
      <c r="FI143" s="10"/>
      <c r="FJ143" s="10"/>
      <c r="FK143" s="10"/>
      <c r="FL143" s="10"/>
      <c r="FM143" s="10"/>
      <c r="FN143" s="10"/>
      <c r="FO143" s="10"/>
      <c r="FP143" s="10"/>
      <c r="FQ143" s="10"/>
      <c r="FW143" s="3"/>
      <c r="FX143" s="4"/>
      <c r="FZ143" s="12"/>
      <c r="GA143" s="24"/>
      <c r="GB143" s="24"/>
      <c r="GC143" s="24"/>
      <c r="GD143" s="24"/>
      <c r="GE143" s="24"/>
      <c r="GF143" s="24"/>
      <c r="GG143" s="24"/>
      <c r="GH143" s="24"/>
      <c r="GI143" s="24"/>
      <c r="GJ143" s="24"/>
      <c r="GK143" s="24"/>
      <c r="GL143" s="24"/>
      <c r="GM143" s="24"/>
      <c r="GO143" s="4"/>
      <c r="GP143" s="4"/>
      <c r="GQ143" s="4"/>
      <c r="GR143" s="4"/>
      <c r="GS143" s="4"/>
      <c r="GT143" s="4"/>
      <c r="GU143" s="4"/>
      <c r="GV143" s="4"/>
      <c r="GW143" s="4"/>
      <c r="GX143" s="4"/>
      <c r="GY143" s="4"/>
      <c r="GZ143" s="4"/>
      <c r="HB143" s="12"/>
      <c r="HC143" s="3"/>
      <c r="HD143" s="3"/>
      <c r="HE143" s="3"/>
      <c r="HF143" s="3"/>
      <c r="HG143" s="3"/>
      <c r="HH143" s="3"/>
      <c r="HI143" s="3"/>
      <c r="HJ143" s="3"/>
      <c r="HK143" s="3"/>
      <c r="HL143" s="3"/>
      <c r="HM143" s="3"/>
      <c r="HN143" s="3"/>
    </row>
    <row r="144" spans="158:222" x14ac:dyDescent="0.2">
      <c r="FB144" s="10"/>
      <c r="FC144" s="10"/>
      <c r="FD144" s="10"/>
      <c r="FE144" s="10"/>
      <c r="FF144" s="10"/>
      <c r="FG144" s="10"/>
      <c r="FH144" s="10"/>
      <c r="FI144" s="10"/>
      <c r="FJ144" s="10"/>
      <c r="FK144" s="10"/>
      <c r="FL144" s="10"/>
      <c r="FM144" s="10"/>
      <c r="FN144" s="10"/>
      <c r="FO144" s="10"/>
      <c r="FP144" s="10"/>
      <c r="FQ144" s="10"/>
      <c r="FW144" s="3"/>
      <c r="FX144" s="4"/>
      <c r="FZ144" s="12"/>
      <c r="GA144" s="24"/>
      <c r="GB144" s="24"/>
      <c r="GC144" s="24"/>
      <c r="GD144" s="24"/>
      <c r="GE144" s="24"/>
      <c r="GF144" s="24"/>
      <c r="GG144" s="24"/>
      <c r="GH144" s="24"/>
      <c r="GI144" s="24"/>
      <c r="GJ144" s="24"/>
      <c r="GK144" s="24"/>
      <c r="GL144" s="24"/>
      <c r="GM144" s="24"/>
      <c r="GO144" s="4"/>
      <c r="GP144" s="4"/>
      <c r="GQ144" s="4"/>
      <c r="GR144" s="4"/>
      <c r="GS144" s="4"/>
      <c r="GT144" s="4"/>
      <c r="GU144" s="4"/>
      <c r="GV144" s="4"/>
      <c r="GW144" s="4"/>
      <c r="GX144" s="4"/>
      <c r="GY144" s="4"/>
      <c r="GZ144" s="4"/>
      <c r="HB144" s="12"/>
      <c r="HC144" s="3"/>
      <c r="HD144" s="3"/>
      <c r="HE144" s="3"/>
      <c r="HF144" s="3"/>
      <c r="HG144" s="3"/>
      <c r="HH144" s="3"/>
      <c r="HI144" s="3"/>
      <c r="HJ144" s="3"/>
      <c r="HK144" s="3"/>
      <c r="HL144" s="3"/>
      <c r="HM144" s="3"/>
      <c r="HN144" s="3"/>
    </row>
    <row r="145" spans="158:222" x14ac:dyDescent="0.2">
      <c r="FB145" s="10"/>
      <c r="FC145" s="10"/>
      <c r="FD145" s="10"/>
      <c r="FE145" s="10"/>
      <c r="FF145" s="10"/>
      <c r="FG145" s="10"/>
      <c r="FH145" s="10"/>
      <c r="FI145" s="10"/>
      <c r="FJ145" s="10"/>
      <c r="FK145" s="10"/>
      <c r="FL145" s="10"/>
      <c r="FM145" s="10"/>
      <c r="FN145" s="10"/>
      <c r="FO145" s="10"/>
      <c r="FP145" s="10"/>
      <c r="FQ145" s="10"/>
      <c r="FW145" s="3"/>
      <c r="FX145" s="4"/>
      <c r="FZ145" s="12"/>
      <c r="GA145" s="24"/>
      <c r="GB145" s="24"/>
      <c r="GC145" s="24"/>
      <c r="GD145" s="24"/>
      <c r="GE145" s="24"/>
      <c r="GF145" s="24"/>
      <c r="GG145" s="24"/>
      <c r="GH145" s="24"/>
      <c r="GI145" s="24"/>
      <c r="GJ145" s="24"/>
      <c r="GK145" s="24"/>
      <c r="GL145" s="24"/>
      <c r="GM145" s="24"/>
      <c r="GO145" s="4"/>
      <c r="GP145" s="4"/>
      <c r="GQ145" s="4"/>
      <c r="GR145" s="4"/>
      <c r="GS145" s="4"/>
      <c r="GT145" s="4"/>
      <c r="GU145" s="4"/>
      <c r="GV145" s="4"/>
      <c r="GW145" s="4"/>
      <c r="GX145" s="4"/>
      <c r="GY145" s="4"/>
      <c r="GZ145" s="4"/>
      <c r="HB145" s="12"/>
      <c r="HC145" s="3"/>
      <c r="HD145" s="3"/>
      <c r="HE145" s="3"/>
      <c r="HF145" s="3"/>
      <c r="HG145" s="3"/>
      <c r="HH145" s="3"/>
      <c r="HI145" s="3"/>
      <c r="HJ145" s="3"/>
      <c r="HK145" s="3"/>
      <c r="HL145" s="3"/>
      <c r="HM145" s="3"/>
      <c r="HN145" s="3"/>
    </row>
    <row r="146" spans="158:222" x14ac:dyDescent="0.2">
      <c r="FB146" s="10"/>
      <c r="FC146" s="10"/>
      <c r="FD146" s="10"/>
      <c r="FE146" s="10"/>
      <c r="FF146" s="10"/>
      <c r="FG146" s="10"/>
      <c r="FH146" s="10"/>
      <c r="FI146" s="10"/>
      <c r="FJ146" s="10"/>
      <c r="FK146" s="10"/>
      <c r="FL146" s="10"/>
      <c r="FM146" s="10"/>
      <c r="FN146" s="10"/>
      <c r="FO146" s="10"/>
      <c r="FP146" s="10"/>
      <c r="FQ146" s="10"/>
      <c r="FW146" s="3"/>
      <c r="FX146" s="4"/>
      <c r="FZ146" s="12"/>
      <c r="GA146" s="24"/>
      <c r="GB146" s="24"/>
      <c r="GC146" s="24"/>
      <c r="GD146" s="24"/>
      <c r="GE146" s="24"/>
      <c r="GF146" s="24"/>
      <c r="GG146" s="24"/>
      <c r="GH146" s="24"/>
      <c r="GI146" s="24"/>
      <c r="GJ146" s="24"/>
      <c r="GK146" s="24"/>
      <c r="GL146" s="24"/>
      <c r="GM146" s="24"/>
      <c r="GO146" s="4"/>
      <c r="GP146" s="4"/>
      <c r="GQ146" s="4"/>
      <c r="GR146" s="4"/>
      <c r="GS146" s="4"/>
      <c r="GT146" s="4"/>
      <c r="GU146" s="4"/>
      <c r="GV146" s="4"/>
      <c r="GW146" s="4"/>
      <c r="GX146" s="4"/>
      <c r="GY146" s="4"/>
      <c r="GZ146" s="4"/>
      <c r="HB146" s="12"/>
      <c r="HC146" s="3"/>
      <c r="HD146" s="3"/>
      <c r="HE146" s="3"/>
      <c r="HF146" s="3"/>
      <c r="HG146" s="3"/>
      <c r="HH146" s="3"/>
      <c r="HI146" s="3"/>
      <c r="HJ146" s="3"/>
      <c r="HK146" s="3"/>
      <c r="HL146" s="3"/>
      <c r="HM146" s="3"/>
      <c r="HN146" s="3"/>
    </row>
    <row r="147" spans="158:222" x14ac:dyDescent="0.2">
      <c r="FB147" s="10"/>
      <c r="FC147" s="10"/>
      <c r="FD147" s="10"/>
      <c r="FE147" s="10"/>
      <c r="FF147" s="10"/>
      <c r="FG147" s="10"/>
      <c r="FH147" s="10"/>
      <c r="FI147" s="10"/>
      <c r="FJ147" s="10"/>
      <c r="FK147" s="10"/>
      <c r="FL147" s="10"/>
      <c r="FM147" s="10"/>
      <c r="FN147" s="10"/>
      <c r="FO147" s="10"/>
      <c r="FP147" s="10"/>
      <c r="FQ147" s="10"/>
      <c r="FW147" s="3"/>
      <c r="FX147" s="4"/>
      <c r="FZ147" s="12"/>
      <c r="GA147" s="24"/>
      <c r="GB147" s="24"/>
      <c r="GC147" s="24"/>
      <c r="GD147" s="24"/>
      <c r="GE147" s="24"/>
      <c r="GF147" s="24"/>
      <c r="GG147" s="24"/>
      <c r="GH147" s="24"/>
      <c r="GI147" s="24"/>
      <c r="GJ147" s="24"/>
      <c r="GK147" s="24"/>
      <c r="GL147" s="24"/>
      <c r="GM147" s="24"/>
      <c r="GO147" s="4"/>
      <c r="GP147" s="4"/>
      <c r="GQ147" s="4"/>
      <c r="GR147" s="4"/>
      <c r="GS147" s="4"/>
      <c r="GT147" s="4"/>
      <c r="GU147" s="4"/>
      <c r="GV147" s="4"/>
      <c r="GW147" s="4"/>
      <c r="GX147" s="4"/>
      <c r="GY147" s="4"/>
      <c r="GZ147" s="4"/>
      <c r="HB147" s="12"/>
      <c r="HC147" s="3"/>
      <c r="HD147" s="3"/>
      <c r="HE147" s="3"/>
      <c r="HF147" s="3"/>
      <c r="HG147" s="3"/>
      <c r="HH147" s="3"/>
      <c r="HI147" s="3"/>
      <c r="HJ147" s="3"/>
      <c r="HK147" s="3"/>
      <c r="HL147" s="3"/>
      <c r="HM147" s="3"/>
      <c r="HN147" s="3"/>
    </row>
    <row r="148" spans="158:222" x14ac:dyDescent="0.2">
      <c r="FB148" s="10"/>
      <c r="FC148" s="10"/>
      <c r="FD148" s="10"/>
      <c r="FE148" s="10"/>
      <c r="FF148" s="10"/>
      <c r="FG148" s="10"/>
      <c r="FH148" s="10"/>
      <c r="FI148" s="10"/>
      <c r="FJ148" s="10"/>
      <c r="FK148" s="10"/>
      <c r="FL148" s="10"/>
      <c r="FM148" s="10"/>
      <c r="FN148" s="10"/>
      <c r="FO148" s="10"/>
      <c r="FP148" s="10"/>
      <c r="FQ148" s="10"/>
      <c r="FW148" s="3"/>
      <c r="FX148" s="4"/>
      <c r="FZ148" s="12"/>
      <c r="GA148" s="24"/>
      <c r="GB148" s="24"/>
      <c r="GC148" s="24"/>
      <c r="GD148" s="24"/>
      <c r="GE148" s="24"/>
      <c r="GF148" s="24"/>
      <c r="GG148" s="24"/>
      <c r="GH148" s="24"/>
      <c r="GI148" s="24"/>
      <c r="GJ148" s="24"/>
      <c r="GK148" s="24"/>
      <c r="GL148" s="24"/>
      <c r="GM148" s="24"/>
      <c r="GO148" s="4"/>
      <c r="GP148" s="4"/>
      <c r="GQ148" s="4"/>
      <c r="GR148" s="4"/>
      <c r="GS148" s="4"/>
      <c r="GT148" s="4"/>
      <c r="GU148" s="4"/>
      <c r="GV148" s="4"/>
      <c r="GW148" s="4"/>
      <c r="GX148" s="4"/>
      <c r="GY148" s="4"/>
      <c r="GZ148" s="4"/>
      <c r="HB148" s="12"/>
      <c r="HC148" s="3"/>
      <c r="HD148" s="3"/>
      <c r="HE148" s="3"/>
      <c r="HF148" s="3"/>
      <c r="HG148" s="3"/>
      <c r="HH148" s="3"/>
      <c r="HI148" s="3"/>
      <c r="HJ148" s="3"/>
      <c r="HK148" s="3"/>
      <c r="HL148" s="3"/>
      <c r="HM148" s="3"/>
      <c r="HN148" s="3"/>
    </row>
    <row r="149" spans="158:222" x14ac:dyDescent="0.2">
      <c r="FB149" s="10"/>
      <c r="FC149" s="10"/>
      <c r="FD149" s="10"/>
      <c r="FE149" s="10"/>
      <c r="FF149" s="10"/>
      <c r="FG149" s="10"/>
      <c r="FH149" s="10"/>
      <c r="FI149" s="10"/>
      <c r="FJ149" s="10"/>
      <c r="FK149" s="10"/>
      <c r="FL149" s="10"/>
      <c r="FM149" s="10"/>
      <c r="FN149" s="10"/>
      <c r="FO149" s="10"/>
      <c r="FP149" s="10"/>
      <c r="FQ149" s="10"/>
      <c r="FW149" s="3"/>
      <c r="FX149" s="4"/>
      <c r="FZ149" s="12"/>
      <c r="GA149" s="24"/>
      <c r="GB149" s="24"/>
      <c r="GC149" s="24"/>
      <c r="GD149" s="24"/>
      <c r="GE149" s="24"/>
      <c r="GF149" s="24"/>
      <c r="GG149" s="24"/>
      <c r="GH149" s="24"/>
      <c r="GI149" s="24"/>
      <c r="GJ149" s="24"/>
      <c r="GK149" s="24"/>
      <c r="GL149" s="24"/>
      <c r="GM149" s="24"/>
      <c r="GO149" s="4"/>
      <c r="GP149" s="4"/>
      <c r="GQ149" s="4"/>
      <c r="GR149" s="4"/>
      <c r="GS149" s="4"/>
      <c r="GT149" s="4"/>
      <c r="GU149" s="4"/>
      <c r="GV149" s="4"/>
      <c r="GW149" s="4"/>
      <c r="GX149" s="4"/>
      <c r="GY149" s="4"/>
      <c r="GZ149" s="4"/>
      <c r="HB149" s="12"/>
      <c r="HC149" s="3"/>
      <c r="HD149" s="3"/>
      <c r="HE149" s="3"/>
      <c r="HF149" s="3"/>
      <c r="HG149" s="3"/>
      <c r="HH149" s="3"/>
      <c r="HI149" s="3"/>
      <c r="HJ149" s="3"/>
      <c r="HK149" s="3"/>
      <c r="HL149" s="3"/>
      <c r="HM149" s="3"/>
      <c r="HN149" s="3"/>
    </row>
    <row r="150" spans="158:222" x14ac:dyDescent="0.2">
      <c r="FB150" s="10"/>
      <c r="FC150" s="10"/>
      <c r="FD150" s="10"/>
      <c r="FE150" s="10"/>
      <c r="FF150" s="10"/>
      <c r="FG150" s="10"/>
      <c r="FH150" s="10"/>
      <c r="FI150" s="10"/>
      <c r="FJ150" s="10"/>
      <c r="FK150" s="10"/>
      <c r="FL150" s="10"/>
      <c r="FM150" s="10"/>
      <c r="FN150" s="10"/>
      <c r="FO150" s="10"/>
      <c r="FP150" s="10"/>
      <c r="FQ150" s="10"/>
      <c r="FW150" s="3"/>
      <c r="FX150" s="4"/>
      <c r="FZ150" s="12"/>
      <c r="GA150" s="24"/>
      <c r="GB150" s="24"/>
      <c r="GC150" s="24"/>
      <c r="GD150" s="24"/>
      <c r="GE150" s="24"/>
      <c r="GF150" s="24"/>
      <c r="GG150" s="24"/>
      <c r="GH150" s="24"/>
      <c r="GI150" s="24"/>
      <c r="GJ150" s="24"/>
      <c r="GK150" s="24"/>
      <c r="GL150" s="24"/>
      <c r="GM150" s="24"/>
      <c r="GO150" s="4"/>
      <c r="GP150" s="4"/>
      <c r="GQ150" s="4"/>
      <c r="GR150" s="4"/>
      <c r="GS150" s="4"/>
      <c r="GT150" s="4"/>
      <c r="GU150" s="4"/>
      <c r="GV150" s="4"/>
      <c r="GW150" s="4"/>
      <c r="GX150" s="4"/>
      <c r="GY150" s="4"/>
      <c r="GZ150" s="4"/>
      <c r="HB150" s="12"/>
      <c r="HC150" s="3"/>
      <c r="HD150" s="3"/>
      <c r="HE150" s="3"/>
      <c r="HF150" s="3"/>
      <c r="HG150" s="3"/>
      <c r="HH150" s="3"/>
      <c r="HI150" s="3"/>
      <c r="HJ150" s="3"/>
      <c r="HK150" s="3"/>
      <c r="HL150" s="3"/>
      <c r="HM150" s="3"/>
      <c r="HN150" s="3"/>
    </row>
    <row r="151" spans="158:222" x14ac:dyDescent="0.2">
      <c r="FB151" s="10"/>
      <c r="FC151" s="10"/>
      <c r="FD151" s="10"/>
      <c r="FE151" s="10"/>
      <c r="FF151" s="10"/>
      <c r="FG151" s="10"/>
      <c r="FH151" s="10"/>
      <c r="FI151" s="10"/>
      <c r="FJ151" s="10"/>
      <c r="FK151" s="10"/>
      <c r="FL151" s="10"/>
      <c r="FM151" s="10"/>
      <c r="FN151" s="10"/>
      <c r="FO151" s="10"/>
      <c r="FP151" s="10"/>
      <c r="FQ151" s="10"/>
      <c r="FW151" s="3"/>
      <c r="FX151" s="4"/>
      <c r="FZ151" s="12"/>
      <c r="GA151" s="24"/>
      <c r="GB151" s="24"/>
      <c r="GC151" s="24"/>
      <c r="GD151" s="24"/>
      <c r="GE151" s="24"/>
      <c r="GF151" s="24"/>
      <c r="GG151" s="24"/>
      <c r="GH151" s="24"/>
      <c r="GI151" s="24"/>
      <c r="GJ151" s="24"/>
      <c r="GK151" s="24"/>
      <c r="GL151" s="24"/>
      <c r="GM151" s="24"/>
      <c r="GO151" s="4"/>
      <c r="GP151" s="4"/>
      <c r="GQ151" s="4"/>
      <c r="GR151" s="4"/>
      <c r="GS151" s="4"/>
      <c r="GT151" s="4"/>
      <c r="GU151" s="4"/>
      <c r="GV151" s="4"/>
      <c r="GW151" s="4"/>
      <c r="GX151" s="4"/>
      <c r="GY151" s="4"/>
      <c r="GZ151" s="4"/>
      <c r="HB151" s="12"/>
      <c r="HC151" s="3"/>
      <c r="HD151" s="3"/>
      <c r="HE151" s="3"/>
      <c r="HF151" s="3"/>
      <c r="HG151" s="3"/>
      <c r="HH151" s="3"/>
      <c r="HI151" s="3"/>
      <c r="HJ151" s="3"/>
      <c r="HK151" s="3"/>
      <c r="HL151" s="3"/>
      <c r="HM151" s="3"/>
      <c r="HN151" s="3"/>
    </row>
    <row r="152" spans="158:222" x14ac:dyDescent="0.2">
      <c r="FB152" s="10"/>
      <c r="FC152" s="10"/>
      <c r="FD152" s="10"/>
      <c r="FE152" s="10"/>
      <c r="FF152" s="10"/>
      <c r="FG152" s="10"/>
      <c r="FH152" s="10"/>
      <c r="FI152" s="10"/>
      <c r="FJ152" s="10"/>
      <c r="FK152" s="10"/>
      <c r="FL152" s="10"/>
      <c r="FM152" s="10"/>
      <c r="FN152" s="10"/>
      <c r="FO152" s="10"/>
      <c r="FP152" s="10"/>
      <c r="FQ152" s="10"/>
      <c r="FW152" s="3"/>
      <c r="FX152" s="4"/>
      <c r="FZ152" s="12"/>
      <c r="GA152" s="24"/>
      <c r="GB152" s="24"/>
      <c r="GC152" s="24"/>
      <c r="GD152" s="24"/>
      <c r="GE152" s="24"/>
      <c r="GF152" s="24"/>
      <c r="GG152" s="24"/>
      <c r="GH152" s="24"/>
      <c r="GI152" s="24"/>
      <c r="GJ152" s="24"/>
      <c r="GK152" s="24"/>
      <c r="GL152" s="24"/>
      <c r="GM152" s="24"/>
      <c r="GO152" s="4"/>
      <c r="GP152" s="4"/>
      <c r="GQ152" s="4"/>
      <c r="GR152" s="4"/>
      <c r="GS152" s="4"/>
      <c r="GT152" s="4"/>
      <c r="GU152" s="4"/>
      <c r="GV152" s="4"/>
      <c r="GW152" s="4"/>
      <c r="GX152" s="4"/>
      <c r="GY152" s="4"/>
      <c r="GZ152" s="4"/>
      <c r="HB152" s="12"/>
      <c r="HC152" s="3"/>
      <c r="HD152" s="3"/>
      <c r="HE152" s="3"/>
      <c r="HF152" s="3"/>
      <c r="HG152" s="3"/>
      <c r="HH152" s="3"/>
      <c r="HI152" s="3"/>
      <c r="HJ152" s="3"/>
      <c r="HK152" s="3"/>
      <c r="HL152" s="3"/>
      <c r="HM152" s="3"/>
      <c r="HN152" s="3"/>
    </row>
    <row r="153" spans="158:222" x14ac:dyDescent="0.2">
      <c r="FB153" s="10"/>
      <c r="FC153" s="10"/>
      <c r="FD153" s="10"/>
      <c r="FE153" s="10"/>
      <c r="FF153" s="10"/>
      <c r="FG153" s="10"/>
      <c r="FH153" s="10"/>
      <c r="FI153" s="10"/>
      <c r="FJ153" s="10"/>
      <c r="FK153" s="10"/>
      <c r="FL153" s="10"/>
      <c r="FM153" s="10"/>
      <c r="FN153" s="10"/>
      <c r="FO153" s="10"/>
      <c r="FP153" s="10"/>
      <c r="FQ153" s="10"/>
      <c r="FW153" s="3"/>
      <c r="FX153" s="4"/>
      <c r="FZ153" s="12"/>
      <c r="GA153" s="24"/>
      <c r="GB153" s="24"/>
      <c r="GC153" s="24"/>
      <c r="GD153" s="24"/>
      <c r="GE153" s="24"/>
      <c r="GF153" s="24"/>
      <c r="GG153" s="24"/>
      <c r="GH153" s="24"/>
      <c r="GI153" s="24"/>
      <c r="GJ153" s="24"/>
      <c r="GK153" s="24"/>
      <c r="GL153" s="24"/>
      <c r="GM153" s="24"/>
      <c r="GO153" s="4"/>
      <c r="GP153" s="4"/>
      <c r="GQ153" s="4"/>
      <c r="GR153" s="4"/>
      <c r="GS153" s="4"/>
      <c r="GT153" s="4"/>
      <c r="GU153" s="4"/>
      <c r="GV153" s="4"/>
      <c r="GW153" s="4"/>
      <c r="GX153" s="4"/>
      <c r="GY153" s="4"/>
      <c r="GZ153" s="4"/>
      <c r="HB153" s="12"/>
      <c r="HC153" s="3"/>
      <c r="HD153" s="3"/>
      <c r="HE153" s="3"/>
      <c r="HF153" s="3"/>
      <c r="HG153" s="3"/>
      <c r="HH153" s="3"/>
      <c r="HI153" s="3"/>
      <c r="HJ153" s="3"/>
      <c r="HK153" s="3"/>
      <c r="HL153" s="3"/>
      <c r="HM153" s="3"/>
      <c r="HN153" s="3"/>
    </row>
    <row r="154" spans="158:222" x14ac:dyDescent="0.2">
      <c r="FB154" s="10"/>
      <c r="FC154" s="10"/>
      <c r="FD154" s="10"/>
      <c r="FE154" s="10"/>
      <c r="FF154" s="10"/>
      <c r="FG154" s="10"/>
      <c r="FH154" s="10"/>
      <c r="FI154" s="10"/>
      <c r="FJ154" s="10"/>
      <c r="FK154" s="10"/>
      <c r="FL154" s="10"/>
      <c r="FM154" s="10"/>
      <c r="FN154" s="10"/>
      <c r="FO154" s="10"/>
      <c r="FP154" s="10"/>
      <c r="FQ154" s="10"/>
      <c r="FW154" s="3"/>
      <c r="FX154" s="4"/>
      <c r="FZ154" s="12"/>
      <c r="GA154" s="24"/>
      <c r="GB154" s="24"/>
      <c r="GC154" s="24"/>
      <c r="GD154" s="24"/>
      <c r="GE154" s="24"/>
      <c r="GF154" s="24"/>
      <c r="GG154" s="24"/>
      <c r="GH154" s="24"/>
      <c r="GI154" s="24"/>
      <c r="GJ154" s="24"/>
      <c r="GK154" s="24"/>
      <c r="GL154" s="24"/>
      <c r="GM154" s="24"/>
      <c r="GO154" s="4"/>
      <c r="GP154" s="4"/>
      <c r="GQ154" s="4"/>
      <c r="GR154" s="4"/>
      <c r="GS154" s="4"/>
      <c r="GT154" s="4"/>
      <c r="GU154" s="4"/>
      <c r="GV154" s="4"/>
      <c r="GW154" s="4"/>
      <c r="GX154" s="4"/>
      <c r="GY154" s="4"/>
      <c r="GZ154" s="4"/>
      <c r="HB154" s="12"/>
      <c r="HC154" s="3"/>
      <c r="HD154" s="3"/>
      <c r="HE154" s="3"/>
      <c r="HF154" s="3"/>
      <c r="HG154" s="3"/>
      <c r="HH154" s="3"/>
      <c r="HI154" s="3"/>
      <c r="HJ154" s="3"/>
      <c r="HK154" s="3"/>
      <c r="HL154" s="3"/>
      <c r="HM154" s="3"/>
      <c r="HN154" s="3"/>
    </row>
    <row r="155" spans="158:222" x14ac:dyDescent="0.2">
      <c r="FB155" s="10"/>
      <c r="FC155" s="10"/>
      <c r="FD155" s="10"/>
      <c r="FE155" s="10"/>
      <c r="FF155" s="10"/>
      <c r="FG155" s="10"/>
      <c r="FH155" s="10"/>
      <c r="FI155" s="10"/>
      <c r="FJ155" s="10"/>
      <c r="FK155" s="10"/>
      <c r="FL155" s="10"/>
      <c r="FM155" s="10"/>
      <c r="FN155" s="10"/>
      <c r="FO155" s="10"/>
      <c r="FP155" s="10"/>
      <c r="FQ155" s="10"/>
      <c r="FW155" s="3"/>
      <c r="FX155" s="4"/>
      <c r="FZ155" s="12"/>
      <c r="GA155" s="24"/>
      <c r="GB155" s="24"/>
      <c r="GC155" s="24"/>
      <c r="GD155" s="24"/>
      <c r="GE155" s="24"/>
      <c r="GF155" s="24"/>
      <c r="GG155" s="24"/>
      <c r="GH155" s="24"/>
      <c r="GI155" s="24"/>
      <c r="GJ155" s="24"/>
      <c r="GK155" s="24"/>
      <c r="GL155" s="24"/>
      <c r="GM155" s="24"/>
      <c r="GO155" s="4"/>
      <c r="GP155" s="4"/>
      <c r="GQ155" s="4"/>
      <c r="GR155" s="4"/>
      <c r="GS155" s="4"/>
      <c r="GT155" s="4"/>
      <c r="GU155" s="4"/>
      <c r="GV155" s="4"/>
      <c r="GW155" s="4"/>
      <c r="GX155" s="4"/>
      <c r="GY155" s="4"/>
      <c r="GZ155" s="4"/>
      <c r="HB155" s="12"/>
      <c r="HC155" s="3"/>
      <c r="HD155" s="3"/>
      <c r="HE155" s="3"/>
      <c r="HF155" s="3"/>
      <c r="HG155" s="3"/>
      <c r="HH155" s="3"/>
      <c r="HI155" s="3"/>
      <c r="HJ155" s="3"/>
      <c r="HK155" s="3"/>
      <c r="HL155" s="3"/>
      <c r="HM155" s="3"/>
      <c r="HN155" s="3"/>
    </row>
    <row r="156" spans="158:222" x14ac:dyDescent="0.2">
      <c r="FB156" s="10"/>
      <c r="FC156" s="10"/>
      <c r="FD156" s="10"/>
      <c r="FE156" s="10"/>
      <c r="FF156" s="10"/>
      <c r="FG156" s="10"/>
      <c r="FH156" s="10"/>
      <c r="FI156" s="10"/>
      <c r="FJ156" s="10"/>
      <c r="FK156" s="10"/>
      <c r="FL156" s="10"/>
      <c r="FM156" s="10"/>
      <c r="FN156" s="10"/>
      <c r="FO156" s="10"/>
      <c r="FP156" s="10"/>
      <c r="FQ156" s="10"/>
      <c r="FW156" s="3"/>
      <c r="FX156" s="4"/>
      <c r="FZ156" s="12"/>
      <c r="GA156" s="24"/>
      <c r="GB156" s="24"/>
      <c r="GC156" s="24"/>
      <c r="GD156" s="24"/>
      <c r="GE156" s="24"/>
      <c r="GF156" s="24"/>
      <c r="GG156" s="24"/>
      <c r="GH156" s="24"/>
      <c r="GI156" s="24"/>
      <c r="GJ156" s="24"/>
      <c r="GK156" s="24"/>
      <c r="GL156" s="24"/>
      <c r="GM156" s="24"/>
      <c r="GO156" s="4"/>
      <c r="GP156" s="4"/>
      <c r="GQ156" s="4"/>
      <c r="GR156" s="4"/>
      <c r="GS156" s="4"/>
      <c r="GT156" s="4"/>
      <c r="GU156" s="4"/>
      <c r="GV156" s="4"/>
      <c r="GW156" s="4"/>
      <c r="GX156" s="4"/>
      <c r="GY156" s="4"/>
      <c r="GZ156" s="4"/>
      <c r="HB156" s="12"/>
      <c r="HC156" s="3"/>
      <c r="HD156" s="3"/>
      <c r="HE156" s="3"/>
      <c r="HF156" s="3"/>
      <c r="HG156" s="3"/>
      <c r="HH156" s="3"/>
      <c r="HI156" s="3"/>
      <c r="HJ156" s="3"/>
      <c r="HK156" s="3"/>
      <c r="HL156" s="3"/>
      <c r="HM156" s="3"/>
      <c r="HN156" s="3"/>
    </row>
    <row r="157" spans="158:222" x14ac:dyDescent="0.2">
      <c r="FB157" s="10"/>
      <c r="FC157" s="10"/>
      <c r="FD157" s="10"/>
      <c r="FE157" s="10"/>
      <c r="FF157" s="10"/>
      <c r="FG157" s="10"/>
      <c r="FH157" s="10"/>
      <c r="FI157" s="10"/>
      <c r="FJ157" s="10"/>
      <c r="FK157" s="10"/>
      <c r="FL157" s="10"/>
      <c r="FM157" s="10"/>
      <c r="FN157" s="10"/>
      <c r="FO157" s="10"/>
      <c r="FP157" s="10"/>
      <c r="FQ157" s="10"/>
      <c r="FW157" s="3"/>
      <c r="FX157" s="4"/>
      <c r="FZ157" s="12"/>
      <c r="GA157" s="24"/>
      <c r="GB157" s="24"/>
      <c r="GC157" s="24"/>
      <c r="GD157" s="24"/>
      <c r="GE157" s="24"/>
      <c r="GF157" s="24"/>
      <c r="GG157" s="24"/>
      <c r="GH157" s="24"/>
      <c r="GI157" s="24"/>
      <c r="GJ157" s="24"/>
      <c r="GK157" s="24"/>
      <c r="GL157" s="24"/>
      <c r="GM157" s="24"/>
      <c r="GO157" s="4"/>
      <c r="GP157" s="4"/>
      <c r="GQ157" s="4"/>
      <c r="GR157" s="4"/>
      <c r="GS157" s="4"/>
      <c r="GT157" s="4"/>
      <c r="GU157" s="4"/>
      <c r="GV157" s="4"/>
      <c r="GW157" s="4"/>
      <c r="GX157" s="4"/>
      <c r="GY157" s="4"/>
      <c r="GZ157" s="4"/>
      <c r="HB157" s="12"/>
      <c r="HC157" s="3"/>
      <c r="HD157" s="3"/>
      <c r="HE157" s="3"/>
      <c r="HF157" s="3"/>
      <c r="HG157" s="3"/>
      <c r="HH157" s="3"/>
      <c r="HI157" s="3"/>
      <c r="HJ157" s="3"/>
      <c r="HK157" s="3"/>
      <c r="HL157" s="3"/>
      <c r="HM157" s="3"/>
      <c r="HN157" s="3"/>
    </row>
    <row r="158" spans="158:222" x14ac:dyDescent="0.2">
      <c r="FB158" s="10"/>
      <c r="FC158" s="10"/>
      <c r="FD158" s="10"/>
      <c r="FE158" s="10"/>
      <c r="FF158" s="10"/>
      <c r="FG158" s="10"/>
      <c r="FH158" s="10"/>
      <c r="FI158" s="10"/>
      <c r="FJ158" s="10"/>
      <c r="FK158" s="10"/>
      <c r="FL158" s="10"/>
      <c r="FM158" s="10"/>
      <c r="FN158" s="10"/>
      <c r="FO158" s="10"/>
      <c r="FP158" s="10"/>
      <c r="FQ158" s="10"/>
      <c r="FW158" s="3"/>
      <c r="FX158" s="4"/>
      <c r="FZ158" s="12"/>
      <c r="GA158" s="24"/>
      <c r="GB158" s="24"/>
      <c r="GC158" s="24"/>
      <c r="GD158" s="24"/>
      <c r="GE158" s="24"/>
      <c r="GF158" s="24"/>
      <c r="GG158" s="24"/>
      <c r="GH158" s="24"/>
      <c r="GI158" s="24"/>
      <c r="GJ158" s="24"/>
      <c r="GK158" s="24"/>
      <c r="GL158" s="24"/>
      <c r="GM158" s="24"/>
      <c r="GO158" s="4"/>
      <c r="GP158" s="4"/>
      <c r="GQ158" s="4"/>
      <c r="GR158" s="4"/>
      <c r="GS158" s="4"/>
      <c r="GT158" s="4"/>
      <c r="GU158" s="4"/>
      <c r="GV158" s="4"/>
      <c r="GW158" s="4"/>
      <c r="GX158" s="4"/>
      <c r="GY158" s="4"/>
      <c r="GZ158" s="4"/>
      <c r="HB158" s="12"/>
      <c r="HC158" s="3"/>
      <c r="HD158" s="3"/>
      <c r="HE158" s="3"/>
      <c r="HF158" s="3"/>
      <c r="HG158" s="3"/>
      <c r="HH158" s="3"/>
      <c r="HI158" s="3"/>
      <c r="HJ158" s="3"/>
      <c r="HK158" s="3"/>
      <c r="HL158" s="3"/>
      <c r="HM158" s="3"/>
      <c r="HN158" s="3"/>
    </row>
    <row r="159" spans="158:222" x14ac:dyDescent="0.2">
      <c r="FB159" s="10"/>
      <c r="FC159" s="10"/>
      <c r="FD159" s="10"/>
      <c r="FE159" s="10"/>
      <c r="FF159" s="10"/>
      <c r="FG159" s="10"/>
      <c r="FH159" s="10"/>
      <c r="FI159" s="10"/>
      <c r="FJ159" s="10"/>
      <c r="FK159" s="10"/>
      <c r="FL159" s="10"/>
      <c r="FM159" s="10"/>
      <c r="FN159" s="10"/>
      <c r="FO159" s="10"/>
      <c r="FP159" s="10"/>
      <c r="FQ159" s="10"/>
      <c r="FW159" s="3"/>
      <c r="FX159" s="4"/>
      <c r="FZ159" s="12"/>
      <c r="GA159" s="24"/>
      <c r="GB159" s="24"/>
      <c r="GC159" s="24"/>
      <c r="GD159" s="24"/>
      <c r="GE159" s="24"/>
      <c r="GF159" s="24"/>
      <c r="GG159" s="24"/>
      <c r="GH159" s="24"/>
      <c r="GI159" s="24"/>
      <c r="GJ159" s="24"/>
      <c r="GK159" s="24"/>
      <c r="GL159" s="24"/>
      <c r="GM159" s="24"/>
      <c r="GO159" s="4"/>
      <c r="GP159" s="4"/>
      <c r="GQ159" s="4"/>
      <c r="GR159" s="4"/>
      <c r="GS159" s="4"/>
      <c r="GT159" s="4"/>
      <c r="GU159" s="4"/>
      <c r="GV159" s="4"/>
      <c r="GW159" s="4"/>
      <c r="GX159" s="4"/>
      <c r="GY159" s="4"/>
      <c r="GZ159" s="4"/>
      <c r="HB159" s="12"/>
      <c r="HC159" s="3"/>
      <c r="HD159" s="3"/>
      <c r="HE159" s="3"/>
      <c r="HF159" s="3"/>
      <c r="HG159" s="3"/>
      <c r="HH159" s="3"/>
      <c r="HI159" s="3"/>
      <c r="HJ159" s="3"/>
      <c r="HK159" s="3"/>
      <c r="HL159" s="3"/>
      <c r="HM159" s="3"/>
      <c r="HN159" s="3"/>
    </row>
    <row r="160" spans="158:222" x14ac:dyDescent="0.2">
      <c r="FB160" s="10"/>
      <c r="FC160" s="10"/>
      <c r="FD160" s="10"/>
      <c r="FE160" s="10"/>
      <c r="FF160" s="10"/>
      <c r="FG160" s="10"/>
      <c r="FH160" s="10"/>
      <c r="FI160" s="10"/>
      <c r="FJ160" s="10"/>
      <c r="FK160" s="10"/>
      <c r="FL160" s="10"/>
      <c r="FM160" s="10"/>
      <c r="FN160" s="10"/>
      <c r="FO160" s="10"/>
      <c r="FP160" s="10"/>
      <c r="FQ160" s="10"/>
      <c r="FW160" s="3"/>
      <c r="FX160" s="4"/>
      <c r="FZ160" s="12"/>
      <c r="GA160" s="24"/>
      <c r="GB160" s="24"/>
      <c r="GC160" s="24"/>
      <c r="GD160" s="24"/>
      <c r="GE160" s="24"/>
      <c r="GF160" s="24"/>
      <c r="GG160" s="24"/>
      <c r="GH160" s="24"/>
      <c r="GI160" s="24"/>
      <c r="GJ160" s="24"/>
      <c r="GK160" s="24"/>
      <c r="GL160" s="24"/>
      <c r="GM160" s="24"/>
      <c r="GO160" s="4"/>
      <c r="GP160" s="4"/>
      <c r="GQ160" s="4"/>
      <c r="GR160" s="4"/>
      <c r="GS160" s="4"/>
      <c r="GT160" s="4"/>
      <c r="GU160" s="4"/>
      <c r="GV160" s="4"/>
      <c r="GW160" s="4"/>
      <c r="GX160" s="4"/>
      <c r="GY160" s="4"/>
      <c r="GZ160" s="4"/>
      <c r="HB160" s="12"/>
      <c r="HC160" s="3"/>
      <c r="HD160" s="3"/>
      <c r="HE160" s="3"/>
      <c r="HF160" s="3"/>
      <c r="HG160" s="3"/>
      <c r="HH160" s="3"/>
      <c r="HI160" s="3"/>
      <c r="HJ160" s="3"/>
      <c r="HK160" s="3"/>
      <c r="HL160" s="3"/>
      <c r="HM160" s="3"/>
      <c r="HN160" s="3"/>
    </row>
    <row r="161" spans="158:222" x14ac:dyDescent="0.2">
      <c r="FB161" s="10"/>
      <c r="FC161" s="10"/>
      <c r="FD161" s="10"/>
      <c r="FE161" s="10"/>
      <c r="FF161" s="10"/>
      <c r="FG161" s="10"/>
      <c r="FH161" s="10"/>
      <c r="FI161" s="10"/>
      <c r="FJ161" s="10"/>
      <c r="FK161" s="10"/>
      <c r="FL161" s="10"/>
      <c r="FM161" s="10"/>
      <c r="FN161" s="10"/>
      <c r="FO161" s="10"/>
      <c r="FP161" s="10"/>
      <c r="FQ161" s="10"/>
      <c r="FW161" s="3"/>
      <c r="FX161" s="4"/>
      <c r="FZ161" s="12"/>
      <c r="GA161" s="24"/>
      <c r="GB161" s="24"/>
      <c r="GC161" s="24"/>
      <c r="GD161" s="24"/>
      <c r="GE161" s="24"/>
      <c r="GF161" s="24"/>
      <c r="GG161" s="24"/>
      <c r="GH161" s="24"/>
      <c r="GI161" s="24"/>
      <c r="GJ161" s="24"/>
      <c r="GK161" s="24"/>
      <c r="GL161" s="24"/>
      <c r="GM161" s="24"/>
      <c r="GO161" s="4"/>
      <c r="GP161" s="4"/>
      <c r="GQ161" s="4"/>
      <c r="GR161" s="4"/>
      <c r="GS161" s="4"/>
      <c r="GT161" s="4"/>
      <c r="GU161" s="4"/>
      <c r="GV161" s="4"/>
      <c r="GW161" s="4"/>
      <c r="GX161" s="4"/>
      <c r="GY161" s="4"/>
      <c r="GZ161" s="4"/>
      <c r="HB161" s="12"/>
      <c r="HC161" s="3"/>
      <c r="HD161" s="3"/>
      <c r="HE161" s="3"/>
      <c r="HF161" s="3"/>
      <c r="HG161" s="3"/>
      <c r="HH161" s="3"/>
      <c r="HI161" s="3"/>
      <c r="HJ161" s="3"/>
      <c r="HK161" s="3"/>
      <c r="HL161" s="3"/>
      <c r="HM161" s="3"/>
      <c r="HN161" s="3"/>
    </row>
    <row r="162" spans="158:222" x14ac:dyDescent="0.2">
      <c r="FB162" s="10"/>
      <c r="FC162" s="10"/>
      <c r="FD162" s="10"/>
      <c r="FE162" s="10"/>
      <c r="FF162" s="10"/>
      <c r="FG162" s="10"/>
      <c r="FH162" s="10"/>
      <c r="FI162" s="10"/>
      <c r="FJ162" s="10"/>
      <c r="FK162" s="10"/>
      <c r="FL162" s="10"/>
      <c r="FM162" s="10"/>
      <c r="FN162" s="10"/>
      <c r="FO162" s="10"/>
      <c r="FP162" s="10"/>
      <c r="FQ162" s="10"/>
      <c r="FW162" s="3"/>
      <c r="FX162" s="4"/>
      <c r="FZ162" s="12"/>
      <c r="GA162" s="24"/>
      <c r="GB162" s="24"/>
      <c r="GC162" s="24"/>
      <c r="GD162" s="24"/>
      <c r="GE162" s="24"/>
      <c r="GF162" s="24"/>
      <c r="GG162" s="24"/>
      <c r="GH162" s="24"/>
      <c r="GI162" s="24"/>
      <c r="GJ162" s="24"/>
      <c r="GK162" s="24"/>
      <c r="GL162" s="24"/>
      <c r="GM162" s="24"/>
      <c r="GO162" s="4"/>
      <c r="GP162" s="4"/>
      <c r="GQ162" s="4"/>
      <c r="GR162" s="4"/>
      <c r="GS162" s="4"/>
      <c r="GT162" s="4"/>
      <c r="GU162" s="4"/>
      <c r="GV162" s="4"/>
      <c r="GW162" s="4"/>
      <c r="GX162" s="4"/>
      <c r="GY162" s="4"/>
      <c r="GZ162" s="4"/>
      <c r="HB162" s="12"/>
      <c r="HC162" s="3"/>
      <c r="HD162" s="3"/>
      <c r="HE162" s="3"/>
      <c r="HF162" s="3"/>
      <c r="HG162" s="3"/>
      <c r="HH162" s="3"/>
      <c r="HI162" s="3"/>
      <c r="HJ162" s="3"/>
      <c r="HK162" s="3"/>
      <c r="HL162" s="3"/>
      <c r="HM162" s="3"/>
      <c r="HN162" s="3"/>
    </row>
    <row r="163" spans="158:222" x14ac:dyDescent="0.2">
      <c r="FB163" s="10"/>
      <c r="FC163" s="10"/>
      <c r="FD163" s="10"/>
      <c r="FE163" s="10"/>
      <c r="FF163" s="10"/>
      <c r="FG163" s="10"/>
      <c r="FH163" s="10"/>
      <c r="FI163" s="10"/>
      <c r="FJ163" s="10"/>
      <c r="FK163" s="10"/>
      <c r="FL163" s="10"/>
      <c r="FM163" s="10"/>
      <c r="FN163" s="10"/>
      <c r="FO163" s="10"/>
      <c r="FP163" s="10"/>
      <c r="FQ163" s="10"/>
      <c r="FW163" s="3"/>
      <c r="FX163" s="4"/>
      <c r="FZ163" s="12"/>
      <c r="GA163" s="24"/>
      <c r="GB163" s="24"/>
      <c r="GC163" s="24"/>
      <c r="GD163" s="24"/>
      <c r="GE163" s="24"/>
      <c r="GF163" s="24"/>
      <c r="GG163" s="24"/>
      <c r="GH163" s="24"/>
      <c r="GI163" s="24"/>
      <c r="GJ163" s="24"/>
      <c r="GK163" s="24"/>
      <c r="GL163" s="24"/>
      <c r="GM163" s="24"/>
      <c r="GO163" s="4"/>
      <c r="GP163" s="4"/>
      <c r="GQ163" s="4"/>
      <c r="GR163" s="4"/>
      <c r="GS163" s="4"/>
      <c r="GT163" s="4"/>
      <c r="GU163" s="4"/>
      <c r="GV163" s="4"/>
      <c r="GW163" s="4"/>
      <c r="GX163" s="4"/>
      <c r="GY163" s="4"/>
      <c r="GZ163" s="4"/>
      <c r="HB163" s="12"/>
      <c r="HC163" s="3"/>
      <c r="HD163" s="3"/>
      <c r="HE163" s="3"/>
      <c r="HF163" s="3"/>
      <c r="HG163" s="3"/>
      <c r="HH163" s="3"/>
      <c r="HI163" s="3"/>
      <c r="HJ163" s="3"/>
      <c r="HK163" s="3"/>
      <c r="HL163" s="3"/>
      <c r="HM163" s="3"/>
      <c r="HN163" s="3"/>
    </row>
    <row r="164" spans="158:222" x14ac:dyDescent="0.2">
      <c r="FB164" s="10"/>
      <c r="FC164" s="10"/>
      <c r="FD164" s="10"/>
      <c r="FE164" s="10"/>
      <c r="FF164" s="10"/>
      <c r="FG164" s="10"/>
      <c r="FH164" s="10"/>
      <c r="FI164" s="10"/>
      <c r="FJ164" s="10"/>
      <c r="FK164" s="10"/>
      <c r="FL164" s="10"/>
      <c r="FM164" s="10"/>
      <c r="FN164" s="10"/>
      <c r="FO164" s="10"/>
      <c r="FP164" s="10"/>
      <c r="FQ164" s="10"/>
      <c r="FW164" s="3"/>
      <c r="FX164" s="4"/>
      <c r="FZ164" s="12"/>
      <c r="GA164" s="24"/>
      <c r="GB164" s="24"/>
      <c r="GC164" s="24"/>
      <c r="GD164" s="24"/>
      <c r="GE164" s="24"/>
      <c r="GF164" s="24"/>
      <c r="GG164" s="24"/>
      <c r="GH164" s="24"/>
      <c r="GI164" s="24"/>
      <c r="GJ164" s="24"/>
      <c r="GK164" s="24"/>
      <c r="GL164" s="24"/>
      <c r="GM164" s="24"/>
      <c r="GO164" s="4"/>
      <c r="GP164" s="4"/>
      <c r="GQ164" s="4"/>
      <c r="GR164" s="4"/>
      <c r="GS164" s="4"/>
      <c r="GT164" s="4"/>
      <c r="GU164" s="4"/>
      <c r="GV164" s="4"/>
      <c r="GW164" s="4"/>
      <c r="GX164" s="4"/>
      <c r="GY164" s="4"/>
      <c r="GZ164" s="4"/>
      <c r="HB164" s="12"/>
      <c r="HC164" s="3"/>
      <c r="HD164" s="3"/>
      <c r="HE164" s="3"/>
      <c r="HF164" s="3"/>
      <c r="HG164" s="3"/>
      <c r="HH164" s="3"/>
      <c r="HI164" s="3"/>
      <c r="HJ164" s="3"/>
      <c r="HK164" s="3"/>
      <c r="HL164" s="3"/>
      <c r="HM164" s="3"/>
      <c r="HN164" s="3"/>
    </row>
    <row r="165" spans="158:222" x14ac:dyDescent="0.2">
      <c r="FB165" s="10"/>
      <c r="FC165" s="10"/>
      <c r="FD165" s="10"/>
      <c r="FE165" s="10"/>
      <c r="FF165" s="10"/>
      <c r="FG165" s="10"/>
      <c r="FH165" s="10"/>
      <c r="FI165" s="10"/>
      <c r="FJ165" s="10"/>
      <c r="FK165" s="10"/>
      <c r="FL165" s="10"/>
      <c r="FM165" s="10"/>
      <c r="FN165" s="10"/>
      <c r="FO165" s="10"/>
      <c r="FP165" s="10"/>
      <c r="FQ165" s="10"/>
      <c r="FW165" s="3"/>
      <c r="FX165" s="4"/>
      <c r="FZ165" s="12"/>
      <c r="GA165" s="24"/>
      <c r="GB165" s="24"/>
      <c r="GC165" s="24"/>
      <c r="GD165" s="24"/>
      <c r="GE165" s="24"/>
      <c r="GF165" s="24"/>
      <c r="GG165" s="24"/>
      <c r="GH165" s="24"/>
      <c r="GI165" s="24"/>
      <c r="GJ165" s="24"/>
      <c r="GK165" s="24"/>
      <c r="GL165" s="24"/>
      <c r="GM165" s="24"/>
      <c r="GO165" s="4"/>
      <c r="GP165" s="4"/>
      <c r="GQ165" s="4"/>
      <c r="GR165" s="4"/>
      <c r="GS165" s="4"/>
      <c r="GT165" s="4"/>
      <c r="GU165" s="4"/>
      <c r="GV165" s="4"/>
      <c r="GW165" s="4"/>
      <c r="GX165" s="4"/>
      <c r="GY165" s="4"/>
      <c r="GZ165" s="4"/>
      <c r="HB165" s="12"/>
      <c r="HC165" s="3"/>
      <c r="HD165" s="3"/>
      <c r="HE165" s="3"/>
      <c r="HF165" s="3"/>
      <c r="HG165" s="3"/>
      <c r="HH165" s="3"/>
      <c r="HI165" s="3"/>
      <c r="HJ165" s="3"/>
      <c r="HK165" s="3"/>
      <c r="HL165" s="3"/>
      <c r="HM165" s="3"/>
      <c r="HN165" s="3"/>
    </row>
    <row r="166" spans="158:222" x14ac:dyDescent="0.2">
      <c r="FB166" s="10"/>
      <c r="FC166" s="10"/>
      <c r="FD166" s="10"/>
      <c r="FE166" s="10"/>
      <c r="FF166" s="10"/>
      <c r="FG166" s="10"/>
      <c r="FH166" s="10"/>
      <c r="FI166" s="10"/>
      <c r="FJ166" s="10"/>
      <c r="FK166" s="10"/>
      <c r="FL166" s="10"/>
      <c r="FM166" s="10"/>
      <c r="FN166" s="10"/>
      <c r="FO166" s="10"/>
      <c r="FP166" s="10"/>
      <c r="FQ166" s="10"/>
      <c r="FW166" s="3"/>
      <c r="FX166" s="4"/>
      <c r="FZ166" s="12"/>
      <c r="GA166" s="24"/>
      <c r="GB166" s="24"/>
      <c r="GC166" s="24"/>
      <c r="GD166" s="24"/>
      <c r="GE166" s="24"/>
      <c r="GF166" s="24"/>
      <c r="GG166" s="24"/>
      <c r="GH166" s="24"/>
      <c r="GI166" s="24"/>
      <c r="GJ166" s="24"/>
      <c r="GK166" s="24"/>
      <c r="GL166" s="24"/>
      <c r="GM166" s="24"/>
      <c r="GO166" s="4"/>
      <c r="GP166" s="4"/>
      <c r="GQ166" s="4"/>
      <c r="GR166" s="4"/>
      <c r="GS166" s="4"/>
      <c r="GT166" s="4"/>
      <c r="GU166" s="4"/>
      <c r="GV166" s="4"/>
      <c r="GW166" s="4"/>
      <c r="GX166" s="4"/>
      <c r="GY166" s="4"/>
      <c r="GZ166" s="4"/>
      <c r="HB166" s="12"/>
      <c r="HC166" s="3"/>
      <c r="HD166" s="3"/>
      <c r="HE166" s="3"/>
      <c r="HF166" s="3"/>
      <c r="HG166" s="3"/>
      <c r="HH166" s="3"/>
      <c r="HI166" s="3"/>
      <c r="HJ166" s="3"/>
      <c r="HK166" s="3"/>
      <c r="HL166" s="3"/>
      <c r="HM166" s="3"/>
      <c r="HN166" s="3"/>
    </row>
    <row r="167" spans="158:222" x14ac:dyDescent="0.2">
      <c r="FB167" s="10"/>
      <c r="FC167" s="10"/>
      <c r="FD167" s="10"/>
      <c r="FE167" s="10"/>
      <c r="FF167" s="10"/>
      <c r="FG167" s="10"/>
      <c r="FH167" s="10"/>
      <c r="FI167" s="10"/>
      <c r="FJ167" s="10"/>
      <c r="FK167" s="10"/>
      <c r="FL167" s="10"/>
      <c r="FM167" s="10"/>
      <c r="FN167" s="10"/>
      <c r="FO167" s="10"/>
      <c r="FP167" s="10"/>
      <c r="FQ167" s="10"/>
      <c r="FW167" s="3"/>
      <c r="FX167" s="4"/>
      <c r="FZ167" s="12"/>
      <c r="GA167" s="24"/>
      <c r="GB167" s="24"/>
      <c r="GC167" s="24"/>
      <c r="GD167" s="24"/>
      <c r="GE167" s="24"/>
      <c r="GF167" s="24"/>
      <c r="GG167" s="24"/>
      <c r="GH167" s="24"/>
      <c r="GI167" s="24"/>
      <c r="GJ167" s="24"/>
      <c r="GK167" s="24"/>
      <c r="GL167" s="24"/>
      <c r="GM167" s="24"/>
      <c r="GO167" s="4"/>
      <c r="GP167" s="4"/>
      <c r="GQ167" s="4"/>
      <c r="GR167" s="4"/>
      <c r="GS167" s="4"/>
      <c r="GT167" s="4"/>
      <c r="GU167" s="4"/>
      <c r="GV167" s="4"/>
      <c r="GW167" s="4"/>
      <c r="GX167" s="4"/>
      <c r="GY167" s="4"/>
      <c r="GZ167" s="4"/>
      <c r="HB167" s="12"/>
      <c r="HC167" s="3"/>
      <c r="HD167" s="3"/>
      <c r="HE167" s="3"/>
      <c r="HF167" s="3"/>
      <c r="HG167" s="3"/>
      <c r="HH167" s="3"/>
      <c r="HI167" s="3"/>
      <c r="HJ167" s="3"/>
      <c r="HK167" s="3"/>
      <c r="HL167" s="3"/>
      <c r="HM167" s="3"/>
      <c r="HN167" s="3"/>
    </row>
    <row r="168" spans="158:222" x14ac:dyDescent="0.2">
      <c r="FB168" s="10"/>
      <c r="FC168" s="10"/>
      <c r="FD168" s="10"/>
      <c r="FE168" s="10"/>
      <c r="FF168" s="10"/>
      <c r="FG168" s="10"/>
      <c r="FH168" s="10"/>
      <c r="FI168" s="10"/>
      <c r="FJ168" s="10"/>
      <c r="FK168" s="10"/>
      <c r="FL168" s="10"/>
      <c r="FM168" s="10"/>
      <c r="FN168" s="10"/>
      <c r="FO168" s="10"/>
      <c r="FP168" s="10"/>
      <c r="FQ168" s="10"/>
      <c r="FW168" s="3"/>
      <c r="FX168" s="4"/>
      <c r="FZ168" s="12"/>
      <c r="GA168" s="24"/>
      <c r="GB168" s="24"/>
      <c r="GC168" s="24"/>
      <c r="GD168" s="24"/>
      <c r="GE168" s="24"/>
      <c r="GF168" s="24"/>
      <c r="GG168" s="24"/>
      <c r="GH168" s="24"/>
      <c r="GI168" s="24"/>
      <c r="GJ168" s="24"/>
      <c r="GK168" s="24"/>
      <c r="GL168" s="24"/>
      <c r="GM168" s="24"/>
      <c r="GO168" s="4"/>
      <c r="GP168" s="4"/>
      <c r="GQ168" s="4"/>
      <c r="GR168" s="4"/>
      <c r="GS168" s="4"/>
      <c r="GT168" s="4"/>
      <c r="GU168" s="4"/>
      <c r="GV168" s="4"/>
      <c r="GW168" s="4"/>
      <c r="GX168" s="4"/>
      <c r="GY168" s="4"/>
      <c r="GZ168" s="4"/>
      <c r="HB168" s="12"/>
      <c r="HC168" s="3"/>
      <c r="HD168" s="3"/>
      <c r="HE168" s="3"/>
      <c r="HF168" s="3"/>
      <c r="HG168" s="3"/>
      <c r="HH168" s="3"/>
      <c r="HI168" s="3"/>
      <c r="HJ168" s="3"/>
      <c r="HK168" s="3"/>
      <c r="HL168" s="3"/>
      <c r="HM168" s="3"/>
      <c r="HN168" s="3"/>
    </row>
    <row r="169" spans="158:222" x14ac:dyDescent="0.2">
      <c r="FB169" s="10"/>
      <c r="FC169" s="10"/>
      <c r="FD169" s="10"/>
      <c r="FE169" s="10"/>
      <c r="FF169" s="10"/>
      <c r="FG169" s="10"/>
      <c r="FH169" s="10"/>
      <c r="FI169" s="10"/>
      <c r="FJ169" s="10"/>
      <c r="FK169" s="10"/>
      <c r="FL169" s="10"/>
      <c r="FM169" s="10"/>
      <c r="FN169" s="10"/>
      <c r="FO169" s="10"/>
      <c r="FP169" s="10"/>
      <c r="FQ169" s="10"/>
      <c r="FW169" s="3"/>
      <c r="FX169" s="4"/>
      <c r="FZ169" s="12"/>
      <c r="GA169" s="24"/>
      <c r="GB169" s="24"/>
      <c r="GC169" s="24"/>
      <c r="GD169" s="24"/>
      <c r="GE169" s="24"/>
      <c r="GF169" s="24"/>
      <c r="GG169" s="24"/>
      <c r="GH169" s="24"/>
      <c r="GI169" s="24"/>
      <c r="GJ169" s="24"/>
      <c r="GK169" s="24"/>
      <c r="GL169" s="24"/>
      <c r="GM169" s="24"/>
      <c r="GO169" s="4"/>
      <c r="GP169" s="4"/>
      <c r="GQ169" s="4"/>
      <c r="GR169" s="4"/>
      <c r="GS169" s="4"/>
      <c r="GT169" s="4"/>
      <c r="GU169" s="4"/>
      <c r="GV169" s="4"/>
      <c r="GW169" s="4"/>
      <c r="GX169" s="4"/>
      <c r="GY169" s="4"/>
      <c r="GZ169" s="4"/>
      <c r="HB169" s="12"/>
      <c r="HC169" s="3"/>
      <c r="HD169" s="3"/>
      <c r="HE169" s="3"/>
      <c r="HF169" s="3"/>
      <c r="HG169" s="3"/>
      <c r="HH169" s="3"/>
      <c r="HI169" s="3"/>
      <c r="HJ169" s="3"/>
      <c r="HK169" s="3"/>
      <c r="HL169" s="3"/>
      <c r="HM169" s="3"/>
      <c r="HN169" s="3"/>
    </row>
    <row r="170" spans="158:222" x14ac:dyDescent="0.2">
      <c r="FB170" s="10"/>
      <c r="FC170" s="10"/>
      <c r="FD170" s="10"/>
      <c r="FE170" s="10"/>
      <c r="FF170" s="10"/>
      <c r="FG170" s="10"/>
      <c r="FH170" s="10"/>
      <c r="FI170" s="10"/>
      <c r="FJ170" s="10"/>
      <c r="FK170" s="10"/>
      <c r="FL170" s="10"/>
      <c r="FM170" s="10"/>
      <c r="FN170" s="10"/>
      <c r="FO170" s="10"/>
      <c r="FP170" s="10"/>
      <c r="FQ170" s="10"/>
      <c r="FW170" s="3"/>
      <c r="FX170" s="4"/>
      <c r="FZ170" s="12"/>
      <c r="GA170" s="24"/>
      <c r="GB170" s="24"/>
      <c r="GC170" s="24"/>
      <c r="GD170" s="24"/>
      <c r="GE170" s="24"/>
      <c r="GF170" s="24"/>
      <c r="GG170" s="24"/>
      <c r="GH170" s="24"/>
      <c r="GI170" s="24"/>
      <c r="GJ170" s="24"/>
      <c r="GK170" s="24"/>
      <c r="GL170" s="24"/>
      <c r="GM170" s="24"/>
      <c r="GO170" s="4"/>
      <c r="GP170" s="4"/>
      <c r="GQ170" s="4"/>
      <c r="GR170" s="4"/>
      <c r="GS170" s="4"/>
      <c r="GT170" s="4"/>
      <c r="GU170" s="4"/>
      <c r="GV170" s="4"/>
      <c r="GW170" s="4"/>
      <c r="GX170" s="4"/>
      <c r="GY170" s="4"/>
      <c r="GZ170" s="4"/>
      <c r="HB170" s="12"/>
      <c r="HC170" s="3"/>
      <c r="HD170" s="3"/>
      <c r="HE170" s="3"/>
      <c r="HF170" s="3"/>
      <c r="HG170" s="3"/>
      <c r="HH170" s="3"/>
      <c r="HI170" s="3"/>
      <c r="HJ170" s="3"/>
      <c r="HK170" s="3"/>
      <c r="HL170" s="3"/>
      <c r="HM170" s="3"/>
      <c r="HN170" s="3"/>
    </row>
    <row r="171" spans="158:222" x14ac:dyDescent="0.2">
      <c r="FB171" s="10"/>
      <c r="FC171" s="10"/>
      <c r="FD171" s="10"/>
      <c r="FE171" s="10"/>
      <c r="FF171" s="10"/>
      <c r="FG171" s="10"/>
      <c r="FH171" s="10"/>
      <c r="FI171" s="10"/>
      <c r="FJ171" s="10"/>
      <c r="FK171" s="10"/>
      <c r="FL171" s="10"/>
      <c r="FM171" s="10"/>
      <c r="FN171" s="10"/>
      <c r="FO171" s="10"/>
      <c r="FP171" s="10"/>
      <c r="FQ171" s="10"/>
      <c r="FW171" s="3"/>
      <c r="FX171" s="4"/>
      <c r="FZ171" s="12"/>
      <c r="GA171" s="24"/>
      <c r="GB171" s="24"/>
      <c r="GC171" s="24"/>
      <c r="GD171" s="24"/>
      <c r="GE171" s="24"/>
      <c r="GF171" s="24"/>
      <c r="GG171" s="24"/>
      <c r="GH171" s="24"/>
      <c r="GI171" s="24"/>
      <c r="GJ171" s="24"/>
      <c r="GK171" s="24"/>
      <c r="GL171" s="24"/>
      <c r="GM171" s="24"/>
      <c r="GO171" s="4"/>
      <c r="GP171" s="4"/>
      <c r="GQ171" s="4"/>
      <c r="GR171" s="4"/>
      <c r="GS171" s="4"/>
      <c r="GT171" s="4"/>
      <c r="GU171" s="4"/>
      <c r="GV171" s="4"/>
      <c r="GW171" s="4"/>
      <c r="GX171" s="4"/>
      <c r="GY171" s="4"/>
      <c r="GZ171" s="4"/>
      <c r="HB171" s="12"/>
      <c r="HC171" s="3"/>
      <c r="HD171" s="3"/>
      <c r="HE171" s="3"/>
      <c r="HF171" s="3"/>
      <c r="HG171" s="3"/>
      <c r="HH171" s="3"/>
      <c r="HI171" s="3"/>
      <c r="HJ171" s="3"/>
      <c r="HK171" s="3"/>
      <c r="HL171" s="3"/>
      <c r="HM171" s="3"/>
      <c r="HN171" s="3"/>
    </row>
    <row r="172" spans="158:222" x14ac:dyDescent="0.2">
      <c r="FB172" s="10"/>
      <c r="FC172" s="10"/>
      <c r="FD172" s="10"/>
      <c r="FE172" s="10"/>
      <c r="FF172" s="10"/>
      <c r="FG172" s="10"/>
      <c r="FH172" s="10"/>
      <c r="FI172" s="10"/>
      <c r="FJ172" s="10"/>
      <c r="FK172" s="10"/>
      <c r="FL172" s="10"/>
      <c r="FM172" s="10"/>
      <c r="FN172" s="10"/>
      <c r="FO172" s="10"/>
      <c r="FP172" s="10"/>
      <c r="FQ172" s="10"/>
      <c r="FW172" s="3"/>
      <c r="FX172" s="4"/>
      <c r="FZ172" s="12"/>
      <c r="GA172" s="24"/>
      <c r="GB172" s="24"/>
      <c r="GC172" s="24"/>
      <c r="GD172" s="24"/>
      <c r="GE172" s="24"/>
      <c r="GF172" s="24"/>
      <c r="GG172" s="24"/>
      <c r="GH172" s="24"/>
      <c r="GI172" s="24"/>
      <c r="GJ172" s="24"/>
      <c r="GK172" s="24"/>
      <c r="GL172" s="24"/>
      <c r="GM172" s="24"/>
      <c r="GO172" s="4"/>
      <c r="GP172" s="4"/>
      <c r="GQ172" s="4"/>
      <c r="GR172" s="4"/>
      <c r="GS172" s="4"/>
      <c r="GT172" s="4"/>
      <c r="GU172" s="4"/>
      <c r="GV172" s="4"/>
      <c r="GW172" s="4"/>
      <c r="GX172" s="4"/>
      <c r="GY172" s="4"/>
      <c r="GZ172" s="4"/>
      <c r="HB172" s="12"/>
      <c r="HC172" s="3"/>
      <c r="HD172" s="3"/>
      <c r="HE172" s="3"/>
      <c r="HF172" s="3"/>
      <c r="HG172" s="3"/>
      <c r="HH172" s="3"/>
      <c r="HI172" s="3"/>
      <c r="HJ172" s="3"/>
      <c r="HK172" s="3"/>
      <c r="HL172" s="3"/>
      <c r="HM172" s="3"/>
      <c r="HN172" s="3"/>
    </row>
    <row r="173" spans="158:222" x14ac:dyDescent="0.2">
      <c r="FB173" s="10"/>
      <c r="FC173" s="10"/>
      <c r="FD173" s="10"/>
      <c r="FE173" s="10"/>
      <c r="FF173" s="10"/>
      <c r="FG173" s="10"/>
      <c r="FH173" s="10"/>
      <c r="FI173" s="10"/>
      <c r="FJ173" s="10"/>
      <c r="FK173" s="10"/>
      <c r="FL173" s="10"/>
      <c r="FM173" s="10"/>
      <c r="FN173" s="10"/>
      <c r="FO173" s="10"/>
      <c r="FP173" s="10"/>
      <c r="FQ173" s="10"/>
      <c r="FW173" s="3"/>
      <c r="FX173" s="4"/>
      <c r="FZ173" s="12"/>
      <c r="GA173" s="24"/>
      <c r="GB173" s="24"/>
      <c r="GC173" s="24"/>
      <c r="GD173" s="24"/>
      <c r="GE173" s="24"/>
      <c r="GF173" s="24"/>
      <c r="GG173" s="24"/>
      <c r="GH173" s="24"/>
      <c r="GI173" s="24"/>
      <c r="GJ173" s="24"/>
      <c r="GK173" s="24"/>
      <c r="GL173" s="24"/>
      <c r="GM173" s="24"/>
      <c r="GO173" s="4"/>
      <c r="GP173" s="4"/>
      <c r="GQ173" s="4"/>
      <c r="GR173" s="4"/>
      <c r="GS173" s="4"/>
      <c r="GT173" s="4"/>
      <c r="GU173" s="4"/>
      <c r="GV173" s="4"/>
      <c r="GW173" s="4"/>
      <c r="GX173" s="4"/>
      <c r="GY173" s="4"/>
      <c r="GZ173" s="4"/>
      <c r="HB173" s="12"/>
      <c r="HC173" s="3"/>
      <c r="HD173" s="3"/>
      <c r="HE173" s="3"/>
      <c r="HF173" s="3"/>
      <c r="HG173" s="3"/>
      <c r="HH173" s="3"/>
      <c r="HI173" s="3"/>
      <c r="HJ173" s="3"/>
      <c r="HK173" s="3"/>
      <c r="HL173" s="3"/>
      <c r="HM173" s="3"/>
      <c r="HN173" s="3"/>
    </row>
    <row r="174" spans="158:222" x14ac:dyDescent="0.2">
      <c r="FB174" s="10"/>
      <c r="FC174" s="10"/>
      <c r="FD174" s="10"/>
      <c r="FE174" s="10"/>
      <c r="FF174" s="10"/>
      <c r="FG174" s="10"/>
      <c r="FH174" s="10"/>
      <c r="FI174" s="10"/>
      <c r="FJ174" s="10"/>
      <c r="FK174" s="10"/>
      <c r="FL174" s="10"/>
      <c r="FM174" s="10"/>
      <c r="FN174" s="10"/>
      <c r="FO174" s="10"/>
      <c r="FP174" s="10"/>
      <c r="FQ174" s="10"/>
      <c r="FW174" s="3"/>
      <c r="FX174" s="4"/>
      <c r="FZ174" s="12"/>
      <c r="GA174" s="24"/>
      <c r="GB174" s="24"/>
      <c r="GC174" s="24"/>
      <c r="GD174" s="24"/>
      <c r="GE174" s="24"/>
      <c r="GF174" s="24"/>
      <c r="GG174" s="24"/>
      <c r="GH174" s="24"/>
      <c r="GI174" s="24"/>
      <c r="GJ174" s="24"/>
      <c r="GK174" s="24"/>
      <c r="GL174" s="24"/>
      <c r="GM174" s="24"/>
      <c r="GO174" s="4"/>
      <c r="GP174" s="4"/>
      <c r="GQ174" s="4"/>
      <c r="GR174" s="4"/>
      <c r="GS174" s="4"/>
      <c r="GT174" s="4"/>
      <c r="GU174" s="4"/>
      <c r="GV174" s="4"/>
      <c r="GW174" s="4"/>
      <c r="GX174" s="4"/>
      <c r="GY174" s="4"/>
      <c r="GZ174" s="4"/>
      <c r="HB174" s="12"/>
      <c r="HC174" s="3"/>
      <c r="HD174" s="3"/>
      <c r="HE174" s="3"/>
      <c r="HF174" s="3"/>
      <c r="HG174" s="3"/>
      <c r="HH174" s="3"/>
      <c r="HI174" s="3"/>
      <c r="HJ174" s="3"/>
      <c r="HK174" s="3"/>
      <c r="HL174" s="3"/>
      <c r="HM174" s="3"/>
      <c r="HN174" s="3"/>
    </row>
    <row r="175" spans="158:222" x14ac:dyDescent="0.2">
      <c r="FB175" s="10"/>
      <c r="FC175" s="10"/>
      <c r="FD175" s="10"/>
      <c r="FE175" s="10"/>
      <c r="FF175" s="10"/>
      <c r="FG175" s="10"/>
      <c r="FH175" s="10"/>
      <c r="FI175" s="10"/>
      <c r="FJ175" s="10"/>
      <c r="FK175" s="10"/>
      <c r="FL175" s="10"/>
      <c r="FM175" s="10"/>
      <c r="FN175" s="10"/>
      <c r="FO175" s="10"/>
      <c r="FP175" s="10"/>
      <c r="FQ175" s="10"/>
      <c r="FW175" s="3"/>
      <c r="FX175" s="4"/>
      <c r="FZ175" s="12"/>
      <c r="GA175" s="24"/>
      <c r="GB175" s="24"/>
      <c r="GC175" s="24"/>
      <c r="GD175" s="24"/>
      <c r="GE175" s="24"/>
      <c r="GF175" s="24"/>
      <c r="GG175" s="24"/>
      <c r="GH175" s="24"/>
      <c r="GI175" s="24"/>
      <c r="GJ175" s="24"/>
      <c r="GK175" s="24"/>
      <c r="GL175" s="24"/>
      <c r="GM175" s="24"/>
      <c r="GO175" s="4"/>
      <c r="GP175" s="4"/>
      <c r="GQ175" s="4"/>
      <c r="GR175" s="4"/>
      <c r="GS175" s="4"/>
      <c r="GT175" s="4"/>
      <c r="GU175" s="4"/>
      <c r="GV175" s="4"/>
      <c r="GW175" s="4"/>
      <c r="GX175" s="4"/>
      <c r="GY175" s="4"/>
      <c r="GZ175" s="4"/>
      <c r="HB175" s="12"/>
      <c r="HC175" s="3"/>
      <c r="HD175" s="3"/>
      <c r="HE175" s="3"/>
      <c r="HF175" s="3"/>
      <c r="HG175" s="3"/>
      <c r="HH175" s="3"/>
      <c r="HI175" s="3"/>
      <c r="HJ175" s="3"/>
      <c r="HK175" s="3"/>
      <c r="HL175" s="3"/>
      <c r="HM175" s="3"/>
      <c r="HN175" s="3"/>
    </row>
    <row r="176" spans="158:222" x14ac:dyDescent="0.2">
      <c r="FB176" s="10"/>
      <c r="FC176" s="10"/>
      <c r="FD176" s="10"/>
      <c r="FE176" s="10"/>
      <c r="FF176" s="10"/>
      <c r="FG176" s="10"/>
      <c r="FH176" s="10"/>
      <c r="FI176" s="10"/>
      <c r="FJ176" s="10"/>
      <c r="FK176" s="10"/>
      <c r="FL176" s="10"/>
      <c r="FM176" s="10"/>
      <c r="FN176" s="10"/>
      <c r="FO176" s="10"/>
      <c r="FP176" s="10"/>
      <c r="FQ176" s="10"/>
      <c r="FW176" s="3"/>
      <c r="FX176" s="4"/>
      <c r="FZ176" s="12"/>
      <c r="GA176" s="24"/>
      <c r="GB176" s="24"/>
      <c r="GC176" s="24"/>
      <c r="GD176" s="24"/>
      <c r="GE176" s="24"/>
      <c r="GF176" s="24"/>
      <c r="GG176" s="24"/>
      <c r="GH176" s="24"/>
      <c r="GI176" s="24"/>
      <c r="GJ176" s="24"/>
      <c r="GK176" s="24"/>
      <c r="GL176" s="24"/>
      <c r="GM176" s="24"/>
      <c r="GO176" s="4"/>
      <c r="GP176" s="4"/>
      <c r="GQ176" s="4"/>
      <c r="GR176" s="4"/>
      <c r="GS176" s="4"/>
      <c r="GT176" s="4"/>
      <c r="GU176" s="4"/>
      <c r="GV176" s="4"/>
      <c r="GW176" s="4"/>
      <c r="GX176" s="4"/>
      <c r="GY176" s="4"/>
      <c r="GZ176" s="4"/>
      <c r="HB176" s="12"/>
      <c r="HC176" s="3"/>
      <c r="HD176" s="3"/>
      <c r="HE176" s="3"/>
      <c r="HF176" s="3"/>
      <c r="HG176" s="3"/>
      <c r="HH176" s="3"/>
      <c r="HI176" s="3"/>
      <c r="HJ176" s="3"/>
      <c r="HK176" s="3"/>
      <c r="HL176" s="3"/>
      <c r="HM176" s="3"/>
      <c r="HN176" s="3"/>
    </row>
    <row r="177" spans="158:222" x14ac:dyDescent="0.2">
      <c r="FB177" s="10"/>
      <c r="FC177" s="10"/>
      <c r="FD177" s="10"/>
      <c r="FE177" s="10"/>
      <c r="FF177" s="10"/>
      <c r="FG177" s="10"/>
      <c r="FH177" s="10"/>
      <c r="FI177" s="10"/>
      <c r="FJ177" s="10"/>
      <c r="FK177" s="10"/>
      <c r="FL177" s="10"/>
      <c r="FM177" s="10"/>
      <c r="FN177" s="10"/>
      <c r="FO177" s="10"/>
      <c r="FP177" s="10"/>
      <c r="FQ177" s="10"/>
      <c r="FW177" s="3"/>
      <c r="FX177" s="4"/>
      <c r="FZ177" s="12"/>
      <c r="GA177" s="24"/>
      <c r="GB177" s="24"/>
      <c r="GC177" s="24"/>
      <c r="GD177" s="24"/>
      <c r="GE177" s="24"/>
      <c r="GF177" s="24"/>
      <c r="GG177" s="24"/>
      <c r="GH177" s="24"/>
      <c r="GI177" s="24"/>
      <c r="GJ177" s="24"/>
      <c r="GK177" s="24"/>
      <c r="GL177" s="24"/>
      <c r="GM177" s="24"/>
      <c r="GO177" s="4"/>
      <c r="GP177" s="4"/>
      <c r="GQ177" s="4"/>
      <c r="GR177" s="4"/>
      <c r="GS177" s="4"/>
      <c r="GT177" s="4"/>
      <c r="GU177" s="4"/>
      <c r="GV177" s="4"/>
      <c r="GW177" s="4"/>
      <c r="GX177" s="4"/>
      <c r="GY177" s="4"/>
      <c r="GZ177" s="4"/>
      <c r="HB177" s="12"/>
      <c r="HC177" s="3"/>
      <c r="HD177" s="3"/>
      <c r="HE177" s="3"/>
      <c r="HF177" s="3"/>
      <c r="HG177" s="3"/>
      <c r="HH177" s="3"/>
      <c r="HI177" s="3"/>
      <c r="HJ177" s="3"/>
      <c r="HK177" s="3"/>
      <c r="HL177" s="3"/>
      <c r="HM177" s="3"/>
      <c r="HN177" s="3"/>
    </row>
    <row r="178" spans="158:222" x14ac:dyDescent="0.2">
      <c r="FB178" s="10"/>
      <c r="FC178" s="10"/>
      <c r="FD178" s="10"/>
      <c r="FE178" s="10"/>
      <c r="FF178" s="10"/>
      <c r="FG178" s="10"/>
      <c r="FH178" s="10"/>
      <c r="FI178" s="10"/>
      <c r="FJ178" s="10"/>
      <c r="FK178" s="10"/>
      <c r="FL178" s="10"/>
      <c r="FM178" s="10"/>
      <c r="FN178" s="10"/>
      <c r="FO178" s="10"/>
      <c r="FP178" s="10"/>
      <c r="FQ178" s="10"/>
      <c r="FW178" s="3"/>
      <c r="FX178" s="4"/>
      <c r="FZ178" s="12"/>
      <c r="GA178" s="24"/>
      <c r="GB178" s="24"/>
      <c r="GC178" s="24"/>
      <c r="GD178" s="24"/>
      <c r="GE178" s="24"/>
      <c r="GF178" s="24"/>
      <c r="GG178" s="24"/>
      <c r="GH178" s="24"/>
      <c r="GI178" s="24"/>
      <c r="GJ178" s="24"/>
      <c r="GK178" s="24"/>
      <c r="GL178" s="24"/>
      <c r="GM178" s="24"/>
      <c r="GO178" s="4"/>
      <c r="GP178" s="4"/>
      <c r="GQ178" s="4"/>
      <c r="GR178" s="4"/>
      <c r="GS178" s="4"/>
      <c r="GT178" s="4"/>
      <c r="GU178" s="4"/>
      <c r="GV178" s="4"/>
      <c r="GW178" s="4"/>
      <c r="GX178" s="4"/>
      <c r="GY178" s="4"/>
      <c r="GZ178" s="4"/>
      <c r="HB178" s="12"/>
      <c r="HC178" s="3"/>
      <c r="HD178" s="3"/>
      <c r="HE178" s="3"/>
      <c r="HF178" s="3"/>
      <c r="HG178" s="3"/>
      <c r="HH178" s="3"/>
      <c r="HI178" s="3"/>
      <c r="HJ178" s="3"/>
      <c r="HK178" s="3"/>
      <c r="HL178" s="3"/>
      <c r="HM178" s="3"/>
      <c r="HN178" s="3"/>
    </row>
    <row r="179" spans="158:222" x14ac:dyDescent="0.2">
      <c r="FB179" s="10"/>
      <c r="FC179" s="10"/>
      <c r="FD179" s="10"/>
      <c r="FE179" s="10"/>
      <c r="FF179" s="10"/>
      <c r="FG179" s="10"/>
      <c r="FH179" s="10"/>
      <c r="FI179" s="10"/>
      <c r="FJ179" s="10"/>
      <c r="FK179" s="10"/>
      <c r="FL179" s="10"/>
      <c r="FM179" s="10"/>
      <c r="FN179" s="10"/>
      <c r="FO179" s="10"/>
      <c r="FP179" s="10"/>
      <c r="FQ179" s="10"/>
      <c r="FW179" s="3"/>
      <c r="FX179" s="4"/>
      <c r="FZ179" s="12"/>
      <c r="GA179" s="24"/>
      <c r="GB179" s="24"/>
      <c r="GC179" s="24"/>
      <c r="GD179" s="24"/>
      <c r="GE179" s="24"/>
      <c r="GF179" s="24"/>
      <c r="GG179" s="24"/>
      <c r="GH179" s="24"/>
      <c r="GI179" s="24"/>
      <c r="GJ179" s="24"/>
      <c r="GK179" s="24"/>
      <c r="GL179" s="24"/>
      <c r="GM179" s="24"/>
      <c r="GO179" s="4"/>
      <c r="GP179" s="4"/>
      <c r="GQ179" s="4"/>
      <c r="GR179" s="4"/>
      <c r="GS179" s="4"/>
      <c r="GT179" s="4"/>
      <c r="GU179" s="4"/>
      <c r="GV179" s="4"/>
      <c r="GW179" s="4"/>
      <c r="GX179" s="4"/>
      <c r="GY179" s="4"/>
      <c r="GZ179" s="4"/>
      <c r="HB179" s="12"/>
      <c r="HC179" s="3"/>
      <c r="HD179" s="3"/>
      <c r="HE179" s="3"/>
      <c r="HF179" s="3"/>
      <c r="HG179" s="3"/>
      <c r="HH179" s="3"/>
      <c r="HI179" s="3"/>
      <c r="HJ179" s="3"/>
      <c r="HK179" s="3"/>
      <c r="HL179" s="3"/>
      <c r="HM179" s="3"/>
      <c r="HN179" s="3"/>
    </row>
    <row r="180" spans="158:222" x14ac:dyDescent="0.2">
      <c r="FB180" s="10"/>
      <c r="FC180" s="10"/>
      <c r="FD180" s="10"/>
      <c r="FE180" s="10"/>
      <c r="FF180" s="10"/>
      <c r="FG180" s="10"/>
      <c r="FH180" s="10"/>
      <c r="FI180" s="10"/>
      <c r="FJ180" s="10"/>
      <c r="FK180" s="10"/>
      <c r="FL180" s="10"/>
      <c r="FM180" s="10"/>
      <c r="FN180" s="10"/>
      <c r="FO180" s="10"/>
      <c r="FP180" s="10"/>
      <c r="FQ180" s="10"/>
      <c r="FW180" s="3"/>
      <c r="FX180" s="4"/>
      <c r="FZ180" s="12"/>
      <c r="GA180" s="24"/>
      <c r="GB180" s="24"/>
      <c r="GC180" s="24"/>
      <c r="GD180" s="24"/>
      <c r="GE180" s="24"/>
      <c r="GF180" s="24"/>
      <c r="GG180" s="24"/>
      <c r="GH180" s="24"/>
      <c r="GI180" s="24"/>
      <c r="GJ180" s="24"/>
      <c r="GK180" s="24"/>
      <c r="GL180" s="24"/>
      <c r="GM180" s="24"/>
      <c r="GO180" s="4"/>
      <c r="GP180" s="4"/>
      <c r="GQ180" s="4"/>
      <c r="GR180" s="4"/>
      <c r="GS180" s="4"/>
      <c r="GT180" s="4"/>
      <c r="GU180" s="4"/>
      <c r="GV180" s="4"/>
      <c r="GW180" s="4"/>
      <c r="GX180" s="4"/>
      <c r="GY180" s="4"/>
      <c r="GZ180" s="4"/>
      <c r="HB180" s="12"/>
      <c r="HC180" s="3"/>
      <c r="HD180" s="3"/>
      <c r="HE180" s="3"/>
      <c r="HF180" s="3"/>
      <c r="HG180" s="3"/>
      <c r="HH180" s="3"/>
      <c r="HI180" s="3"/>
      <c r="HJ180" s="3"/>
      <c r="HK180" s="3"/>
      <c r="HL180" s="3"/>
      <c r="HM180" s="3"/>
      <c r="HN180" s="3"/>
    </row>
    <row r="181" spans="158:222" x14ac:dyDescent="0.2">
      <c r="FB181" s="10"/>
      <c r="FC181" s="10"/>
      <c r="FD181" s="10"/>
      <c r="FE181" s="10"/>
      <c r="FF181" s="10"/>
      <c r="FG181" s="10"/>
      <c r="FH181" s="10"/>
      <c r="FI181" s="10"/>
      <c r="FJ181" s="10"/>
      <c r="FK181" s="10"/>
      <c r="FL181" s="10"/>
      <c r="FM181" s="10"/>
      <c r="FN181" s="10"/>
      <c r="FO181" s="10"/>
      <c r="FP181" s="10"/>
      <c r="FQ181" s="10"/>
      <c r="FW181" s="3"/>
      <c r="FX181" s="4"/>
      <c r="FZ181" s="12"/>
      <c r="GA181" s="24"/>
      <c r="GB181" s="24"/>
      <c r="GC181" s="24"/>
      <c r="GD181" s="24"/>
      <c r="GE181" s="24"/>
      <c r="GF181" s="24"/>
      <c r="GG181" s="24"/>
      <c r="GH181" s="24"/>
      <c r="GI181" s="24"/>
      <c r="GJ181" s="24"/>
      <c r="GK181" s="24"/>
      <c r="GL181" s="24"/>
      <c r="GM181" s="24"/>
      <c r="GO181" s="4"/>
      <c r="GP181" s="4"/>
      <c r="GQ181" s="4"/>
      <c r="GR181" s="4"/>
      <c r="GS181" s="4"/>
      <c r="GT181" s="4"/>
      <c r="GU181" s="4"/>
      <c r="GV181" s="4"/>
      <c r="GW181" s="4"/>
      <c r="GX181" s="4"/>
      <c r="GY181" s="4"/>
      <c r="GZ181" s="4"/>
      <c r="HB181" s="12"/>
      <c r="HC181" s="3"/>
      <c r="HD181" s="3"/>
      <c r="HE181" s="3"/>
      <c r="HF181" s="3"/>
      <c r="HG181" s="3"/>
      <c r="HH181" s="3"/>
      <c r="HI181" s="3"/>
      <c r="HJ181" s="3"/>
      <c r="HK181" s="3"/>
      <c r="HL181" s="3"/>
      <c r="HM181" s="3"/>
      <c r="HN181" s="3"/>
    </row>
    <row r="182" spans="158:222" x14ac:dyDescent="0.2">
      <c r="FB182" s="10"/>
      <c r="FC182" s="10"/>
      <c r="FD182" s="10"/>
      <c r="FE182" s="10"/>
      <c r="FF182" s="10"/>
      <c r="FG182" s="10"/>
      <c r="FH182" s="10"/>
      <c r="FI182" s="10"/>
      <c r="FJ182" s="10"/>
      <c r="FK182" s="10"/>
      <c r="FL182" s="10"/>
      <c r="FM182" s="10"/>
      <c r="FN182" s="10"/>
      <c r="FO182" s="10"/>
      <c r="FP182" s="10"/>
      <c r="FQ182" s="10"/>
      <c r="FW182" s="3"/>
      <c r="FX182" s="4"/>
      <c r="FZ182" s="12"/>
      <c r="GA182" s="24"/>
      <c r="GB182" s="24"/>
      <c r="GC182" s="24"/>
      <c r="GD182" s="24"/>
      <c r="GE182" s="24"/>
      <c r="GF182" s="24"/>
      <c r="GG182" s="24"/>
      <c r="GH182" s="24"/>
      <c r="GI182" s="24"/>
      <c r="GJ182" s="24"/>
      <c r="GK182" s="24"/>
      <c r="GL182" s="24"/>
      <c r="GM182" s="24"/>
      <c r="GO182" s="4"/>
      <c r="GP182" s="4"/>
      <c r="GQ182" s="4"/>
      <c r="GR182" s="4"/>
      <c r="GS182" s="4"/>
      <c r="GT182" s="4"/>
      <c r="GU182" s="4"/>
      <c r="GV182" s="4"/>
      <c r="GW182" s="4"/>
      <c r="GX182" s="4"/>
      <c r="GY182" s="4"/>
      <c r="GZ182" s="4"/>
      <c r="HB182" s="12"/>
      <c r="HC182" s="3"/>
      <c r="HD182" s="3"/>
      <c r="HE182" s="3"/>
      <c r="HF182" s="3"/>
      <c r="HG182" s="3"/>
      <c r="HH182" s="3"/>
      <c r="HI182" s="3"/>
      <c r="HJ182" s="3"/>
      <c r="HK182" s="3"/>
      <c r="HL182" s="3"/>
      <c r="HM182" s="3"/>
      <c r="HN182" s="3"/>
    </row>
    <row r="183" spans="158:222" x14ac:dyDescent="0.2">
      <c r="FB183" s="10"/>
      <c r="FC183" s="10"/>
      <c r="FD183" s="10"/>
      <c r="FE183" s="10"/>
      <c r="FF183" s="10"/>
      <c r="FG183" s="10"/>
      <c r="FH183" s="10"/>
      <c r="FI183" s="10"/>
      <c r="FJ183" s="10"/>
      <c r="FK183" s="10"/>
      <c r="FL183" s="10"/>
      <c r="FM183" s="10"/>
      <c r="FN183" s="10"/>
      <c r="FO183" s="10"/>
      <c r="FP183" s="10"/>
      <c r="FQ183" s="10"/>
      <c r="FW183" s="3"/>
      <c r="FX183" s="4"/>
      <c r="FZ183" s="12"/>
      <c r="GA183" s="24"/>
      <c r="GB183" s="24"/>
      <c r="GC183" s="24"/>
      <c r="GD183" s="24"/>
      <c r="GE183" s="24"/>
      <c r="GF183" s="24"/>
      <c r="GG183" s="24"/>
      <c r="GH183" s="24"/>
      <c r="GI183" s="24"/>
      <c r="GJ183" s="24"/>
      <c r="GK183" s="24"/>
      <c r="GL183" s="24"/>
      <c r="GM183" s="24"/>
      <c r="GO183" s="4"/>
      <c r="GP183" s="4"/>
      <c r="GQ183" s="4"/>
      <c r="GR183" s="4"/>
      <c r="GS183" s="4"/>
      <c r="GT183" s="4"/>
      <c r="GU183" s="4"/>
      <c r="GV183" s="4"/>
      <c r="GW183" s="4"/>
      <c r="GX183" s="4"/>
      <c r="GY183" s="4"/>
      <c r="GZ183" s="4"/>
      <c r="HB183" s="12"/>
      <c r="HC183" s="3"/>
      <c r="HD183" s="3"/>
      <c r="HE183" s="3"/>
      <c r="HF183" s="3"/>
      <c r="HG183" s="3"/>
      <c r="HH183" s="3"/>
      <c r="HI183" s="3"/>
      <c r="HJ183" s="3"/>
      <c r="HK183" s="3"/>
      <c r="HL183" s="3"/>
      <c r="HM183" s="3"/>
      <c r="HN183" s="3"/>
    </row>
    <row r="184" spans="158:222" x14ac:dyDescent="0.2">
      <c r="FB184" s="10"/>
      <c r="FC184" s="10"/>
      <c r="FD184" s="10"/>
      <c r="FE184" s="10"/>
      <c r="FF184" s="10"/>
      <c r="FG184" s="10"/>
      <c r="FH184" s="10"/>
      <c r="FI184" s="10"/>
      <c r="FJ184" s="10"/>
      <c r="FK184" s="10"/>
      <c r="FL184" s="10"/>
      <c r="FM184" s="10"/>
      <c r="FN184" s="10"/>
      <c r="FO184" s="10"/>
      <c r="FP184" s="10"/>
      <c r="FQ184" s="10"/>
      <c r="FW184" s="3"/>
      <c r="FX184" s="4"/>
      <c r="FZ184" s="12"/>
      <c r="GA184" s="24"/>
      <c r="GB184" s="24"/>
      <c r="GC184" s="24"/>
      <c r="GD184" s="24"/>
      <c r="GE184" s="24"/>
      <c r="GF184" s="24"/>
      <c r="GG184" s="24"/>
      <c r="GH184" s="24"/>
      <c r="GI184" s="24"/>
      <c r="GJ184" s="24"/>
      <c r="GK184" s="24"/>
      <c r="GL184" s="24"/>
      <c r="GM184" s="24"/>
      <c r="GO184" s="4"/>
      <c r="GP184" s="4"/>
      <c r="GQ184" s="4"/>
      <c r="GR184" s="4"/>
      <c r="GS184" s="4"/>
      <c r="GT184" s="4"/>
      <c r="GU184" s="4"/>
      <c r="GV184" s="4"/>
      <c r="GW184" s="4"/>
      <c r="GX184" s="4"/>
      <c r="GY184" s="4"/>
      <c r="GZ184" s="4"/>
      <c r="HB184" s="12"/>
      <c r="HC184" s="3"/>
      <c r="HD184" s="3"/>
      <c r="HE184" s="3"/>
      <c r="HF184" s="3"/>
      <c r="HG184" s="3"/>
      <c r="HH184" s="3"/>
      <c r="HI184" s="3"/>
      <c r="HJ184" s="3"/>
      <c r="HK184" s="3"/>
      <c r="HL184" s="3"/>
      <c r="HM184" s="3"/>
      <c r="HN184" s="3"/>
    </row>
    <row r="185" spans="158:222" x14ac:dyDescent="0.2">
      <c r="FB185" s="10"/>
      <c r="FC185" s="10"/>
      <c r="FD185" s="10"/>
      <c r="FE185" s="10"/>
      <c r="FF185" s="10"/>
      <c r="FG185" s="10"/>
      <c r="FH185" s="10"/>
      <c r="FI185" s="10"/>
      <c r="FJ185" s="10"/>
      <c r="FK185" s="10"/>
      <c r="FL185" s="10"/>
      <c r="FM185" s="10"/>
      <c r="FN185" s="10"/>
      <c r="FO185" s="10"/>
      <c r="FP185" s="10"/>
      <c r="FQ185" s="10"/>
      <c r="FW185" s="3"/>
      <c r="FX185" s="4"/>
      <c r="FZ185" s="12"/>
      <c r="GA185" s="24"/>
      <c r="GB185" s="24"/>
      <c r="GC185" s="24"/>
      <c r="GD185" s="24"/>
      <c r="GE185" s="24"/>
      <c r="GF185" s="24"/>
      <c r="GG185" s="24"/>
      <c r="GH185" s="24"/>
      <c r="GI185" s="24"/>
      <c r="GJ185" s="24"/>
      <c r="GK185" s="24"/>
      <c r="GL185" s="24"/>
      <c r="GM185" s="24"/>
      <c r="GO185" s="4"/>
      <c r="GP185" s="4"/>
      <c r="GQ185" s="4"/>
      <c r="GR185" s="4"/>
      <c r="GS185" s="4"/>
      <c r="GT185" s="4"/>
      <c r="GU185" s="4"/>
      <c r="GV185" s="4"/>
      <c r="GW185" s="4"/>
      <c r="GX185" s="4"/>
      <c r="GY185" s="4"/>
      <c r="GZ185" s="4"/>
      <c r="HB185" s="12"/>
      <c r="HC185" s="3"/>
      <c r="HD185" s="3"/>
      <c r="HE185" s="3"/>
      <c r="HF185" s="3"/>
      <c r="HG185" s="3"/>
      <c r="HH185" s="3"/>
      <c r="HI185" s="3"/>
      <c r="HJ185" s="3"/>
      <c r="HK185" s="3"/>
      <c r="HL185" s="3"/>
      <c r="HM185" s="3"/>
      <c r="HN185" s="3"/>
    </row>
    <row r="186" spans="158:222" x14ac:dyDescent="0.2">
      <c r="FB186" s="10"/>
      <c r="FC186" s="10"/>
      <c r="FD186" s="10"/>
      <c r="FE186" s="10"/>
      <c r="FF186" s="10"/>
      <c r="FG186" s="10"/>
      <c r="FH186" s="10"/>
      <c r="FI186" s="10"/>
      <c r="FJ186" s="10"/>
      <c r="FK186" s="10"/>
      <c r="FL186" s="10"/>
      <c r="FM186" s="10"/>
      <c r="FN186" s="10"/>
      <c r="FO186" s="10"/>
      <c r="FP186" s="10"/>
      <c r="FQ186" s="10"/>
      <c r="FW186" s="3"/>
      <c r="FX186" s="4"/>
      <c r="FZ186" s="12"/>
      <c r="GA186" s="24"/>
      <c r="GB186" s="24"/>
      <c r="GC186" s="24"/>
      <c r="GD186" s="24"/>
      <c r="GE186" s="24"/>
      <c r="GF186" s="24"/>
      <c r="GG186" s="24"/>
      <c r="GH186" s="24"/>
      <c r="GI186" s="24"/>
      <c r="GJ186" s="24"/>
      <c r="GK186" s="24"/>
      <c r="GL186" s="24"/>
      <c r="GM186" s="24"/>
      <c r="GO186" s="4"/>
      <c r="GP186" s="4"/>
      <c r="GQ186" s="4"/>
      <c r="GR186" s="4"/>
      <c r="GS186" s="4"/>
      <c r="GT186" s="4"/>
      <c r="GU186" s="4"/>
      <c r="GV186" s="4"/>
      <c r="GW186" s="4"/>
      <c r="GX186" s="4"/>
      <c r="GY186" s="4"/>
      <c r="GZ186" s="4"/>
      <c r="HB186" s="12"/>
      <c r="HC186" s="3"/>
      <c r="HD186" s="3"/>
      <c r="HE186" s="3"/>
      <c r="HF186" s="3"/>
      <c r="HG186" s="3"/>
      <c r="HH186" s="3"/>
      <c r="HI186" s="3"/>
      <c r="HJ186" s="3"/>
      <c r="HK186" s="3"/>
      <c r="HL186" s="3"/>
      <c r="HM186" s="3"/>
      <c r="HN186" s="3"/>
    </row>
    <row r="187" spans="158:222" x14ac:dyDescent="0.2">
      <c r="FB187" s="10"/>
      <c r="FC187" s="10"/>
      <c r="FD187" s="10"/>
      <c r="FE187" s="10"/>
      <c r="FF187" s="10"/>
      <c r="FG187" s="10"/>
      <c r="FH187" s="10"/>
      <c r="FI187" s="10"/>
      <c r="FJ187" s="10"/>
      <c r="FK187" s="10"/>
      <c r="FL187" s="10"/>
      <c r="FM187" s="10"/>
      <c r="FN187" s="10"/>
      <c r="FO187" s="10"/>
      <c r="FP187" s="10"/>
      <c r="FQ187" s="10"/>
      <c r="FW187" s="3"/>
      <c r="FX187" s="4"/>
      <c r="FZ187" s="12"/>
      <c r="GA187" s="24"/>
      <c r="GB187" s="24"/>
      <c r="GC187" s="24"/>
      <c r="GD187" s="24"/>
      <c r="GE187" s="24"/>
      <c r="GF187" s="24"/>
      <c r="GG187" s="24"/>
      <c r="GH187" s="24"/>
      <c r="GI187" s="24"/>
      <c r="GJ187" s="24"/>
      <c r="GK187" s="24"/>
      <c r="GL187" s="24"/>
      <c r="GM187" s="24"/>
      <c r="GO187" s="4"/>
      <c r="GP187" s="4"/>
      <c r="GQ187" s="4"/>
      <c r="GR187" s="4"/>
      <c r="GS187" s="4"/>
      <c r="GT187" s="4"/>
      <c r="GU187" s="4"/>
      <c r="GV187" s="4"/>
      <c r="GW187" s="4"/>
      <c r="GX187" s="4"/>
      <c r="GY187" s="4"/>
      <c r="GZ187" s="4"/>
      <c r="HB187" s="12"/>
      <c r="HC187" s="3"/>
      <c r="HD187" s="3"/>
      <c r="HE187" s="3"/>
      <c r="HF187" s="3"/>
      <c r="HG187" s="3"/>
      <c r="HH187" s="3"/>
      <c r="HI187" s="3"/>
      <c r="HJ187" s="3"/>
      <c r="HK187" s="3"/>
      <c r="HL187" s="3"/>
      <c r="HM187" s="3"/>
      <c r="HN187" s="3"/>
    </row>
    <row r="188" spans="158:222" x14ac:dyDescent="0.2">
      <c r="FB188" s="10"/>
      <c r="FC188" s="10"/>
      <c r="FD188" s="10"/>
      <c r="FE188" s="10"/>
      <c r="FF188" s="10"/>
      <c r="FG188" s="10"/>
      <c r="FH188" s="10"/>
      <c r="FI188" s="10"/>
      <c r="FJ188" s="10"/>
      <c r="FK188" s="10"/>
      <c r="FL188" s="10"/>
      <c r="FM188" s="10"/>
      <c r="FN188" s="10"/>
      <c r="FO188" s="10"/>
      <c r="FP188" s="10"/>
      <c r="FQ188" s="10"/>
      <c r="FW188" s="3"/>
      <c r="FX188" s="4"/>
      <c r="FZ188" s="12"/>
      <c r="GA188" s="24"/>
      <c r="GB188" s="24"/>
      <c r="GC188" s="24"/>
      <c r="GD188" s="24"/>
      <c r="GE188" s="24"/>
      <c r="GF188" s="24"/>
      <c r="GG188" s="24"/>
      <c r="GH188" s="24"/>
      <c r="GI188" s="24"/>
      <c r="GJ188" s="24"/>
      <c r="GK188" s="24"/>
      <c r="GL188" s="24"/>
      <c r="GM188" s="24"/>
      <c r="GO188" s="4"/>
      <c r="GP188" s="4"/>
      <c r="GQ188" s="4"/>
      <c r="GR188" s="4"/>
      <c r="GS188" s="4"/>
      <c r="GT188" s="4"/>
      <c r="GU188" s="4"/>
      <c r="GV188" s="4"/>
      <c r="GW188" s="4"/>
      <c r="GX188" s="4"/>
      <c r="GY188" s="4"/>
      <c r="GZ188" s="4"/>
      <c r="HB188" s="12"/>
      <c r="HC188" s="3"/>
      <c r="HD188" s="3"/>
      <c r="HE188" s="3"/>
      <c r="HF188" s="3"/>
      <c r="HG188" s="3"/>
      <c r="HH188" s="3"/>
      <c r="HI188" s="3"/>
      <c r="HJ188" s="3"/>
      <c r="HK188" s="3"/>
      <c r="HL188" s="3"/>
      <c r="HM188" s="3"/>
      <c r="HN188" s="3"/>
    </row>
    <row r="189" spans="158:222" x14ac:dyDescent="0.2">
      <c r="FB189" s="10"/>
      <c r="FC189" s="10"/>
      <c r="FD189" s="10"/>
      <c r="FE189" s="10"/>
      <c r="FF189" s="10"/>
      <c r="FG189" s="10"/>
      <c r="FH189" s="10"/>
      <c r="FI189" s="10"/>
      <c r="FJ189" s="10"/>
      <c r="FK189" s="10"/>
      <c r="FL189" s="10"/>
      <c r="FM189" s="10"/>
      <c r="FN189" s="10"/>
      <c r="FO189" s="10"/>
      <c r="FP189" s="10"/>
      <c r="FQ189" s="10"/>
      <c r="FW189" s="3"/>
      <c r="FX189" s="4"/>
      <c r="FZ189" s="12"/>
      <c r="GA189" s="24"/>
      <c r="GB189" s="24"/>
      <c r="GC189" s="24"/>
      <c r="GD189" s="24"/>
      <c r="GE189" s="24"/>
      <c r="GF189" s="24"/>
      <c r="GG189" s="24"/>
      <c r="GH189" s="24"/>
      <c r="GI189" s="24"/>
      <c r="GJ189" s="24"/>
      <c r="GK189" s="24"/>
      <c r="GL189" s="24"/>
      <c r="GM189" s="24"/>
      <c r="GO189" s="4"/>
      <c r="GP189" s="4"/>
      <c r="GQ189" s="4"/>
      <c r="GR189" s="4"/>
      <c r="GS189" s="4"/>
      <c r="GT189" s="4"/>
      <c r="GU189" s="4"/>
      <c r="GV189" s="4"/>
      <c r="GW189" s="4"/>
      <c r="GX189" s="4"/>
      <c r="GY189" s="4"/>
      <c r="GZ189" s="4"/>
      <c r="HB189" s="12"/>
      <c r="HC189" s="3"/>
      <c r="HD189" s="3"/>
      <c r="HE189" s="3"/>
      <c r="HF189" s="3"/>
      <c r="HG189" s="3"/>
      <c r="HH189" s="3"/>
      <c r="HI189" s="3"/>
      <c r="HJ189" s="3"/>
      <c r="HK189" s="3"/>
      <c r="HL189" s="3"/>
      <c r="HM189" s="3"/>
      <c r="HN189" s="3"/>
    </row>
    <row r="190" spans="158:222" x14ac:dyDescent="0.2">
      <c r="FB190" s="10"/>
      <c r="FC190" s="10"/>
      <c r="FD190" s="10"/>
      <c r="FE190" s="10"/>
      <c r="FF190" s="10"/>
      <c r="FG190" s="10"/>
      <c r="FH190" s="10"/>
      <c r="FI190" s="10"/>
      <c r="FJ190" s="10"/>
      <c r="FK190" s="10"/>
      <c r="FL190" s="10"/>
      <c r="FM190" s="10"/>
      <c r="FN190" s="10"/>
      <c r="FO190" s="10"/>
      <c r="FP190" s="10"/>
      <c r="FQ190" s="10"/>
      <c r="FW190" s="3"/>
      <c r="FX190" s="4"/>
      <c r="FZ190" s="12"/>
      <c r="GA190" s="24"/>
      <c r="GB190" s="24"/>
      <c r="GC190" s="24"/>
      <c r="GD190" s="24"/>
      <c r="GE190" s="24"/>
      <c r="GF190" s="24"/>
      <c r="GG190" s="24"/>
      <c r="GH190" s="24"/>
      <c r="GI190" s="24"/>
      <c r="GJ190" s="24"/>
      <c r="GK190" s="24"/>
      <c r="GL190" s="24"/>
      <c r="GM190" s="24"/>
      <c r="GO190" s="4"/>
      <c r="GP190" s="4"/>
      <c r="GQ190" s="4"/>
      <c r="GR190" s="4"/>
      <c r="GS190" s="4"/>
      <c r="GT190" s="4"/>
      <c r="GU190" s="4"/>
      <c r="GV190" s="4"/>
      <c r="GW190" s="4"/>
      <c r="GX190" s="4"/>
      <c r="GY190" s="4"/>
      <c r="GZ190" s="4"/>
      <c r="HB190" s="12"/>
      <c r="HC190" s="3"/>
      <c r="HD190" s="3"/>
      <c r="HE190" s="3"/>
      <c r="HF190" s="3"/>
      <c r="HG190" s="3"/>
      <c r="HH190" s="3"/>
      <c r="HI190" s="3"/>
      <c r="HJ190" s="3"/>
      <c r="HK190" s="3"/>
      <c r="HL190" s="3"/>
      <c r="HM190" s="3"/>
      <c r="HN190"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90D66-964C-F74B-B6CA-86847596242C}">
  <dimension ref="A1:D44"/>
  <sheetViews>
    <sheetView topLeftCell="A12" workbookViewId="0">
      <selection activeCell="G32" sqref="G32"/>
    </sheetView>
  </sheetViews>
  <sheetFormatPr baseColWidth="10" defaultColWidth="11" defaultRowHeight="16" x14ac:dyDescent="0.2"/>
  <sheetData>
    <row r="1" spans="1:1" x14ac:dyDescent="0.2">
      <c r="A1" t="s">
        <v>70</v>
      </c>
    </row>
    <row r="2" spans="1:1" x14ac:dyDescent="0.2">
      <c r="A2" t="s">
        <v>71</v>
      </c>
    </row>
    <row r="3" spans="1:1" x14ac:dyDescent="0.2">
      <c r="A3" t="s">
        <v>72</v>
      </c>
    </row>
    <row r="4" spans="1:1" x14ac:dyDescent="0.2">
      <c r="A4" t="s">
        <v>73</v>
      </c>
    </row>
    <row r="5" spans="1:1" x14ac:dyDescent="0.2">
      <c r="A5" t="s">
        <v>74</v>
      </c>
    </row>
    <row r="6" spans="1:1" x14ac:dyDescent="0.2">
      <c r="A6" t="s">
        <v>75</v>
      </c>
    </row>
    <row r="7" spans="1:1" x14ac:dyDescent="0.2">
      <c r="A7" t="s">
        <v>76</v>
      </c>
    </row>
    <row r="8" spans="1:1" x14ac:dyDescent="0.2">
      <c r="A8" t="s">
        <v>77</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4" x14ac:dyDescent="0.2">
      <c r="A17" t="s">
        <v>86</v>
      </c>
    </row>
    <row r="18" spans="1:4" x14ac:dyDescent="0.2">
      <c r="A18" t="s">
        <v>87</v>
      </c>
    </row>
    <row r="19" spans="1:4" x14ac:dyDescent="0.2">
      <c r="A19" t="s">
        <v>88</v>
      </c>
    </row>
    <row r="20" spans="1:4" x14ac:dyDescent="0.2">
      <c r="A20" t="s">
        <v>89</v>
      </c>
    </row>
    <row r="21" spans="1:4" x14ac:dyDescent="0.2">
      <c r="A21" t="s">
        <v>90</v>
      </c>
    </row>
    <row r="22" spans="1:4" x14ac:dyDescent="0.2">
      <c r="A22" t="s">
        <v>91</v>
      </c>
    </row>
    <row r="23" spans="1:4" x14ac:dyDescent="0.2">
      <c r="A23" t="s">
        <v>92</v>
      </c>
    </row>
    <row r="24" spans="1:4" x14ac:dyDescent="0.2">
      <c r="A24" t="s">
        <v>93</v>
      </c>
      <c r="B24" t="s">
        <v>61</v>
      </c>
      <c r="C24" t="s">
        <v>94</v>
      </c>
      <c r="D24" t="s">
        <v>95</v>
      </c>
    </row>
    <row r="25" spans="1:4" x14ac:dyDescent="0.2">
      <c r="A25" t="s">
        <v>96</v>
      </c>
      <c r="B25">
        <v>72</v>
      </c>
      <c r="C25">
        <v>12</v>
      </c>
      <c r="D25">
        <v>6</v>
      </c>
    </row>
    <row r="26" spans="1:4" x14ac:dyDescent="0.2">
      <c r="A26" t="s">
        <v>97</v>
      </c>
      <c r="B26">
        <v>90</v>
      </c>
      <c r="C26">
        <v>8</v>
      </c>
      <c r="D26">
        <v>10</v>
      </c>
    </row>
    <row r="27" spans="1:4" x14ac:dyDescent="0.2">
      <c r="A27" t="s">
        <v>98</v>
      </c>
      <c r="B27">
        <v>108</v>
      </c>
      <c r="C27">
        <v>8</v>
      </c>
      <c r="D27">
        <v>10</v>
      </c>
    </row>
    <row r="28" spans="1:4" x14ac:dyDescent="0.2">
      <c r="A28" t="s">
        <v>99</v>
      </c>
      <c r="B28">
        <v>144</v>
      </c>
      <c r="C28">
        <v>12</v>
      </c>
      <c r="D28">
        <v>12</v>
      </c>
    </row>
    <row r="29" spans="1:4" x14ac:dyDescent="0.2">
      <c r="A29" t="s">
        <v>100</v>
      </c>
      <c r="B29">
        <v>288</v>
      </c>
      <c r="C29">
        <v>12</v>
      </c>
      <c r="D29">
        <v>18</v>
      </c>
    </row>
    <row r="30" spans="1:4" x14ac:dyDescent="0.2">
      <c r="A30" t="s">
        <v>101</v>
      </c>
      <c r="B30">
        <v>360</v>
      </c>
      <c r="C30">
        <v>12</v>
      </c>
      <c r="D30">
        <v>24</v>
      </c>
    </row>
    <row r="31" spans="1:4" x14ac:dyDescent="0.2">
      <c r="A31" t="s">
        <v>102</v>
      </c>
      <c r="B31">
        <v>756</v>
      </c>
      <c r="C31">
        <v>16</v>
      </c>
      <c r="D31">
        <v>34</v>
      </c>
    </row>
    <row r="32" spans="1:4" x14ac:dyDescent="0.2">
      <c r="A32" t="s">
        <v>103</v>
      </c>
      <c r="B32">
        <v>216</v>
      </c>
      <c r="C32">
        <v>8</v>
      </c>
      <c r="D32">
        <v>10</v>
      </c>
    </row>
    <row r="33" spans="1:4" x14ac:dyDescent="0.2">
      <c r="A33" t="s">
        <v>104</v>
      </c>
      <c r="B33">
        <v>576</v>
      </c>
      <c r="C33">
        <v>8</v>
      </c>
      <c r="D33">
        <v>24</v>
      </c>
    </row>
    <row r="34" spans="1:4" x14ac:dyDescent="0.2">
      <c r="A34" t="s">
        <v>105</v>
      </c>
      <c r="B34">
        <v>864</v>
      </c>
      <c r="C34">
        <v>4</v>
      </c>
      <c r="D34">
        <v>40</v>
      </c>
    </row>
    <row r="35" spans="1:4" x14ac:dyDescent="0.2">
      <c r="A35" t="s">
        <v>106</v>
      </c>
      <c r="B35">
        <v>648</v>
      </c>
      <c r="C35">
        <v>4</v>
      </c>
      <c r="D35">
        <v>32</v>
      </c>
    </row>
    <row r="36" spans="1:4" x14ac:dyDescent="0.2">
      <c r="A36" t="s">
        <v>107</v>
      </c>
      <c r="B36">
        <v>1080</v>
      </c>
      <c r="C36">
        <v>4</v>
      </c>
      <c r="D36">
        <v>54</v>
      </c>
    </row>
    <row r="37" spans="1:4" x14ac:dyDescent="0.2">
      <c r="A37" t="s">
        <v>108</v>
      </c>
      <c r="B37">
        <v>1296</v>
      </c>
      <c r="C37">
        <v>4</v>
      </c>
      <c r="D37">
        <v>46</v>
      </c>
    </row>
    <row r="38" spans="1:4" x14ac:dyDescent="0.2">
      <c r="A38" t="s">
        <v>109</v>
      </c>
      <c r="B38">
        <v>1152</v>
      </c>
      <c r="C38">
        <v>4</v>
      </c>
      <c r="D38">
        <v>36</v>
      </c>
    </row>
    <row r="39" spans="1:4" x14ac:dyDescent="0.2">
      <c r="A39" t="s">
        <v>110</v>
      </c>
      <c r="B39">
        <v>1728</v>
      </c>
      <c r="C39">
        <v>4</v>
      </c>
      <c r="D39">
        <v>64</v>
      </c>
    </row>
    <row r="40" spans="1:4" x14ac:dyDescent="0.2">
      <c r="A40" t="s">
        <v>111</v>
      </c>
      <c r="B40">
        <v>2016</v>
      </c>
      <c r="C40">
        <v>8</v>
      </c>
      <c r="D40">
        <v>54</v>
      </c>
    </row>
    <row r="41" spans="1:4" x14ac:dyDescent="0.2">
      <c r="A41" t="s">
        <v>112</v>
      </c>
      <c r="B41">
        <v>2160</v>
      </c>
      <c r="C41">
        <v>8</v>
      </c>
      <c r="D41">
        <v>64</v>
      </c>
    </row>
    <row r="42" spans="1:4" x14ac:dyDescent="0.2">
      <c r="A42" t="s">
        <v>113</v>
      </c>
      <c r="B42">
        <v>2520</v>
      </c>
      <c r="C42">
        <v>8</v>
      </c>
      <c r="D42">
        <v>50</v>
      </c>
    </row>
    <row r="43" spans="1:4" x14ac:dyDescent="0.2">
      <c r="A43" t="s">
        <v>114</v>
      </c>
      <c r="B43">
        <v>2592</v>
      </c>
      <c r="C43">
        <v>8</v>
      </c>
      <c r="D43">
        <v>36</v>
      </c>
    </row>
    <row r="44" spans="1:4" x14ac:dyDescent="0.2">
      <c r="A44" t="s">
        <v>115</v>
      </c>
      <c r="B44">
        <v>3024</v>
      </c>
      <c r="C44">
        <v>4</v>
      </c>
      <c r="D44">
        <v>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480E6-4FB5-FC40-8899-751F3532BB3A}">
  <dimension ref="A1:I47"/>
  <sheetViews>
    <sheetView workbookViewId="0"/>
  </sheetViews>
  <sheetFormatPr baseColWidth="10" defaultRowHeight="16" x14ac:dyDescent="0.2"/>
  <sheetData>
    <row r="1" spans="1:1" x14ac:dyDescent="0.2">
      <c r="A1" t="s">
        <v>70</v>
      </c>
    </row>
    <row r="2" spans="1:1" x14ac:dyDescent="0.2">
      <c r="A2" t="s">
        <v>71</v>
      </c>
    </row>
    <row r="3" spans="1:1" x14ac:dyDescent="0.2">
      <c r="A3" t="s">
        <v>116</v>
      </c>
    </row>
    <row r="4" spans="1:1" x14ac:dyDescent="0.2">
      <c r="A4" s="5" t="s">
        <v>72</v>
      </c>
    </row>
    <row r="5" spans="1:1" x14ac:dyDescent="0.2">
      <c r="A5" t="s">
        <v>73</v>
      </c>
    </row>
    <row r="6" spans="1:1" x14ac:dyDescent="0.2">
      <c r="A6" s="5" t="s">
        <v>117</v>
      </c>
    </row>
    <row r="7" spans="1:1" x14ac:dyDescent="0.2">
      <c r="A7" t="s">
        <v>75</v>
      </c>
    </row>
    <row r="8" spans="1:1" x14ac:dyDescent="0.2">
      <c r="A8" t="s">
        <v>118</v>
      </c>
    </row>
    <row r="9" spans="1:1" x14ac:dyDescent="0.2">
      <c r="A9" t="s">
        <v>119</v>
      </c>
    </row>
    <row r="10" spans="1:1" x14ac:dyDescent="0.2">
      <c r="A10" t="s">
        <v>78</v>
      </c>
    </row>
    <row r="11" spans="1:1" x14ac:dyDescent="0.2">
      <c r="A11" t="s">
        <v>79</v>
      </c>
    </row>
    <row r="12" spans="1:1" x14ac:dyDescent="0.2">
      <c r="A12" t="s">
        <v>80</v>
      </c>
    </row>
    <row r="13" spans="1:1" x14ac:dyDescent="0.2">
      <c r="A13" t="s">
        <v>81</v>
      </c>
    </row>
    <row r="14" spans="1:1" x14ac:dyDescent="0.2">
      <c r="A14" t="s">
        <v>82</v>
      </c>
    </row>
    <row r="15" spans="1:1" x14ac:dyDescent="0.2">
      <c r="A15" t="s">
        <v>83</v>
      </c>
    </row>
    <row r="16" spans="1:1" x14ac:dyDescent="0.2">
      <c r="A16" t="s">
        <v>84</v>
      </c>
    </row>
    <row r="17" spans="1:9" x14ac:dyDescent="0.2">
      <c r="A17" t="s">
        <v>85</v>
      </c>
    </row>
    <row r="18" spans="1:9" x14ac:dyDescent="0.2">
      <c r="A18" t="s">
        <v>86</v>
      </c>
    </row>
    <row r="19" spans="1:9" x14ac:dyDescent="0.2">
      <c r="A19" t="s">
        <v>120</v>
      </c>
    </row>
    <row r="20" spans="1:9" x14ac:dyDescent="0.2">
      <c r="A20" t="s">
        <v>88</v>
      </c>
    </row>
    <row r="21" spans="1:9" x14ac:dyDescent="0.2">
      <c r="A21" t="s">
        <v>121</v>
      </c>
    </row>
    <row r="22" spans="1:9" x14ac:dyDescent="0.2">
      <c r="A22" t="s">
        <v>122</v>
      </c>
    </row>
    <row r="23" spans="1:9" x14ac:dyDescent="0.2">
      <c r="A23" t="s">
        <v>89</v>
      </c>
    </row>
    <row r="24" spans="1:9" x14ac:dyDescent="0.2">
      <c r="A24" t="s">
        <v>90</v>
      </c>
    </row>
    <row r="25" spans="1:9" x14ac:dyDescent="0.2">
      <c r="A25" t="s">
        <v>123</v>
      </c>
    </row>
    <row r="26" spans="1:9" x14ac:dyDescent="0.2">
      <c r="A26" t="s">
        <v>92</v>
      </c>
    </row>
    <row r="27" spans="1:9" x14ac:dyDescent="0.2">
      <c r="A27" t="s">
        <v>93</v>
      </c>
      <c r="B27" t="s">
        <v>61</v>
      </c>
      <c r="C27" t="s">
        <v>94</v>
      </c>
      <c r="D27" t="s">
        <v>95</v>
      </c>
      <c r="E27" t="s">
        <v>124</v>
      </c>
      <c r="F27" t="s">
        <v>125</v>
      </c>
      <c r="G27" t="s">
        <v>58</v>
      </c>
      <c r="H27" t="s">
        <v>59</v>
      </c>
      <c r="I27" t="s">
        <v>126</v>
      </c>
    </row>
    <row r="28" spans="1:9" x14ac:dyDescent="0.2">
      <c r="A28" t="s">
        <v>96</v>
      </c>
      <c r="B28">
        <v>72</v>
      </c>
      <c r="C28">
        <v>12</v>
      </c>
      <c r="D28">
        <v>6</v>
      </c>
      <c r="E28">
        <v>0</v>
      </c>
      <c r="F28" s="17" t="s">
        <v>127</v>
      </c>
      <c r="G28">
        <v>1</v>
      </c>
      <c r="H28">
        <v>1</v>
      </c>
      <c r="I28" t="s">
        <v>128</v>
      </c>
    </row>
    <row r="29" spans="1:9" x14ac:dyDescent="0.2">
      <c r="A29" t="s">
        <v>97</v>
      </c>
      <c r="B29">
        <v>90</v>
      </c>
      <c r="C29">
        <v>8</v>
      </c>
      <c r="D29">
        <v>10</v>
      </c>
      <c r="E29">
        <v>0</v>
      </c>
      <c r="F29" s="17" t="s">
        <v>129</v>
      </c>
      <c r="G29">
        <v>1</v>
      </c>
      <c r="H29">
        <v>1</v>
      </c>
      <c r="I29" t="s">
        <v>130</v>
      </c>
    </row>
    <row r="30" spans="1:9" x14ac:dyDescent="0.2">
      <c r="A30" t="s">
        <v>98</v>
      </c>
      <c r="B30">
        <v>108</v>
      </c>
      <c r="C30">
        <v>8</v>
      </c>
      <c r="D30">
        <v>10</v>
      </c>
      <c r="E30">
        <v>0</v>
      </c>
      <c r="F30" s="17" t="s">
        <v>131</v>
      </c>
      <c r="G30">
        <v>1</v>
      </c>
      <c r="H30">
        <v>1</v>
      </c>
      <c r="I30" t="s">
        <v>132</v>
      </c>
    </row>
    <row r="31" spans="1:9" x14ac:dyDescent="0.2">
      <c r="A31" t="s">
        <v>99</v>
      </c>
      <c r="B31">
        <v>144</v>
      </c>
      <c r="C31">
        <v>12</v>
      </c>
      <c r="D31">
        <v>12</v>
      </c>
      <c r="E31">
        <v>0</v>
      </c>
      <c r="F31" s="17" t="s">
        <v>133</v>
      </c>
      <c r="G31">
        <v>1</v>
      </c>
      <c r="H31">
        <v>1</v>
      </c>
      <c r="I31" t="s">
        <v>134</v>
      </c>
    </row>
    <row r="32" spans="1:9" x14ac:dyDescent="0.2">
      <c r="A32" t="s">
        <v>100</v>
      </c>
      <c r="B32">
        <v>288</v>
      </c>
      <c r="C32">
        <v>12</v>
      </c>
      <c r="D32">
        <v>18</v>
      </c>
      <c r="E32">
        <v>0</v>
      </c>
      <c r="F32">
        <v>28800.103084167</v>
      </c>
      <c r="G32">
        <v>1</v>
      </c>
      <c r="H32">
        <v>1</v>
      </c>
      <c r="I32" t="s">
        <v>135</v>
      </c>
    </row>
    <row r="33" spans="1:9" x14ac:dyDescent="0.2">
      <c r="A33" t="s">
        <v>101</v>
      </c>
      <c r="B33">
        <v>360</v>
      </c>
      <c r="C33">
        <v>12</v>
      </c>
      <c r="D33">
        <v>24</v>
      </c>
      <c r="E33">
        <v>0</v>
      </c>
      <c r="F33" s="17" t="s">
        <v>551</v>
      </c>
      <c r="G33">
        <v>1</v>
      </c>
      <c r="H33">
        <v>1</v>
      </c>
      <c r="I33" t="s">
        <v>552</v>
      </c>
    </row>
    <row r="34" spans="1:9" x14ac:dyDescent="0.2">
      <c r="A34" t="s">
        <v>105</v>
      </c>
      <c r="B34">
        <v>864</v>
      </c>
      <c r="C34">
        <v>4</v>
      </c>
      <c r="D34">
        <v>62</v>
      </c>
      <c r="E34">
        <v>22</v>
      </c>
      <c r="F34">
        <v>28800.279569999999</v>
      </c>
      <c r="G34">
        <v>1</v>
      </c>
      <c r="H34">
        <v>1</v>
      </c>
      <c r="I34" t="s">
        <v>553</v>
      </c>
    </row>
    <row r="35" spans="1:9" x14ac:dyDescent="0.2">
      <c r="A35" t="s">
        <v>111</v>
      </c>
      <c r="B35">
        <v>2016</v>
      </c>
      <c r="C35">
        <v>8</v>
      </c>
      <c r="D35">
        <v>84</v>
      </c>
      <c r="E35">
        <v>30</v>
      </c>
      <c r="F35" s="17" t="s">
        <v>554</v>
      </c>
      <c r="G35">
        <v>1</v>
      </c>
      <c r="H35">
        <v>1</v>
      </c>
      <c r="I35" t="s">
        <v>555</v>
      </c>
    </row>
    <row r="36" spans="1:9" x14ac:dyDescent="0.2">
      <c r="A36" t="s">
        <v>102</v>
      </c>
      <c r="B36">
        <v>756</v>
      </c>
      <c r="C36">
        <v>16</v>
      </c>
      <c r="D36">
        <v>42</v>
      </c>
      <c r="E36">
        <v>8</v>
      </c>
      <c r="F36" s="17" t="s">
        <v>556</v>
      </c>
      <c r="G36">
        <v>1</v>
      </c>
      <c r="H36">
        <v>1</v>
      </c>
      <c r="I36" t="s">
        <v>557</v>
      </c>
    </row>
    <row r="37" spans="1:9" x14ac:dyDescent="0.2">
      <c r="A37" t="s">
        <v>107</v>
      </c>
      <c r="B37">
        <v>1080</v>
      </c>
      <c r="C37">
        <v>4</v>
      </c>
      <c r="D37">
        <v>82</v>
      </c>
      <c r="E37">
        <v>28</v>
      </c>
      <c r="F37" s="17" t="s">
        <v>558</v>
      </c>
      <c r="G37">
        <v>1</v>
      </c>
      <c r="H37">
        <v>1</v>
      </c>
      <c r="I37" t="s">
        <v>559</v>
      </c>
    </row>
    <row r="38" spans="1:9" x14ac:dyDescent="0.2">
      <c r="A38" t="s">
        <v>112</v>
      </c>
      <c r="B38">
        <v>2160</v>
      </c>
      <c r="C38">
        <v>8</v>
      </c>
      <c r="D38">
        <v>120</v>
      </c>
      <c r="E38">
        <v>56</v>
      </c>
      <c r="F38" s="17" t="s">
        <v>560</v>
      </c>
      <c r="G38">
        <v>1</v>
      </c>
      <c r="H38">
        <v>1</v>
      </c>
      <c r="I38" t="s">
        <v>561</v>
      </c>
    </row>
    <row r="39" spans="1:9" x14ac:dyDescent="0.2">
      <c r="A39" t="s">
        <v>103</v>
      </c>
      <c r="B39">
        <v>216</v>
      </c>
      <c r="C39">
        <v>8</v>
      </c>
      <c r="D39">
        <v>10</v>
      </c>
      <c r="E39">
        <v>0</v>
      </c>
      <c r="F39">
        <v>28800.251061666</v>
      </c>
      <c r="G39">
        <v>1</v>
      </c>
      <c r="H39">
        <v>1</v>
      </c>
      <c r="I39" t="s">
        <v>562</v>
      </c>
    </row>
    <row r="40" spans="1:9" x14ac:dyDescent="0.2">
      <c r="A40" t="s">
        <v>108</v>
      </c>
      <c r="B40">
        <v>1296</v>
      </c>
      <c r="C40">
        <v>4</v>
      </c>
      <c r="D40">
        <v>130</v>
      </c>
      <c r="E40">
        <v>82</v>
      </c>
      <c r="F40" s="17" t="s">
        <v>563</v>
      </c>
      <c r="G40">
        <v>1</v>
      </c>
      <c r="H40">
        <v>1</v>
      </c>
      <c r="I40" t="s">
        <v>564</v>
      </c>
    </row>
    <row r="41" spans="1:9" x14ac:dyDescent="0.2">
      <c r="A41" t="s">
        <v>113</v>
      </c>
      <c r="B41">
        <v>2520</v>
      </c>
      <c r="C41">
        <v>8</v>
      </c>
      <c r="D41">
        <v>60</v>
      </c>
      <c r="E41">
        <v>6</v>
      </c>
      <c r="F41" s="17" t="s">
        <v>565</v>
      </c>
      <c r="G41">
        <v>1</v>
      </c>
      <c r="H41">
        <v>1</v>
      </c>
      <c r="I41" t="s">
        <v>566</v>
      </c>
    </row>
    <row r="42" spans="1:9" x14ac:dyDescent="0.2">
      <c r="A42" t="s">
        <v>104</v>
      </c>
      <c r="B42">
        <v>576</v>
      </c>
      <c r="C42">
        <v>8</v>
      </c>
      <c r="D42">
        <v>24</v>
      </c>
      <c r="E42">
        <v>0</v>
      </c>
      <c r="F42">
        <v>28800.375084250001</v>
      </c>
      <c r="G42">
        <v>1</v>
      </c>
      <c r="H42">
        <v>1</v>
      </c>
      <c r="I42" t="s">
        <v>567</v>
      </c>
    </row>
    <row r="43" spans="1:9" x14ac:dyDescent="0.2">
      <c r="A43" t="s">
        <v>109</v>
      </c>
      <c r="B43">
        <v>1152</v>
      </c>
      <c r="C43">
        <v>4</v>
      </c>
      <c r="D43">
        <v>82</v>
      </c>
      <c r="E43">
        <v>46</v>
      </c>
      <c r="F43" s="17" t="s">
        <v>568</v>
      </c>
      <c r="G43">
        <v>1</v>
      </c>
      <c r="H43">
        <v>1</v>
      </c>
      <c r="I43" t="s">
        <v>569</v>
      </c>
    </row>
    <row r="44" spans="1:9" x14ac:dyDescent="0.2">
      <c r="A44" t="s">
        <v>114</v>
      </c>
      <c r="B44">
        <v>2592</v>
      </c>
      <c r="C44">
        <v>8</v>
      </c>
      <c r="D44">
        <v>136</v>
      </c>
      <c r="E44">
        <v>100</v>
      </c>
      <c r="F44" s="17" t="s">
        <v>570</v>
      </c>
      <c r="G44">
        <v>1</v>
      </c>
      <c r="H44">
        <v>1</v>
      </c>
      <c r="I44" t="s">
        <v>571</v>
      </c>
    </row>
    <row r="45" spans="1:9" x14ac:dyDescent="0.2">
      <c r="A45" t="s">
        <v>106</v>
      </c>
      <c r="B45">
        <v>648</v>
      </c>
      <c r="C45">
        <v>4</v>
      </c>
      <c r="D45">
        <v>40</v>
      </c>
      <c r="E45">
        <v>8</v>
      </c>
      <c r="F45" s="17" t="s">
        <v>573</v>
      </c>
      <c r="G45">
        <v>1</v>
      </c>
      <c r="H45">
        <v>1</v>
      </c>
      <c r="I45" t="s">
        <v>574</v>
      </c>
    </row>
    <row r="46" spans="1:9" x14ac:dyDescent="0.2">
      <c r="A46" t="s">
        <v>110</v>
      </c>
      <c r="B46">
        <v>1728</v>
      </c>
      <c r="C46">
        <v>4</v>
      </c>
      <c r="D46">
        <v>120</v>
      </c>
      <c r="E46">
        <v>56</v>
      </c>
      <c r="F46">
        <v>28802.839518417</v>
      </c>
      <c r="G46">
        <v>1</v>
      </c>
      <c r="H46">
        <v>1</v>
      </c>
      <c r="I46" t="s">
        <v>575</v>
      </c>
    </row>
    <row r="47" spans="1:9" x14ac:dyDescent="0.2">
      <c r="A47" t="s">
        <v>115</v>
      </c>
      <c r="B47">
        <v>3024</v>
      </c>
      <c r="C47">
        <v>4</v>
      </c>
      <c r="D47">
        <v>72</v>
      </c>
      <c r="E47">
        <v>-6</v>
      </c>
      <c r="F47" s="17" t="s">
        <v>576</v>
      </c>
      <c r="G47">
        <v>1</v>
      </c>
      <c r="H47">
        <v>1</v>
      </c>
      <c r="I47" t="s">
        <v>577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D16F6-717B-A64C-B99C-D35D02C614E1}">
  <dimension ref="A1:I44"/>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5" t="s">
        <v>72</v>
      </c>
    </row>
    <row r="4" spans="1:1" x14ac:dyDescent="0.2">
      <c r="A4" t="s">
        <v>73</v>
      </c>
    </row>
    <row r="5" spans="1:1" x14ac:dyDescent="0.2">
      <c r="A5" s="5" t="s">
        <v>136</v>
      </c>
    </row>
    <row r="6" spans="1:1" x14ac:dyDescent="0.2">
      <c r="A6" t="s">
        <v>75</v>
      </c>
    </row>
    <row r="7" spans="1:1" x14ac:dyDescent="0.2">
      <c r="A7" t="s">
        <v>118</v>
      </c>
    </row>
    <row r="8" spans="1:1" x14ac:dyDescent="0.2">
      <c r="A8" s="5"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5" t="s">
        <v>89</v>
      </c>
    </row>
    <row r="21" spans="1:9" x14ac:dyDescent="0.2">
      <c r="A21" t="s">
        <v>90</v>
      </c>
    </row>
    <row r="22" spans="1:9" x14ac:dyDescent="0.2">
      <c r="A22" t="s">
        <v>137</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0.19020685399999501</v>
      </c>
      <c r="G25">
        <v>1</v>
      </c>
      <c r="H25">
        <v>1</v>
      </c>
      <c r="I25" t="s">
        <v>138</v>
      </c>
    </row>
    <row r="26" spans="1:9" x14ac:dyDescent="0.2">
      <c r="A26" t="s">
        <v>97</v>
      </c>
      <c r="B26">
        <v>90</v>
      </c>
      <c r="C26">
        <v>8</v>
      </c>
      <c r="D26">
        <v>10</v>
      </c>
      <c r="E26">
        <v>0</v>
      </c>
      <c r="F26">
        <v>19.342009766</v>
      </c>
      <c r="G26">
        <v>1</v>
      </c>
      <c r="H26">
        <v>1</v>
      </c>
      <c r="I26" t="s">
        <v>139</v>
      </c>
    </row>
    <row r="27" spans="1:9" x14ac:dyDescent="0.2">
      <c r="A27" t="s">
        <v>98</v>
      </c>
      <c r="B27">
        <v>108</v>
      </c>
      <c r="C27">
        <v>8</v>
      </c>
      <c r="D27">
        <v>10</v>
      </c>
      <c r="E27">
        <v>0</v>
      </c>
      <c r="F27">
        <v>33.570045236999903</v>
      </c>
      <c r="G27">
        <v>1</v>
      </c>
      <c r="H27">
        <v>1</v>
      </c>
      <c r="I27" t="s">
        <v>140</v>
      </c>
    </row>
    <row r="28" spans="1:9" x14ac:dyDescent="0.2">
      <c r="A28" t="s">
        <v>99</v>
      </c>
      <c r="B28">
        <v>144</v>
      </c>
      <c r="C28">
        <v>12</v>
      </c>
      <c r="D28">
        <v>12</v>
      </c>
      <c r="E28">
        <v>0</v>
      </c>
      <c r="F28">
        <v>209.939482</v>
      </c>
      <c r="G28">
        <v>1</v>
      </c>
      <c r="H28">
        <v>1</v>
      </c>
      <c r="I28" t="s">
        <v>141</v>
      </c>
    </row>
    <row r="29" spans="1:9" x14ac:dyDescent="0.2">
      <c r="A29" t="s">
        <v>100</v>
      </c>
      <c r="B29">
        <v>288</v>
      </c>
      <c r="C29">
        <v>12</v>
      </c>
      <c r="D29">
        <v>18</v>
      </c>
      <c r="E29">
        <v>0</v>
      </c>
      <c r="F29">
        <v>28800.1216760549</v>
      </c>
      <c r="G29">
        <v>1</v>
      </c>
      <c r="H29">
        <v>1</v>
      </c>
      <c r="I29" t="s">
        <v>142</v>
      </c>
    </row>
    <row r="30" spans="1:9" x14ac:dyDescent="0.2">
      <c r="A30" t="s">
        <v>101</v>
      </c>
      <c r="B30">
        <v>360</v>
      </c>
      <c r="C30">
        <v>12</v>
      </c>
      <c r="D30">
        <v>48</v>
      </c>
      <c r="E30">
        <v>24</v>
      </c>
      <c r="F30">
        <v>28800.142668353899</v>
      </c>
      <c r="G30">
        <v>1</v>
      </c>
      <c r="H30">
        <v>1</v>
      </c>
      <c r="I30" t="s">
        <v>143</v>
      </c>
    </row>
    <row r="31" spans="1:9" x14ac:dyDescent="0.2">
      <c r="A31" t="s">
        <v>102</v>
      </c>
      <c r="B31">
        <v>756</v>
      </c>
      <c r="C31">
        <v>16</v>
      </c>
      <c r="D31">
        <v>86</v>
      </c>
      <c r="E31">
        <v>52</v>
      </c>
      <c r="F31">
        <v>28800.264287779999</v>
      </c>
      <c r="G31">
        <v>1</v>
      </c>
      <c r="H31">
        <v>1</v>
      </c>
      <c r="I31" t="s">
        <v>144</v>
      </c>
    </row>
    <row r="32" spans="1:9" x14ac:dyDescent="0.2">
      <c r="A32" t="s">
        <v>103</v>
      </c>
      <c r="B32">
        <v>216</v>
      </c>
      <c r="C32">
        <v>8</v>
      </c>
      <c r="D32">
        <v>10</v>
      </c>
      <c r="E32">
        <v>0</v>
      </c>
      <c r="F32">
        <v>40.254271372003103</v>
      </c>
      <c r="G32">
        <v>1</v>
      </c>
      <c r="H32">
        <v>1</v>
      </c>
      <c r="I32" t="s">
        <v>145</v>
      </c>
    </row>
    <row r="33" spans="1:9" x14ac:dyDescent="0.2">
      <c r="A33" t="s">
        <v>104</v>
      </c>
      <c r="B33">
        <v>576</v>
      </c>
      <c r="C33">
        <v>8</v>
      </c>
      <c r="D33">
        <v>150</v>
      </c>
      <c r="E33">
        <v>126</v>
      </c>
      <c r="F33">
        <v>28800.135704418</v>
      </c>
      <c r="G33">
        <v>1</v>
      </c>
      <c r="H33">
        <v>1</v>
      </c>
      <c r="I33" t="s">
        <v>146</v>
      </c>
    </row>
    <row r="34" spans="1:9" x14ac:dyDescent="0.2">
      <c r="A34" t="s">
        <v>105</v>
      </c>
      <c r="B34">
        <v>864</v>
      </c>
      <c r="C34">
        <v>4</v>
      </c>
      <c r="D34">
        <v>218</v>
      </c>
      <c r="E34">
        <v>178</v>
      </c>
      <c r="F34">
        <v>28800.149872808899</v>
      </c>
      <c r="G34">
        <v>1</v>
      </c>
      <c r="H34">
        <v>1</v>
      </c>
      <c r="I34" t="s">
        <v>147</v>
      </c>
    </row>
    <row r="35" spans="1:9" x14ac:dyDescent="0.2">
      <c r="A35" t="s">
        <v>106</v>
      </c>
      <c r="B35">
        <v>648</v>
      </c>
      <c r="C35">
        <v>4</v>
      </c>
      <c r="D35">
        <v>164</v>
      </c>
      <c r="E35">
        <v>132</v>
      </c>
      <c r="F35">
        <v>28800.136187473701</v>
      </c>
      <c r="G35">
        <v>1</v>
      </c>
      <c r="H35">
        <v>1</v>
      </c>
      <c r="I35" t="s">
        <v>148</v>
      </c>
    </row>
    <row r="36" spans="1:9" x14ac:dyDescent="0.2">
      <c r="A36" t="s">
        <v>107</v>
      </c>
      <c r="B36">
        <v>1080</v>
      </c>
      <c r="C36">
        <v>4</v>
      </c>
      <c r="D36">
        <v>280</v>
      </c>
      <c r="E36">
        <v>224</v>
      </c>
      <c r="F36">
        <v>28800.185199594998</v>
      </c>
      <c r="G36">
        <v>1</v>
      </c>
      <c r="H36">
        <v>1</v>
      </c>
      <c r="I36" t="s">
        <v>149</v>
      </c>
    </row>
    <row r="37" spans="1:9" x14ac:dyDescent="0.2">
      <c r="A37" t="s">
        <v>108</v>
      </c>
      <c r="B37">
        <v>1296</v>
      </c>
      <c r="C37">
        <v>4</v>
      </c>
      <c r="D37">
        <v>326</v>
      </c>
      <c r="E37">
        <v>276</v>
      </c>
      <c r="F37">
        <v>28800.304981355999</v>
      </c>
      <c r="G37">
        <v>1</v>
      </c>
      <c r="H37">
        <v>1</v>
      </c>
      <c r="I37" t="s">
        <v>150</v>
      </c>
    </row>
    <row r="38" spans="1:9" x14ac:dyDescent="0.2">
      <c r="A38" t="s">
        <v>109</v>
      </c>
      <c r="B38">
        <v>1152</v>
      </c>
      <c r="C38">
        <v>4</v>
      </c>
      <c r="D38">
        <v>296</v>
      </c>
      <c r="E38">
        <v>254</v>
      </c>
      <c r="F38">
        <v>28800.229489412999</v>
      </c>
      <c r="G38">
        <v>1</v>
      </c>
      <c r="H38">
        <v>1</v>
      </c>
      <c r="I38" t="s">
        <v>151</v>
      </c>
    </row>
    <row r="39" spans="1:9" x14ac:dyDescent="0.2">
      <c r="A39" t="s">
        <v>110</v>
      </c>
      <c r="B39">
        <v>1728</v>
      </c>
      <c r="C39">
        <v>4</v>
      </c>
      <c r="D39">
        <v>422</v>
      </c>
      <c r="E39">
        <v>358</v>
      </c>
      <c r="F39">
        <v>28800.354668099899</v>
      </c>
      <c r="G39">
        <v>1</v>
      </c>
      <c r="H39">
        <v>1</v>
      </c>
      <c r="I39" t="s">
        <v>152</v>
      </c>
    </row>
    <row r="40" spans="1:9" x14ac:dyDescent="0.2">
      <c r="A40" t="s">
        <v>111</v>
      </c>
      <c r="B40">
        <v>2016</v>
      </c>
      <c r="C40">
        <v>8</v>
      </c>
      <c r="D40">
        <v>274</v>
      </c>
      <c r="E40">
        <v>220</v>
      </c>
      <c r="F40">
        <v>28800.406864292901</v>
      </c>
      <c r="G40">
        <v>1</v>
      </c>
      <c r="H40">
        <v>1</v>
      </c>
      <c r="I40" t="s">
        <v>153</v>
      </c>
    </row>
    <row r="41" spans="1:9" x14ac:dyDescent="0.2">
      <c r="A41" t="s">
        <v>112</v>
      </c>
      <c r="B41">
        <v>2160</v>
      </c>
      <c r="C41">
        <v>8</v>
      </c>
      <c r="D41">
        <v>540</v>
      </c>
      <c r="E41">
        <v>476</v>
      </c>
      <c r="F41">
        <v>28800.392328403799</v>
      </c>
      <c r="G41">
        <v>1</v>
      </c>
      <c r="H41">
        <v>1</v>
      </c>
      <c r="I41" t="s">
        <v>154</v>
      </c>
    </row>
    <row r="42" spans="1:9" x14ac:dyDescent="0.2">
      <c r="A42" t="s">
        <v>113</v>
      </c>
      <c r="B42">
        <v>2520</v>
      </c>
      <c r="C42">
        <v>8</v>
      </c>
      <c r="D42">
        <v>270</v>
      </c>
      <c r="E42">
        <v>216</v>
      </c>
      <c r="F42">
        <v>28800.549342364</v>
      </c>
      <c r="G42">
        <v>1</v>
      </c>
      <c r="H42">
        <v>1</v>
      </c>
      <c r="I42" t="s">
        <v>155</v>
      </c>
    </row>
    <row r="43" spans="1:9" x14ac:dyDescent="0.2">
      <c r="A43" t="s">
        <v>114</v>
      </c>
      <c r="B43">
        <v>2592</v>
      </c>
      <c r="C43">
        <v>8</v>
      </c>
      <c r="D43">
        <v>680</v>
      </c>
      <c r="E43">
        <v>644</v>
      </c>
      <c r="F43">
        <v>28800.454601064299</v>
      </c>
      <c r="G43">
        <v>1</v>
      </c>
      <c r="H43">
        <v>1</v>
      </c>
      <c r="I43" t="s">
        <v>156</v>
      </c>
    </row>
    <row r="44" spans="1:9" x14ac:dyDescent="0.2">
      <c r="A44" t="s">
        <v>115</v>
      </c>
      <c r="B44">
        <v>3024</v>
      </c>
      <c r="C44">
        <v>4</v>
      </c>
      <c r="D44">
        <v>858</v>
      </c>
      <c r="E44">
        <v>774</v>
      </c>
      <c r="F44">
        <v>28800.594927780301</v>
      </c>
      <c r="G44">
        <v>1</v>
      </c>
      <c r="H44">
        <v>1</v>
      </c>
      <c r="I44" t="s">
        <v>157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380E6-4678-E04E-A73D-AB43DFA15566}">
  <dimension ref="A1:I44"/>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158</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159</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0</v>
      </c>
      <c r="E25">
        <v>-6</v>
      </c>
      <c r="F25">
        <v>1.2201688005006799E-2</v>
      </c>
      <c r="G25">
        <v>1</v>
      </c>
      <c r="H25">
        <v>1</v>
      </c>
      <c r="I25" t="s">
        <v>160</v>
      </c>
    </row>
    <row r="26" spans="1:9" x14ac:dyDescent="0.2">
      <c r="A26" t="s">
        <v>97</v>
      </c>
      <c r="B26">
        <v>90</v>
      </c>
      <c r="C26">
        <v>8</v>
      </c>
      <c r="D26">
        <v>0</v>
      </c>
      <c r="E26">
        <v>-10</v>
      </c>
      <c r="F26">
        <v>1.31719369965139E-2</v>
      </c>
      <c r="G26">
        <v>1</v>
      </c>
      <c r="H26">
        <v>1</v>
      </c>
      <c r="I26" t="s">
        <v>161</v>
      </c>
    </row>
    <row r="27" spans="1:9" x14ac:dyDescent="0.2">
      <c r="A27" t="s">
        <v>98</v>
      </c>
      <c r="B27">
        <v>108</v>
      </c>
      <c r="C27">
        <v>8</v>
      </c>
      <c r="D27">
        <v>0</v>
      </c>
      <c r="E27">
        <v>-10</v>
      </c>
      <c r="F27">
        <v>1.3231035991339001E-2</v>
      </c>
      <c r="G27">
        <v>1</v>
      </c>
      <c r="H27">
        <v>1</v>
      </c>
      <c r="I27" t="s">
        <v>162</v>
      </c>
    </row>
    <row r="28" spans="1:9" x14ac:dyDescent="0.2">
      <c r="A28" t="s">
        <v>99</v>
      </c>
      <c r="B28">
        <v>144</v>
      </c>
      <c r="C28">
        <v>12</v>
      </c>
      <c r="D28">
        <v>0</v>
      </c>
      <c r="E28">
        <v>-12</v>
      </c>
      <c r="F28">
        <v>1.9115003000479101E-2</v>
      </c>
      <c r="G28">
        <v>1</v>
      </c>
      <c r="H28">
        <v>1</v>
      </c>
      <c r="I28" t="s">
        <v>163</v>
      </c>
    </row>
    <row r="29" spans="1:9" x14ac:dyDescent="0.2">
      <c r="A29" t="s">
        <v>100</v>
      </c>
      <c r="B29">
        <v>288</v>
      </c>
      <c r="C29">
        <v>12</v>
      </c>
      <c r="D29">
        <v>0</v>
      </c>
      <c r="E29">
        <v>-18</v>
      </c>
      <c r="F29">
        <v>3.8316631005727603E-2</v>
      </c>
      <c r="G29">
        <v>1</v>
      </c>
      <c r="H29">
        <v>1</v>
      </c>
      <c r="I29" t="s">
        <v>164</v>
      </c>
    </row>
    <row r="30" spans="1:9" x14ac:dyDescent="0.2">
      <c r="A30" t="s">
        <v>101</v>
      </c>
      <c r="B30">
        <v>360</v>
      </c>
      <c r="C30">
        <v>12</v>
      </c>
      <c r="D30">
        <v>0</v>
      </c>
      <c r="E30">
        <v>-24</v>
      </c>
      <c r="F30">
        <v>4.0069723007036297E-2</v>
      </c>
      <c r="G30">
        <v>1</v>
      </c>
      <c r="H30">
        <v>1</v>
      </c>
      <c r="I30" t="s">
        <v>165</v>
      </c>
    </row>
    <row r="31" spans="1:9" x14ac:dyDescent="0.2">
      <c r="A31" t="s">
        <v>102</v>
      </c>
      <c r="B31">
        <v>756</v>
      </c>
      <c r="C31">
        <v>16</v>
      </c>
      <c r="D31">
        <v>0</v>
      </c>
      <c r="E31">
        <v>-34</v>
      </c>
      <c r="F31">
        <v>0.13509333199181101</v>
      </c>
      <c r="G31">
        <v>1</v>
      </c>
      <c r="H31">
        <v>1</v>
      </c>
      <c r="I31" t="s">
        <v>166</v>
      </c>
    </row>
    <row r="32" spans="1:9" x14ac:dyDescent="0.2">
      <c r="A32" t="s">
        <v>103</v>
      </c>
      <c r="B32">
        <v>216</v>
      </c>
      <c r="C32">
        <v>8</v>
      </c>
      <c r="D32">
        <v>12</v>
      </c>
      <c r="E32">
        <v>2</v>
      </c>
      <c r="F32">
        <v>3.09503349999431E-2</v>
      </c>
      <c r="G32">
        <v>1</v>
      </c>
      <c r="H32">
        <v>1</v>
      </c>
      <c r="I32" t="s">
        <v>167</v>
      </c>
    </row>
    <row r="33" spans="1:9" x14ac:dyDescent="0.2">
      <c r="A33" t="s">
        <v>104</v>
      </c>
      <c r="B33">
        <v>576</v>
      </c>
      <c r="C33">
        <v>8</v>
      </c>
      <c r="D33">
        <v>0</v>
      </c>
      <c r="E33">
        <v>-24</v>
      </c>
      <c r="F33">
        <v>6.6685669997241306E-2</v>
      </c>
      <c r="G33">
        <v>1</v>
      </c>
      <c r="H33">
        <v>1</v>
      </c>
      <c r="I33" t="s">
        <v>168</v>
      </c>
    </row>
    <row r="34" spans="1:9" x14ac:dyDescent="0.2">
      <c r="A34" t="s">
        <v>105</v>
      </c>
      <c r="B34">
        <v>864</v>
      </c>
      <c r="C34">
        <v>4</v>
      </c>
      <c r="D34">
        <v>0</v>
      </c>
      <c r="E34">
        <v>-40</v>
      </c>
      <c r="F34">
        <v>9.0762637002626406E-2</v>
      </c>
      <c r="G34">
        <v>1</v>
      </c>
      <c r="H34">
        <v>1</v>
      </c>
      <c r="I34" t="s">
        <v>169</v>
      </c>
    </row>
    <row r="35" spans="1:9" x14ac:dyDescent="0.2">
      <c r="A35" t="s">
        <v>106</v>
      </c>
      <c r="B35">
        <v>648</v>
      </c>
      <c r="C35">
        <v>4</v>
      </c>
      <c r="D35">
        <v>0</v>
      </c>
      <c r="E35">
        <v>-32</v>
      </c>
      <c r="F35">
        <v>6.1783575001754798E-2</v>
      </c>
      <c r="G35">
        <v>1</v>
      </c>
      <c r="H35">
        <v>1</v>
      </c>
      <c r="I35" t="s">
        <v>170</v>
      </c>
    </row>
    <row r="36" spans="1:9" x14ac:dyDescent="0.2">
      <c r="A36" t="s">
        <v>107</v>
      </c>
      <c r="B36">
        <v>1080</v>
      </c>
      <c r="C36">
        <v>4</v>
      </c>
      <c r="D36">
        <v>0</v>
      </c>
      <c r="E36">
        <v>-56</v>
      </c>
      <c r="F36">
        <v>0.11599104100605399</v>
      </c>
      <c r="G36">
        <v>1</v>
      </c>
      <c r="H36">
        <v>1</v>
      </c>
      <c r="I36" t="s">
        <v>171</v>
      </c>
    </row>
    <row r="37" spans="1:9" x14ac:dyDescent="0.2">
      <c r="A37" t="s">
        <v>108</v>
      </c>
      <c r="B37">
        <v>1296</v>
      </c>
      <c r="C37">
        <v>4</v>
      </c>
      <c r="D37">
        <v>0</v>
      </c>
      <c r="E37">
        <v>-50</v>
      </c>
      <c r="F37">
        <v>0.14413925098779101</v>
      </c>
      <c r="G37">
        <v>1</v>
      </c>
      <c r="H37">
        <v>1</v>
      </c>
      <c r="I37" t="s">
        <v>172</v>
      </c>
    </row>
    <row r="38" spans="1:9" x14ac:dyDescent="0.2">
      <c r="A38" t="s">
        <v>109</v>
      </c>
      <c r="B38">
        <v>1152</v>
      </c>
      <c r="C38">
        <v>4</v>
      </c>
      <c r="D38">
        <v>0</v>
      </c>
      <c r="E38">
        <v>-42</v>
      </c>
      <c r="F38">
        <v>0.12936940199870101</v>
      </c>
      <c r="G38">
        <v>1</v>
      </c>
      <c r="H38">
        <v>1</v>
      </c>
      <c r="I38" t="s">
        <v>173</v>
      </c>
    </row>
    <row r="39" spans="1:9" x14ac:dyDescent="0.2">
      <c r="A39" t="s">
        <v>110</v>
      </c>
      <c r="B39">
        <v>1728</v>
      </c>
      <c r="C39">
        <v>4</v>
      </c>
      <c r="D39">
        <v>0</v>
      </c>
      <c r="E39">
        <v>-64</v>
      </c>
      <c r="F39">
        <v>0.22505406801064901</v>
      </c>
      <c r="G39">
        <v>1</v>
      </c>
      <c r="H39">
        <v>1</v>
      </c>
      <c r="I39" t="s">
        <v>174</v>
      </c>
    </row>
    <row r="40" spans="1:9" x14ac:dyDescent="0.2">
      <c r="A40" t="s">
        <v>111</v>
      </c>
      <c r="B40">
        <v>2016</v>
      </c>
      <c r="C40">
        <v>8</v>
      </c>
      <c r="D40">
        <v>0</v>
      </c>
      <c r="E40">
        <v>-54</v>
      </c>
      <c r="F40">
        <v>0.30991402998915801</v>
      </c>
      <c r="G40">
        <v>1</v>
      </c>
      <c r="H40">
        <v>1</v>
      </c>
      <c r="I40" t="s">
        <v>175</v>
      </c>
    </row>
    <row r="41" spans="1:9" x14ac:dyDescent="0.2">
      <c r="A41" t="s">
        <v>112</v>
      </c>
      <c r="B41">
        <v>2160</v>
      </c>
      <c r="C41">
        <v>8</v>
      </c>
      <c r="D41">
        <v>0</v>
      </c>
      <c r="E41">
        <v>-64</v>
      </c>
      <c r="F41">
        <v>0.36932217600406098</v>
      </c>
      <c r="G41">
        <v>1</v>
      </c>
      <c r="H41">
        <v>1</v>
      </c>
      <c r="I41" t="s">
        <v>176</v>
      </c>
    </row>
    <row r="42" spans="1:9" x14ac:dyDescent="0.2">
      <c r="A42" t="s">
        <v>113</v>
      </c>
      <c r="B42">
        <v>2520</v>
      </c>
      <c r="C42">
        <v>8</v>
      </c>
      <c r="D42">
        <v>0</v>
      </c>
      <c r="E42">
        <v>-54</v>
      </c>
      <c r="F42">
        <v>0.43741424000472701</v>
      </c>
      <c r="G42">
        <v>1</v>
      </c>
      <c r="H42">
        <v>1</v>
      </c>
      <c r="I42" t="s">
        <v>177</v>
      </c>
    </row>
    <row r="43" spans="1:9" x14ac:dyDescent="0.2">
      <c r="A43" t="s">
        <v>114</v>
      </c>
      <c r="B43">
        <v>2592</v>
      </c>
      <c r="C43">
        <v>8</v>
      </c>
      <c r="D43">
        <v>0</v>
      </c>
      <c r="E43">
        <v>-36</v>
      </c>
      <c r="F43">
        <v>0.46542935600155</v>
      </c>
      <c r="G43">
        <v>1</v>
      </c>
      <c r="H43">
        <v>1</v>
      </c>
      <c r="I43" t="s">
        <v>178</v>
      </c>
    </row>
    <row r="44" spans="1:9" x14ac:dyDescent="0.2">
      <c r="A44" t="s">
        <v>115</v>
      </c>
      <c r="B44">
        <v>3024</v>
      </c>
      <c r="C44">
        <v>4</v>
      </c>
      <c r="D44">
        <v>0</v>
      </c>
      <c r="E44">
        <v>-84</v>
      </c>
      <c r="F44">
        <v>0.572076782991644</v>
      </c>
      <c r="G44">
        <v>1</v>
      </c>
      <c r="H44">
        <v>1</v>
      </c>
      <c r="I44"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0F65-B8CD-9B47-B167-6C9F071F03B6}">
  <dimension ref="A1:I50"/>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184</v>
      </c>
    </row>
    <row r="26" spans="1:9" x14ac:dyDescent="0.2">
      <c r="A26" t="s">
        <v>185</v>
      </c>
    </row>
    <row r="27" spans="1:9" x14ac:dyDescent="0.2">
      <c r="A27" t="s">
        <v>186</v>
      </c>
    </row>
    <row r="28" spans="1:9" x14ac:dyDescent="0.2">
      <c r="A28" t="s">
        <v>187</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43.458912516944103</v>
      </c>
      <c r="G31">
        <v>9279</v>
      </c>
      <c r="H31">
        <v>10000</v>
      </c>
      <c r="I31" t="s">
        <v>188</v>
      </c>
    </row>
    <row r="32" spans="1:9" x14ac:dyDescent="0.2">
      <c r="A32" t="s">
        <v>97</v>
      </c>
      <c r="B32">
        <v>90</v>
      </c>
      <c r="C32">
        <v>8</v>
      </c>
      <c r="D32">
        <v>10</v>
      </c>
      <c r="E32">
        <v>0</v>
      </c>
      <c r="F32">
        <v>50.427571890875697</v>
      </c>
      <c r="G32">
        <v>7524</v>
      </c>
      <c r="H32">
        <v>10000</v>
      </c>
      <c r="I32" t="s">
        <v>189</v>
      </c>
    </row>
    <row r="33" spans="1:9" x14ac:dyDescent="0.2">
      <c r="A33" t="s">
        <v>98</v>
      </c>
      <c r="B33">
        <v>108</v>
      </c>
      <c r="C33">
        <v>8</v>
      </c>
      <c r="D33">
        <v>10</v>
      </c>
      <c r="E33">
        <v>0</v>
      </c>
      <c r="F33">
        <v>60.401312255300503</v>
      </c>
      <c r="G33">
        <v>1535</v>
      </c>
      <c r="H33">
        <v>10000</v>
      </c>
      <c r="I33" t="s">
        <v>190</v>
      </c>
    </row>
    <row r="34" spans="1:9" x14ac:dyDescent="0.2">
      <c r="A34" t="s">
        <v>99</v>
      </c>
      <c r="B34">
        <v>144</v>
      </c>
      <c r="C34">
        <v>12</v>
      </c>
      <c r="D34">
        <v>12</v>
      </c>
      <c r="E34">
        <v>0</v>
      </c>
      <c r="F34">
        <v>78.297852490097199</v>
      </c>
      <c r="G34">
        <v>6426</v>
      </c>
      <c r="H34">
        <v>10000</v>
      </c>
      <c r="I34" t="s">
        <v>191</v>
      </c>
    </row>
    <row r="35" spans="1:9" x14ac:dyDescent="0.2">
      <c r="A35" t="s">
        <v>100</v>
      </c>
      <c r="B35">
        <v>288</v>
      </c>
      <c r="C35">
        <v>12</v>
      </c>
      <c r="D35">
        <v>18</v>
      </c>
      <c r="E35">
        <v>0</v>
      </c>
      <c r="F35">
        <v>141.435008610598</v>
      </c>
      <c r="G35">
        <v>195</v>
      </c>
      <c r="H35">
        <v>10000</v>
      </c>
      <c r="I35" t="s">
        <v>192</v>
      </c>
    </row>
    <row r="36" spans="1:9" x14ac:dyDescent="0.2">
      <c r="A36" t="s">
        <v>101</v>
      </c>
      <c r="B36">
        <v>360</v>
      </c>
      <c r="C36">
        <v>12</v>
      </c>
      <c r="D36">
        <v>24</v>
      </c>
      <c r="E36">
        <v>0</v>
      </c>
      <c r="F36">
        <v>152.446878725197</v>
      </c>
      <c r="G36">
        <v>29</v>
      </c>
      <c r="H36">
        <v>10000</v>
      </c>
      <c r="I36" t="s">
        <v>193</v>
      </c>
    </row>
    <row r="37" spans="1:9" x14ac:dyDescent="0.2">
      <c r="A37" t="s">
        <v>102</v>
      </c>
      <c r="B37">
        <v>756</v>
      </c>
      <c r="C37">
        <v>16</v>
      </c>
      <c r="D37">
        <v>42</v>
      </c>
      <c r="E37">
        <v>8</v>
      </c>
      <c r="F37">
        <v>863.02037689089696</v>
      </c>
      <c r="G37">
        <v>1</v>
      </c>
      <c r="H37">
        <v>10000</v>
      </c>
      <c r="I37" t="s">
        <v>194</v>
      </c>
    </row>
    <row r="38" spans="1:9" x14ac:dyDescent="0.2">
      <c r="A38" t="s">
        <v>103</v>
      </c>
      <c r="B38">
        <v>216</v>
      </c>
      <c r="C38">
        <v>8</v>
      </c>
      <c r="D38">
        <v>10</v>
      </c>
      <c r="E38">
        <v>0</v>
      </c>
      <c r="F38">
        <v>60.584178903140099</v>
      </c>
      <c r="G38">
        <v>4398</v>
      </c>
      <c r="H38">
        <v>10000</v>
      </c>
      <c r="I38" t="s">
        <v>195</v>
      </c>
    </row>
    <row r="39" spans="1:9" x14ac:dyDescent="0.2">
      <c r="A39" t="s">
        <v>104</v>
      </c>
      <c r="B39">
        <v>576</v>
      </c>
      <c r="C39">
        <v>8</v>
      </c>
      <c r="D39">
        <v>24</v>
      </c>
      <c r="E39">
        <v>0</v>
      </c>
      <c r="F39">
        <v>377.36744858697</v>
      </c>
      <c r="G39">
        <v>3</v>
      </c>
      <c r="H39">
        <v>10000</v>
      </c>
      <c r="I39" t="s">
        <v>196</v>
      </c>
    </row>
    <row r="40" spans="1:9" x14ac:dyDescent="0.2">
      <c r="A40" t="s">
        <v>105</v>
      </c>
      <c r="B40">
        <v>864</v>
      </c>
      <c r="C40">
        <v>4</v>
      </c>
      <c r="D40">
        <v>46</v>
      </c>
      <c r="E40">
        <v>6</v>
      </c>
      <c r="F40">
        <v>1285.31654301192</v>
      </c>
      <c r="G40">
        <v>1</v>
      </c>
      <c r="H40">
        <v>10000</v>
      </c>
      <c r="I40" t="s">
        <v>197</v>
      </c>
    </row>
    <row r="41" spans="1:9" x14ac:dyDescent="0.2">
      <c r="A41" t="s">
        <v>106</v>
      </c>
      <c r="B41">
        <v>648</v>
      </c>
      <c r="C41">
        <v>4</v>
      </c>
      <c r="D41">
        <v>38</v>
      </c>
      <c r="E41">
        <v>6</v>
      </c>
      <c r="F41">
        <v>528.88374563399702</v>
      </c>
      <c r="G41">
        <v>1</v>
      </c>
      <c r="H41">
        <v>10000</v>
      </c>
      <c r="I41" t="s">
        <v>198</v>
      </c>
    </row>
    <row r="42" spans="1:9" x14ac:dyDescent="0.2">
      <c r="A42" t="s">
        <v>107</v>
      </c>
      <c r="B42">
        <v>1080</v>
      </c>
      <c r="C42">
        <v>4</v>
      </c>
      <c r="D42">
        <v>86</v>
      </c>
      <c r="E42">
        <v>30</v>
      </c>
      <c r="F42">
        <v>2409.4302368313001</v>
      </c>
      <c r="G42">
        <v>1</v>
      </c>
      <c r="H42">
        <v>10000</v>
      </c>
      <c r="I42" t="s">
        <v>199</v>
      </c>
    </row>
    <row r="43" spans="1:9" x14ac:dyDescent="0.2">
      <c r="A43" t="s">
        <v>108</v>
      </c>
      <c r="B43">
        <v>1296</v>
      </c>
      <c r="C43">
        <v>4</v>
      </c>
      <c r="D43">
        <v>130</v>
      </c>
      <c r="E43">
        <v>80</v>
      </c>
      <c r="F43">
        <v>4687.67869774065</v>
      </c>
      <c r="G43">
        <v>2</v>
      </c>
      <c r="H43">
        <v>10000</v>
      </c>
      <c r="I43" t="s">
        <v>200</v>
      </c>
    </row>
    <row r="44" spans="1:9" x14ac:dyDescent="0.2">
      <c r="A44" t="s">
        <v>109</v>
      </c>
      <c r="B44">
        <v>1152</v>
      </c>
      <c r="C44">
        <v>4</v>
      </c>
      <c r="D44">
        <v>76</v>
      </c>
      <c r="E44">
        <v>34</v>
      </c>
      <c r="F44">
        <v>3202.7105172849201</v>
      </c>
      <c r="G44">
        <v>2</v>
      </c>
      <c r="H44">
        <v>10000</v>
      </c>
      <c r="I44" t="s">
        <v>201</v>
      </c>
    </row>
    <row r="45" spans="1:9" x14ac:dyDescent="0.2">
      <c r="A45" t="s">
        <v>110</v>
      </c>
      <c r="B45">
        <v>1728</v>
      </c>
      <c r="C45">
        <v>4</v>
      </c>
      <c r="D45">
        <v>158</v>
      </c>
      <c r="E45">
        <v>94</v>
      </c>
      <c r="F45">
        <v>15117.356568040301</v>
      </c>
      <c r="G45">
        <v>1</v>
      </c>
      <c r="H45">
        <v>10000</v>
      </c>
      <c r="I45" t="s">
        <v>202</v>
      </c>
    </row>
    <row r="46" spans="1:9" x14ac:dyDescent="0.2">
      <c r="A46" t="s">
        <v>111</v>
      </c>
      <c r="B46">
        <v>2016</v>
      </c>
      <c r="C46">
        <v>8</v>
      </c>
      <c r="D46">
        <v>72</v>
      </c>
      <c r="E46">
        <v>18</v>
      </c>
      <c r="F46">
        <v>4144.9037410528399</v>
      </c>
      <c r="G46">
        <v>1</v>
      </c>
      <c r="H46">
        <v>10000</v>
      </c>
      <c r="I46" t="s">
        <v>203</v>
      </c>
    </row>
    <row r="47" spans="1:9" x14ac:dyDescent="0.2">
      <c r="A47" t="s">
        <v>112</v>
      </c>
      <c r="B47">
        <v>2160</v>
      </c>
      <c r="C47">
        <v>8</v>
      </c>
      <c r="D47">
        <v>158</v>
      </c>
      <c r="E47">
        <v>94</v>
      </c>
      <c r="F47">
        <v>31960.659111233799</v>
      </c>
      <c r="G47">
        <v>1</v>
      </c>
      <c r="H47">
        <v>10000</v>
      </c>
      <c r="I47" t="s">
        <v>204</v>
      </c>
    </row>
    <row r="48" spans="1:9" x14ac:dyDescent="0.2">
      <c r="A48" t="s">
        <v>113</v>
      </c>
      <c r="B48">
        <v>2520</v>
      </c>
      <c r="C48">
        <v>8</v>
      </c>
      <c r="D48">
        <v>68</v>
      </c>
      <c r="E48">
        <v>14</v>
      </c>
      <c r="F48">
        <v>6691.4208752429104</v>
      </c>
      <c r="G48">
        <v>1</v>
      </c>
      <c r="H48">
        <v>10000</v>
      </c>
      <c r="I48" t="s">
        <v>205</v>
      </c>
    </row>
    <row r="49" spans="1:9" x14ac:dyDescent="0.2">
      <c r="A49" t="s">
        <v>114</v>
      </c>
      <c r="B49">
        <v>2592</v>
      </c>
      <c r="C49">
        <v>8</v>
      </c>
      <c r="D49">
        <v>62</v>
      </c>
      <c r="E49">
        <v>26</v>
      </c>
      <c r="F49">
        <v>9996.1552195590903</v>
      </c>
      <c r="G49">
        <v>1</v>
      </c>
      <c r="H49">
        <v>10000</v>
      </c>
      <c r="I49" t="s">
        <v>206</v>
      </c>
    </row>
    <row r="50" spans="1:9" x14ac:dyDescent="0.2">
      <c r="A50" t="s">
        <v>115</v>
      </c>
      <c r="B50">
        <v>3024</v>
      </c>
      <c r="C50">
        <v>4</v>
      </c>
      <c r="D50">
        <v>152</v>
      </c>
      <c r="E50">
        <v>68</v>
      </c>
      <c r="F50">
        <v>55303.274950175997</v>
      </c>
      <c r="G50">
        <v>1</v>
      </c>
      <c r="H50">
        <v>10000</v>
      </c>
      <c r="I50" t="s">
        <v>207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64890-19C3-3842-B821-2663C6694C19}">
  <dimension ref="A1:I50"/>
  <sheetViews>
    <sheetView topLeftCell="A20"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208</v>
      </c>
    </row>
    <row r="26" spans="1:9" x14ac:dyDescent="0.2">
      <c r="A26" t="s">
        <v>185</v>
      </c>
    </row>
    <row r="27" spans="1:9" x14ac:dyDescent="0.2">
      <c r="A27" t="s">
        <v>209</v>
      </c>
    </row>
    <row r="28" spans="1:9" x14ac:dyDescent="0.2">
      <c r="A28" t="s">
        <v>210</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13.682856991887</v>
      </c>
      <c r="G31">
        <v>9680</v>
      </c>
      <c r="H31">
        <v>10000</v>
      </c>
      <c r="I31" t="s">
        <v>211</v>
      </c>
    </row>
    <row r="32" spans="1:9" x14ac:dyDescent="0.2">
      <c r="A32" t="s">
        <v>97</v>
      </c>
      <c r="B32">
        <v>90</v>
      </c>
      <c r="C32">
        <v>8</v>
      </c>
      <c r="D32">
        <v>10</v>
      </c>
      <c r="E32">
        <v>0</v>
      </c>
      <c r="F32">
        <v>16.528751000761901</v>
      </c>
      <c r="G32">
        <v>9643</v>
      </c>
      <c r="H32">
        <v>10000</v>
      </c>
      <c r="I32" t="s">
        <v>212</v>
      </c>
    </row>
    <row r="33" spans="1:9" x14ac:dyDescent="0.2">
      <c r="A33" t="s">
        <v>98</v>
      </c>
      <c r="B33">
        <v>108</v>
      </c>
      <c r="C33">
        <v>8</v>
      </c>
      <c r="D33">
        <v>10</v>
      </c>
      <c r="E33">
        <v>0</v>
      </c>
      <c r="F33">
        <v>19.4618858322501</v>
      </c>
      <c r="G33">
        <v>2216</v>
      </c>
      <c r="H33">
        <v>10000</v>
      </c>
      <c r="I33" t="s">
        <v>213</v>
      </c>
    </row>
    <row r="34" spans="1:9" x14ac:dyDescent="0.2">
      <c r="A34" t="s">
        <v>99</v>
      </c>
      <c r="B34">
        <v>144</v>
      </c>
      <c r="C34">
        <v>12</v>
      </c>
      <c r="D34">
        <v>12</v>
      </c>
      <c r="E34">
        <v>0</v>
      </c>
      <c r="F34">
        <v>26.303251519799201</v>
      </c>
      <c r="G34">
        <v>8375</v>
      </c>
      <c r="H34">
        <v>10000</v>
      </c>
      <c r="I34" t="s">
        <v>214</v>
      </c>
    </row>
    <row r="35" spans="1:9" x14ac:dyDescent="0.2">
      <c r="A35" t="s">
        <v>100</v>
      </c>
      <c r="B35">
        <v>288</v>
      </c>
      <c r="C35">
        <v>12</v>
      </c>
      <c r="D35">
        <v>18</v>
      </c>
      <c r="E35">
        <v>0</v>
      </c>
      <c r="F35">
        <v>70.315247818827601</v>
      </c>
      <c r="G35">
        <v>418</v>
      </c>
      <c r="H35">
        <v>10000</v>
      </c>
      <c r="I35" t="s">
        <v>215</v>
      </c>
    </row>
    <row r="36" spans="1:9" x14ac:dyDescent="0.2">
      <c r="A36" t="s">
        <v>101</v>
      </c>
      <c r="B36">
        <v>360</v>
      </c>
      <c r="C36">
        <v>12</v>
      </c>
      <c r="D36">
        <v>24</v>
      </c>
      <c r="E36">
        <v>0</v>
      </c>
      <c r="F36">
        <v>97.053491286933394</v>
      </c>
      <c r="G36">
        <v>133</v>
      </c>
      <c r="H36">
        <v>10000</v>
      </c>
      <c r="I36" t="s">
        <v>216</v>
      </c>
    </row>
    <row r="37" spans="1:9" x14ac:dyDescent="0.2">
      <c r="A37" t="s">
        <v>102</v>
      </c>
      <c r="B37">
        <v>756</v>
      </c>
      <c r="C37">
        <v>16</v>
      </c>
      <c r="D37">
        <v>40</v>
      </c>
      <c r="E37">
        <v>6</v>
      </c>
      <c r="F37">
        <v>695.618352666497</v>
      </c>
      <c r="G37">
        <v>3</v>
      </c>
      <c r="H37">
        <v>10000</v>
      </c>
      <c r="I37" t="s">
        <v>217</v>
      </c>
    </row>
    <row r="38" spans="1:9" x14ac:dyDescent="0.2">
      <c r="A38" t="s">
        <v>103</v>
      </c>
      <c r="B38">
        <v>216</v>
      </c>
      <c r="C38">
        <v>8</v>
      </c>
      <c r="D38">
        <v>10</v>
      </c>
      <c r="E38">
        <v>0</v>
      </c>
      <c r="F38">
        <v>33.293441779911497</v>
      </c>
      <c r="G38">
        <v>5735</v>
      </c>
      <c r="H38">
        <v>10000</v>
      </c>
      <c r="I38" t="s">
        <v>218</v>
      </c>
    </row>
    <row r="39" spans="1:9" x14ac:dyDescent="0.2">
      <c r="A39" t="s">
        <v>104</v>
      </c>
      <c r="B39">
        <v>576</v>
      </c>
      <c r="C39">
        <v>8</v>
      </c>
      <c r="D39">
        <v>24</v>
      </c>
      <c r="E39">
        <v>0</v>
      </c>
      <c r="F39">
        <v>293.57254529744301</v>
      </c>
      <c r="G39">
        <v>3</v>
      </c>
      <c r="H39">
        <v>10000</v>
      </c>
      <c r="I39" t="s">
        <v>219</v>
      </c>
    </row>
    <row r="40" spans="1:9" x14ac:dyDescent="0.2">
      <c r="A40" t="s">
        <v>105</v>
      </c>
      <c r="B40">
        <v>864</v>
      </c>
      <c r="C40">
        <v>4</v>
      </c>
      <c r="D40">
        <v>54</v>
      </c>
      <c r="E40">
        <v>14</v>
      </c>
      <c r="F40">
        <v>1040.2077319249499</v>
      </c>
      <c r="G40">
        <v>1</v>
      </c>
      <c r="H40">
        <v>10000</v>
      </c>
      <c r="I40" t="s">
        <v>220</v>
      </c>
    </row>
    <row r="41" spans="1:9" x14ac:dyDescent="0.2">
      <c r="A41" t="s">
        <v>106</v>
      </c>
      <c r="B41">
        <v>648</v>
      </c>
      <c r="C41">
        <v>4</v>
      </c>
      <c r="D41">
        <v>36</v>
      </c>
      <c r="E41">
        <v>4</v>
      </c>
      <c r="F41">
        <v>455.67673442512699</v>
      </c>
      <c r="G41">
        <v>1</v>
      </c>
      <c r="H41">
        <v>10000</v>
      </c>
      <c r="I41" t="s">
        <v>221</v>
      </c>
    </row>
    <row r="42" spans="1:9" x14ac:dyDescent="0.2">
      <c r="A42" t="s">
        <v>107</v>
      </c>
      <c r="B42">
        <v>1080</v>
      </c>
      <c r="C42">
        <v>4</v>
      </c>
      <c r="D42">
        <v>90</v>
      </c>
      <c r="E42">
        <v>34</v>
      </c>
      <c r="F42">
        <v>2310.01879581809</v>
      </c>
      <c r="G42">
        <v>1</v>
      </c>
      <c r="H42">
        <v>10000</v>
      </c>
      <c r="I42" t="s">
        <v>222</v>
      </c>
    </row>
    <row r="43" spans="1:9" x14ac:dyDescent="0.2">
      <c r="A43" t="s">
        <v>108</v>
      </c>
      <c r="B43">
        <v>1296</v>
      </c>
      <c r="C43">
        <v>4</v>
      </c>
      <c r="D43">
        <v>116</v>
      </c>
      <c r="E43">
        <v>66</v>
      </c>
      <c r="F43">
        <v>4069.4256227239898</v>
      </c>
      <c r="G43">
        <v>300</v>
      </c>
      <c r="H43">
        <v>10000</v>
      </c>
      <c r="I43" t="s">
        <v>223</v>
      </c>
    </row>
    <row r="44" spans="1:9" x14ac:dyDescent="0.2">
      <c r="A44" t="s">
        <v>109</v>
      </c>
      <c r="B44">
        <v>1152</v>
      </c>
      <c r="C44">
        <v>4</v>
      </c>
      <c r="D44">
        <v>66</v>
      </c>
      <c r="E44">
        <v>24</v>
      </c>
      <c r="F44">
        <v>3081.0122636705601</v>
      </c>
      <c r="G44">
        <v>1</v>
      </c>
      <c r="H44">
        <v>10000</v>
      </c>
      <c r="I44" t="s">
        <v>224</v>
      </c>
    </row>
    <row r="45" spans="1:9" x14ac:dyDescent="0.2">
      <c r="A45" t="s">
        <v>110</v>
      </c>
      <c r="B45">
        <v>1728</v>
      </c>
      <c r="C45">
        <v>4</v>
      </c>
      <c r="D45">
        <v>176</v>
      </c>
      <c r="E45">
        <v>112</v>
      </c>
      <c r="F45">
        <v>14488.2277821227</v>
      </c>
      <c r="G45">
        <v>1</v>
      </c>
      <c r="H45">
        <v>10000</v>
      </c>
      <c r="I45" t="s">
        <v>225</v>
      </c>
    </row>
    <row r="46" spans="1:9" x14ac:dyDescent="0.2">
      <c r="A46" t="s">
        <v>111</v>
      </c>
      <c r="B46">
        <v>2016</v>
      </c>
      <c r="C46">
        <v>8</v>
      </c>
      <c r="D46">
        <v>62</v>
      </c>
      <c r="E46">
        <v>8</v>
      </c>
      <c r="F46">
        <v>4127.8754032701199</v>
      </c>
      <c r="G46">
        <v>1</v>
      </c>
      <c r="H46">
        <v>10000</v>
      </c>
      <c r="I46" t="s">
        <v>226</v>
      </c>
    </row>
    <row r="47" spans="1:9" x14ac:dyDescent="0.2">
      <c r="A47" t="s">
        <v>112</v>
      </c>
      <c r="B47">
        <v>2160</v>
      </c>
      <c r="C47">
        <v>8</v>
      </c>
      <c r="D47">
        <v>172</v>
      </c>
      <c r="E47">
        <v>108</v>
      </c>
      <c r="F47">
        <v>32638.818158522201</v>
      </c>
      <c r="G47">
        <v>1</v>
      </c>
      <c r="H47">
        <v>10000</v>
      </c>
      <c r="I47" t="s">
        <v>227</v>
      </c>
    </row>
    <row r="48" spans="1:9" x14ac:dyDescent="0.2">
      <c r="A48" t="s">
        <v>113</v>
      </c>
      <c r="B48">
        <v>2520</v>
      </c>
      <c r="C48">
        <v>8</v>
      </c>
      <c r="D48">
        <v>80</v>
      </c>
      <c r="E48">
        <v>26</v>
      </c>
      <c r="F48">
        <v>6882.7989736273803</v>
      </c>
      <c r="G48">
        <v>3</v>
      </c>
      <c r="H48">
        <v>10000</v>
      </c>
      <c r="I48" t="s">
        <v>228</v>
      </c>
    </row>
    <row r="49" spans="1:9" x14ac:dyDescent="0.2">
      <c r="A49" t="s">
        <v>114</v>
      </c>
      <c r="B49">
        <v>2592</v>
      </c>
      <c r="C49">
        <v>8</v>
      </c>
      <c r="D49">
        <v>64</v>
      </c>
      <c r="E49">
        <v>28</v>
      </c>
      <c r="F49">
        <v>10133.3395078331</v>
      </c>
      <c r="G49">
        <v>2</v>
      </c>
      <c r="H49">
        <v>10000</v>
      </c>
      <c r="I49" t="s">
        <v>229</v>
      </c>
    </row>
    <row r="50" spans="1:9" x14ac:dyDescent="0.2">
      <c r="A50" t="s">
        <v>115</v>
      </c>
      <c r="B50">
        <v>3024</v>
      </c>
      <c r="C50">
        <v>4</v>
      </c>
      <c r="D50">
        <v>176</v>
      </c>
      <c r="E50">
        <v>92</v>
      </c>
      <c r="F50">
        <v>53438.900178261101</v>
      </c>
      <c r="G50">
        <v>1</v>
      </c>
      <c r="H50">
        <v>10000</v>
      </c>
      <c r="I50" t="s">
        <v>230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C68-421A-A549-91BF-87D22664C974}">
  <dimension ref="A1:I29"/>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231</v>
      </c>
    </row>
    <row r="6" spans="1:1" x14ac:dyDescent="0.2">
      <c r="A6" t="s">
        <v>75</v>
      </c>
    </row>
    <row r="7" spans="1:1" x14ac:dyDescent="0.2">
      <c r="A7" t="s">
        <v>118</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232</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0.10125780105590799</v>
      </c>
      <c r="G25">
        <v>1</v>
      </c>
      <c r="H25">
        <v>1</v>
      </c>
      <c r="I25" t="s">
        <v>233</v>
      </c>
    </row>
    <row r="26" spans="1:9" x14ac:dyDescent="0.2">
      <c r="A26" t="s">
        <v>97</v>
      </c>
      <c r="B26">
        <v>90</v>
      </c>
      <c r="C26">
        <v>8</v>
      </c>
      <c r="D26">
        <v>10</v>
      </c>
      <c r="E26">
        <v>0</v>
      </c>
      <c r="F26">
        <v>0.22383964061736999</v>
      </c>
      <c r="G26">
        <v>1</v>
      </c>
      <c r="H26">
        <v>1</v>
      </c>
      <c r="I26" t="s">
        <v>234</v>
      </c>
    </row>
    <row r="27" spans="1:9" x14ac:dyDescent="0.2">
      <c r="A27" t="s">
        <v>98</v>
      </c>
      <c r="B27">
        <v>108</v>
      </c>
      <c r="C27">
        <v>8</v>
      </c>
      <c r="D27">
        <v>10</v>
      </c>
      <c r="E27">
        <v>0</v>
      </c>
      <c r="F27">
        <v>0.24486008286476099</v>
      </c>
      <c r="G27">
        <v>1</v>
      </c>
      <c r="H27">
        <v>1</v>
      </c>
      <c r="I27" t="s">
        <v>235</v>
      </c>
    </row>
    <row r="28" spans="1:9" x14ac:dyDescent="0.2">
      <c r="A28" t="s">
        <v>99</v>
      </c>
      <c r="B28">
        <v>144</v>
      </c>
      <c r="C28">
        <v>12</v>
      </c>
      <c r="D28">
        <v>12</v>
      </c>
      <c r="E28">
        <v>0</v>
      </c>
      <c r="F28">
        <v>1.62209077924489</v>
      </c>
      <c r="G28">
        <v>1</v>
      </c>
      <c r="H28">
        <v>1</v>
      </c>
      <c r="I28" t="s">
        <v>236</v>
      </c>
    </row>
    <row r="29" spans="1:9" x14ac:dyDescent="0.2">
      <c r="A29" t="s">
        <v>100</v>
      </c>
      <c r="B29">
        <v>288</v>
      </c>
      <c r="C29">
        <v>12</v>
      </c>
      <c r="D29">
        <v>18</v>
      </c>
      <c r="E29">
        <v>0</v>
      </c>
      <c r="F29">
        <v>24298.2883821502</v>
      </c>
      <c r="G29">
        <v>1</v>
      </c>
      <c r="H29">
        <v>1</v>
      </c>
      <c r="I29" t="s">
        <v>237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1A9F7-9F7C-9C4E-92BD-41018527AB3B}">
  <dimension ref="A1:I44"/>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231</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238</v>
      </c>
    </row>
    <row r="21" spans="1:9" x14ac:dyDescent="0.2">
      <c r="A21" t="s">
        <v>90</v>
      </c>
    </row>
    <row r="22" spans="1:9" x14ac:dyDescent="0.2">
      <c r="A22" t="s">
        <v>239</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4.6195259000000898E-2</v>
      </c>
      <c r="G25">
        <v>1</v>
      </c>
      <c r="H25">
        <v>1</v>
      </c>
      <c r="I25" t="s">
        <v>240</v>
      </c>
    </row>
    <row r="26" spans="1:9" x14ac:dyDescent="0.2">
      <c r="A26" t="s">
        <v>97</v>
      </c>
      <c r="B26">
        <v>90</v>
      </c>
      <c r="C26">
        <v>8</v>
      </c>
      <c r="D26">
        <v>10</v>
      </c>
      <c r="E26">
        <v>0</v>
      </c>
      <c r="F26">
        <v>0.31406962899998803</v>
      </c>
      <c r="G26">
        <v>1</v>
      </c>
      <c r="H26">
        <v>1</v>
      </c>
      <c r="I26" t="s">
        <v>241</v>
      </c>
    </row>
    <row r="27" spans="1:9" x14ac:dyDescent="0.2">
      <c r="A27" t="s">
        <v>98</v>
      </c>
      <c r="B27">
        <v>108</v>
      </c>
      <c r="C27">
        <v>8</v>
      </c>
      <c r="D27">
        <v>10</v>
      </c>
      <c r="E27">
        <v>0</v>
      </c>
      <c r="F27">
        <v>0.35824539300000402</v>
      </c>
      <c r="G27">
        <v>1</v>
      </c>
      <c r="H27">
        <v>1</v>
      </c>
      <c r="I27" t="s">
        <v>242</v>
      </c>
    </row>
    <row r="28" spans="1:9" x14ac:dyDescent="0.2">
      <c r="A28" t="s">
        <v>99</v>
      </c>
      <c r="B28">
        <v>144</v>
      </c>
      <c r="C28">
        <v>12</v>
      </c>
      <c r="D28">
        <v>12</v>
      </c>
      <c r="E28">
        <v>0</v>
      </c>
      <c r="F28">
        <v>5.6777290530000002</v>
      </c>
      <c r="G28">
        <v>1</v>
      </c>
      <c r="H28">
        <v>1</v>
      </c>
      <c r="I28" t="s">
        <v>243</v>
      </c>
    </row>
    <row r="29" spans="1:9" x14ac:dyDescent="0.2">
      <c r="A29" t="s">
        <v>100</v>
      </c>
      <c r="B29">
        <v>288</v>
      </c>
      <c r="C29">
        <v>12</v>
      </c>
      <c r="D29">
        <v>0</v>
      </c>
      <c r="E29">
        <v>-18</v>
      </c>
      <c r="F29">
        <v>28800.127683113002</v>
      </c>
      <c r="G29">
        <v>1</v>
      </c>
      <c r="H29">
        <v>1</v>
      </c>
    </row>
    <row r="30" spans="1:9" x14ac:dyDescent="0.2">
      <c r="A30" t="s">
        <v>101</v>
      </c>
      <c r="B30">
        <v>360</v>
      </c>
      <c r="C30">
        <v>12</v>
      </c>
      <c r="D30">
        <v>0</v>
      </c>
      <c r="E30">
        <v>-24</v>
      </c>
      <c r="F30">
        <v>28800.817919377001</v>
      </c>
      <c r="G30">
        <v>1</v>
      </c>
      <c r="H30">
        <v>1</v>
      </c>
    </row>
    <row r="31" spans="1:9" x14ac:dyDescent="0.2">
      <c r="A31" t="s">
        <v>102</v>
      </c>
      <c r="B31">
        <v>756</v>
      </c>
      <c r="C31">
        <v>16</v>
      </c>
      <c r="D31">
        <v>0</v>
      </c>
      <c r="E31">
        <v>-34</v>
      </c>
      <c r="F31">
        <v>28800.966412894901</v>
      </c>
      <c r="G31">
        <v>1</v>
      </c>
      <c r="H31">
        <v>1</v>
      </c>
    </row>
    <row r="32" spans="1:9" x14ac:dyDescent="0.2">
      <c r="A32" t="s">
        <v>103</v>
      </c>
      <c r="B32">
        <v>216</v>
      </c>
      <c r="C32">
        <v>8</v>
      </c>
      <c r="D32">
        <v>10</v>
      </c>
      <c r="E32">
        <v>0</v>
      </c>
      <c r="F32">
        <v>0.72749089699936997</v>
      </c>
      <c r="G32">
        <v>1</v>
      </c>
      <c r="H32">
        <v>1</v>
      </c>
      <c r="I32" t="s">
        <v>579</v>
      </c>
    </row>
    <row r="33" spans="1:8" x14ac:dyDescent="0.2">
      <c r="A33" t="s">
        <v>104</v>
      </c>
      <c r="B33">
        <v>576</v>
      </c>
      <c r="C33">
        <v>8</v>
      </c>
      <c r="D33">
        <v>0</v>
      </c>
      <c r="E33">
        <v>-24</v>
      </c>
      <c r="F33">
        <v>28800.177956896001</v>
      </c>
      <c r="G33">
        <v>1</v>
      </c>
      <c r="H33">
        <v>1</v>
      </c>
    </row>
    <row r="34" spans="1:8" x14ac:dyDescent="0.2">
      <c r="A34" t="s">
        <v>105</v>
      </c>
      <c r="B34">
        <v>864</v>
      </c>
      <c r="C34">
        <v>4</v>
      </c>
      <c r="D34">
        <v>0</v>
      </c>
      <c r="E34">
        <v>-40</v>
      </c>
      <c r="F34">
        <v>28800.1731856189</v>
      </c>
      <c r="G34">
        <v>1</v>
      </c>
      <c r="H34">
        <v>1</v>
      </c>
    </row>
    <row r="35" spans="1:8" x14ac:dyDescent="0.2">
      <c r="A35" t="s">
        <v>106</v>
      </c>
      <c r="B35">
        <v>648</v>
      </c>
      <c r="C35">
        <v>4</v>
      </c>
      <c r="D35">
        <v>0</v>
      </c>
      <c r="E35">
        <v>-32</v>
      </c>
      <c r="F35">
        <v>28802.833607032801</v>
      </c>
      <c r="G35">
        <v>1</v>
      </c>
      <c r="H35">
        <v>1</v>
      </c>
    </row>
    <row r="36" spans="1:8" x14ac:dyDescent="0.2">
      <c r="A36" t="s">
        <v>107</v>
      </c>
      <c r="B36">
        <v>1080</v>
      </c>
      <c r="C36">
        <v>4</v>
      </c>
      <c r="D36">
        <v>0</v>
      </c>
      <c r="E36">
        <v>-56</v>
      </c>
      <c r="F36">
        <v>28800.192979752999</v>
      </c>
      <c r="G36">
        <v>1</v>
      </c>
      <c r="H36">
        <v>1</v>
      </c>
    </row>
    <row r="37" spans="1:8" x14ac:dyDescent="0.2">
      <c r="A37" t="s">
        <v>108</v>
      </c>
      <c r="B37">
        <v>1296</v>
      </c>
      <c r="C37">
        <v>4</v>
      </c>
      <c r="D37">
        <v>0</v>
      </c>
      <c r="E37">
        <v>-50</v>
      </c>
      <c r="F37">
        <v>28800.1158934831</v>
      </c>
      <c r="G37">
        <v>1</v>
      </c>
      <c r="H37">
        <v>1</v>
      </c>
    </row>
    <row r="38" spans="1:8" x14ac:dyDescent="0.2">
      <c r="A38" t="s">
        <v>109</v>
      </c>
      <c r="B38">
        <v>1152</v>
      </c>
      <c r="C38">
        <v>4</v>
      </c>
      <c r="D38">
        <v>0</v>
      </c>
      <c r="E38">
        <v>-42</v>
      </c>
      <c r="F38">
        <v>28800.1160725876</v>
      </c>
      <c r="G38">
        <v>1</v>
      </c>
      <c r="H38">
        <v>1</v>
      </c>
    </row>
    <row r="39" spans="1:8" x14ac:dyDescent="0.2">
      <c r="A39" t="s">
        <v>110</v>
      </c>
      <c r="B39">
        <v>1728</v>
      </c>
      <c r="C39">
        <v>4</v>
      </c>
      <c r="D39">
        <v>0</v>
      </c>
      <c r="E39">
        <v>-64</v>
      </c>
      <c r="F39">
        <v>28800.118270695199</v>
      </c>
      <c r="G39">
        <v>1</v>
      </c>
      <c r="H39">
        <v>1</v>
      </c>
    </row>
    <row r="40" spans="1:8" x14ac:dyDescent="0.2">
      <c r="A40" t="s">
        <v>111</v>
      </c>
      <c r="B40">
        <v>2016</v>
      </c>
      <c r="C40">
        <v>8</v>
      </c>
      <c r="D40">
        <v>0</v>
      </c>
      <c r="E40">
        <v>-54</v>
      </c>
      <c r="F40">
        <v>28800.181969827001</v>
      </c>
      <c r="G40">
        <v>1</v>
      </c>
      <c r="H40">
        <v>1</v>
      </c>
    </row>
    <row r="41" spans="1:8" x14ac:dyDescent="0.2">
      <c r="A41" t="s">
        <v>112</v>
      </c>
      <c r="B41">
        <v>2160</v>
      </c>
      <c r="C41">
        <v>8</v>
      </c>
      <c r="D41">
        <v>0</v>
      </c>
      <c r="E41">
        <v>-64</v>
      </c>
      <c r="F41">
        <v>28800.30060961</v>
      </c>
      <c r="G41">
        <v>1</v>
      </c>
      <c r="H41">
        <v>1</v>
      </c>
    </row>
    <row r="42" spans="1:8" x14ac:dyDescent="0.2">
      <c r="A42" t="s">
        <v>113</v>
      </c>
      <c r="B42">
        <v>2520</v>
      </c>
      <c r="C42">
        <v>8</v>
      </c>
      <c r="D42">
        <v>0</v>
      </c>
      <c r="E42">
        <v>-54</v>
      </c>
      <c r="F42">
        <v>28800.397425748401</v>
      </c>
      <c r="G42">
        <v>1</v>
      </c>
      <c r="H42">
        <v>1</v>
      </c>
    </row>
    <row r="43" spans="1:8" x14ac:dyDescent="0.2">
      <c r="A43" t="s">
        <v>114</v>
      </c>
      <c r="B43">
        <v>2592</v>
      </c>
      <c r="C43">
        <v>8</v>
      </c>
      <c r="D43">
        <v>0</v>
      </c>
      <c r="E43">
        <v>-36</v>
      </c>
      <c r="F43">
        <v>28800.760796048598</v>
      </c>
      <c r="G43">
        <v>1</v>
      </c>
      <c r="H43">
        <v>1</v>
      </c>
    </row>
    <row r="44" spans="1:8" x14ac:dyDescent="0.2">
      <c r="A44" t="s">
        <v>115</v>
      </c>
      <c r="B44">
        <v>3024</v>
      </c>
      <c r="C44">
        <v>4</v>
      </c>
      <c r="D44">
        <v>0</v>
      </c>
      <c r="E44">
        <v>-84</v>
      </c>
      <c r="F44">
        <v>28800.221383702901</v>
      </c>
      <c r="G44">
        <v>1</v>
      </c>
      <c r="H44">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2EBB-33A2-B84B-82E4-598367A80FA7}">
  <dimension ref="A1:I46"/>
  <sheetViews>
    <sheetView topLeftCell="A12" workbookViewId="0">
      <selection activeCell="A47" sqref="A47"/>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244</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245</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0.13708330690860701</v>
      </c>
      <c r="G25">
        <v>1</v>
      </c>
      <c r="H25">
        <v>1</v>
      </c>
      <c r="I25" t="s">
        <v>246</v>
      </c>
    </row>
    <row r="26" spans="1:9" x14ac:dyDescent="0.2">
      <c r="A26" t="s">
        <v>97</v>
      </c>
      <c r="B26">
        <v>90</v>
      </c>
      <c r="C26">
        <v>8</v>
      </c>
      <c r="D26">
        <v>10</v>
      </c>
      <c r="E26">
        <v>0</v>
      </c>
      <c r="F26">
        <v>0.192242667078971</v>
      </c>
      <c r="G26">
        <v>1</v>
      </c>
      <c r="H26">
        <v>1</v>
      </c>
      <c r="I26" t="s">
        <v>247</v>
      </c>
    </row>
    <row r="27" spans="1:9" x14ac:dyDescent="0.2">
      <c r="A27" t="s">
        <v>98</v>
      </c>
      <c r="B27">
        <v>108</v>
      </c>
      <c r="C27">
        <v>8</v>
      </c>
      <c r="D27">
        <v>10</v>
      </c>
      <c r="E27">
        <v>0</v>
      </c>
      <c r="F27">
        <v>0.31088519841432499</v>
      </c>
      <c r="G27">
        <v>1</v>
      </c>
      <c r="H27">
        <v>1</v>
      </c>
      <c r="I27" t="s">
        <v>248</v>
      </c>
    </row>
    <row r="28" spans="1:9" x14ac:dyDescent="0.2">
      <c r="A28" t="s">
        <v>99</v>
      </c>
      <c r="B28">
        <v>144</v>
      </c>
      <c r="C28">
        <v>12</v>
      </c>
      <c r="D28">
        <v>12</v>
      </c>
      <c r="E28">
        <v>0</v>
      </c>
      <c r="F28">
        <v>0.41726019978523199</v>
      </c>
      <c r="G28">
        <v>1</v>
      </c>
      <c r="H28">
        <v>1</v>
      </c>
      <c r="I28" t="s">
        <v>249</v>
      </c>
    </row>
    <row r="29" spans="1:9" x14ac:dyDescent="0.2">
      <c r="A29" t="s">
        <v>100</v>
      </c>
      <c r="B29">
        <v>288</v>
      </c>
      <c r="C29">
        <v>12</v>
      </c>
      <c r="D29">
        <v>18</v>
      </c>
      <c r="E29">
        <v>0</v>
      </c>
      <c r="F29">
        <v>1.6984138116240499</v>
      </c>
      <c r="G29">
        <v>1</v>
      </c>
      <c r="H29">
        <v>1</v>
      </c>
      <c r="I29" t="s">
        <v>250</v>
      </c>
    </row>
    <row r="30" spans="1:9" x14ac:dyDescent="0.2">
      <c r="A30" t="s">
        <v>101</v>
      </c>
      <c r="B30">
        <v>360</v>
      </c>
      <c r="C30">
        <v>12</v>
      </c>
      <c r="D30">
        <v>24</v>
      </c>
      <c r="E30">
        <v>0</v>
      </c>
      <c r="F30">
        <v>2.5287815108895302</v>
      </c>
      <c r="G30">
        <v>1</v>
      </c>
      <c r="H30">
        <v>1</v>
      </c>
      <c r="I30" t="s">
        <v>251</v>
      </c>
    </row>
    <row r="31" spans="1:9" x14ac:dyDescent="0.2">
      <c r="A31" t="s">
        <v>102</v>
      </c>
      <c r="B31">
        <v>756</v>
      </c>
      <c r="C31">
        <v>16</v>
      </c>
      <c r="D31">
        <v>40</v>
      </c>
      <c r="E31">
        <v>6</v>
      </c>
      <c r="F31">
        <v>11.7924217656254</v>
      </c>
      <c r="G31">
        <v>1</v>
      </c>
      <c r="H31">
        <v>1</v>
      </c>
      <c r="I31" t="s">
        <v>252</v>
      </c>
    </row>
    <row r="32" spans="1:9" x14ac:dyDescent="0.2">
      <c r="A32" t="s">
        <v>103</v>
      </c>
      <c r="B32">
        <v>216</v>
      </c>
      <c r="C32">
        <v>8</v>
      </c>
      <c r="D32">
        <v>10</v>
      </c>
      <c r="E32">
        <v>0</v>
      </c>
      <c r="F32">
        <v>0.67405243963003103</v>
      </c>
      <c r="G32">
        <v>1</v>
      </c>
      <c r="H32">
        <v>1</v>
      </c>
      <c r="I32" t="s">
        <v>253</v>
      </c>
    </row>
    <row r="33" spans="1:9" x14ac:dyDescent="0.2">
      <c r="A33" t="s">
        <v>104</v>
      </c>
      <c r="B33">
        <v>576</v>
      </c>
      <c r="C33">
        <v>8</v>
      </c>
      <c r="D33">
        <v>24</v>
      </c>
      <c r="E33">
        <v>0</v>
      </c>
      <c r="F33">
        <v>6.2266105934977496</v>
      </c>
      <c r="G33">
        <v>1</v>
      </c>
      <c r="H33">
        <v>1</v>
      </c>
      <c r="I33" t="s">
        <v>254</v>
      </c>
    </row>
    <row r="34" spans="1:9" x14ac:dyDescent="0.2">
      <c r="A34" t="s">
        <v>105</v>
      </c>
      <c r="B34">
        <v>864</v>
      </c>
      <c r="C34">
        <v>4</v>
      </c>
      <c r="D34">
        <v>62</v>
      </c>
      <c r="E34">
        <v>22</v>
      </c>
      <c r="F34">
        <v>14.632826954126299</v>
      </c>
      <c r="G34">
        <v>1</v>
      </c>
      <c r="H34">
        <v>1</v>
      </c>
      <c r="I34" t="s">
        <v>255</v>
      </c>
    </row>
    <row r="35" spans="1:9" x14ac:dyDescent="0.2">
      <c r="A35" t="s">
        <v>106</v>
      </c>
      <c r="B35">
        <v>648</v>
      </c>
      <c r="C35">
        <v>4</v>
      </c>
      <c r="D35">
        <v>34</v>
      </c>
      <c r="E35">
        <v>2</v>
      </c>
      <c r="F35">
        <v>7.9997309148311597</v>
      </c>
      <c r="G35">
        <v>1</v>
      </c>
      <c r="H35">
        <v>1</v>
      </c>
      <c r="I35" t="s">
        <v>256</v>
      </c>
    </row>
    <row r="36" spans="1:9" x14ac:dyDescent="0.2">
      <c r="A36" t="s">
        <v>107</v>
      </c>
      <c r="B36">
        <v>1080</v>
      </c>
      <c r="C36">
        <v>4</v>
      </c>
      <c r="D36">
        <v>88</v>
      </c>
      <c r="E36">
        <v>32</v>
      </c>
      <c r="F36">
        <v>23.2593929767608</v>
      </c>
      <c r="G36">
        <v>1</v>
      </c>
      <c r="H36">
        <v>1</v>
      </c>
      <c r="I36" t="s">
        <v>257</v>
      </c>
    </row>
    <row r="37" spans="1:9" x14ac:dyDescent="0.2">
      <c r="A37" t="s">
        <v>108</v>
      </c>
      <c r="B37">
        <v>1296</v>
      </c>
      <c r="C37">
        <v>4</v>
      </c>
      <c r="D37">
        <v>126</v>
      </c>
      <c r="E37">
        <v>76</v>
      </c>
      <c r="F37">
        <v>34.794600553810596</v>
      </c>
      <c r="G37">
        <v>1</v>
      </c>
      <c r="H37">
        <v>1</v>
      </c>
      <c r="I37" t="s">
        <v>258</v>
      </c>
    </row>
    <row r="38" spans="1:9" x14ac:dyDescent="0.2">
      <c r="A38" t="s">
        <v>109</v>
      </c>
      <c r="B38">
        <v>1152</v>
      </c>
      <c r="C38">
        <v>4</v>
      </c>
      <c r="D38">
        <v>66</v>
      </c>
      <c r="E38">
        <v>24</v>
      </c>
      <c r="F38">
        <v>26.018139168620099</v>
      </c>
      <c r="G38">
        <v>1</v>
      </c>
      <c r="H38">
        <v>1</v>
      </c>
      <c r="I38" t="s">
        <v>259</v>
      </c>
    </row>
    <row r="39" spans="1:9" x14ac:dyDescent="0.2">
      <c r="A39" t="s">
        <v>110</v>
      </c>
      <c r="B39">
        <v>1728</v>
      </c>
      <c r="C39">
        <v>4</v>
      </c>
      <c r="D39">
        <v>184</v>
      </c>
      <c r="E39">
        <v>120</v>
      </c>
      <c r="F39">
        <v>64.460804194211903</v>
      </c>
      <c r="G39">
        <v>1</v>
      </c>
      <c r="H39">
        <v>1</v>
      </c>
      <c r="I39" t="s">
        <v>260</v>
      </c>
    </row>
    <row r="40" spans="1:9" x14ac:dyDescent="0.2">
      <c r="A40" t="s">
        <v>111</v>
      </c>
      <c r="B40">
        <v>2016</v>
      </c>
      <c r="C40">
        <v>8</v>
      </c>
      <c r="D40">
        <v>72</v>
      </c>
      <c r="E40">
        <v>18</v>
      </c>
      <c r="F40">
        <v>55.642835654318297</v>
      </c>
      <c r="G40">
        <v>1</v>
      </c>
      <c r="H40">
        <v>1</v>
      </c>
      <c r="I40" t="s">
        <v>261</v>
      </c>
    </row>
    <row r="41" spans="1:9" x14ac:dyDescent="0.2">
      <c r="A41" t="s">
        <v>112</v>
      </c>
      <c r="B41">
        <v>2160</v>
      </c>
      <c r="C41">
        <v>8</v>
      </c>
      <c r="D41">
        <v>210</v>
      </c>
      <c r="E41">
        <v>146</v>
      </c>
      <c r="F41">
        <v>108.85581167787301</v>
      </c>
      <c r="G41">
        <v>1</v>
      </c>
      <c r="H41">
        <v>1</v>
      </c>
      <c r="I41" t="s">
        <v>262</v>
      </c>
    </row>
    <row r="42" spans="1:9" x14ac:dyDescent="0.2">
      <c r="A42" t="s">
        <v>263</v>
      </c>
    </row>
    <row r="43" spans="1:9" x14ac:dyDescent="0.2">
      <c r="A43" t="s">
        <v>113</v>
      </c>
      <c r="B43">
        <v>2520</v>
      </c>
      <c r="C43">
        <v>8</v>
      </c>
      <c r="D43">
        <v>72</v>
      </c>
      <c r="E43">
        <v>18</v>
      </c>
      <c r="F43">
        <v>87.780956141650606</v>
      </c>
      <c r="G43">
        <v>1</v>
      </c>
      <c r="H43">
        <v>1</v>
      </c>
      <c r="I43" t="s">
        <v>264</v>
      </c>
    </row>
    <row r="44" spans="1:9" x14ac:dyDescent="0.2">
      <c r="A44" t="s">
        <v>114</v>
      </c>
      <c r="B44">
        <v>2592</v>
      </c>
      <c r="C44">
        <v>8</v>
      </c>
      <c r="D44">
        <v>64</v>
      </c>
      <c r="E44">
        <v>28</v>
      </c>
      <c r="F44">
        <v>93.472090311348396</v>
      </c>
      <c r="G44">
        <v>1</v>
      </c>
      <c r="H44">
        <v>1</v>
      </c>
      <c r="I44" t="s">
        <v>265</v>
      </c>
    </row>
    <row r="45" spans="1:9" x14ac:dyDescent="0.2">
      <c r="A45" t="s">
        <v>115</v>
      </c>
      <c r="B45">
        <v>3024</v>
      </c>
      <c r="C45">
        <v>4</v>
      </c>
      <c r="D45">
        <v>162</v>
      </c>
      <c r="E45">
        <v>78</v>
      </c>
      <c r="F45">
        <v>219.59011103212799</v>
      </c>
      <c r="G45">
        <v>1</v>
      </c>
      <c r="H45">
        <v>1</v>
      </c>
      <c r="I45" t="s">
        <v>266</v>
      </c>
    </row>
    <row r="46" spans="1:9" x14ac:dyDescent="0.2">
      <c r="A46" t="s">
        <v>267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4A13E-059A-6A49-ABAC-B90DC998D11B}">
  <dimension ref="A1:I47"/>
  <sheetViews>
    <sheetView topLeftCell="A20" workbookViewId="0">
      <selection activeCell="D37" sqref="D37"/>
    </sheetView>
  </sheetViews>
  <sheetFormatPr baseColWidth="10" defaultRowHeight="16" x14ac:dyDescent="0.2"/>
  <sheetData>
    <row r="1" spans="1:1" x14ac:dyDescent="0.2">
      <c r="A1" t="s">
        <v>70</v>
      </c>
    </row>
    <row r="2" spans="1:1" x14ac:dyDescent="0.2">
      <c r="A2" t="s">
        <v>71</v>
      </c>
    </row>
    <row r="3" spans="1:1" x14ac:dyDescent="0.2">
      <c r="A3" t="s">
        <v>116</v>
      </c>
    </row>
    <row r="4" spans="1:1" x14ac:dyDescent="0.2">
      <c r="A4" t="s">
        <v>72</v>
      </c>
    </row>
    <row r="5" spans="1:1" x14ac:dyDescent="0.2">
      <c r="A5" t="s">
        <v>73</v>
      </c>
    </row>
    <row r="6" spans="1:1" x14ac:dyDescent="0.2">
      <c r="A6" t="s">
        <v>244</v>
      </c>
    </row>
    <row r="7" spans="1:1" x14ac:dyDescent="0.2">
      <c r="A7" t="s">
        <v>75</v>
      </c>
    </row>
    <row r="8" spans="1:1" x14ac:dyDescent="0.2">
      <c r="A8" t="s">
        <v>76</v>
      </c>
    </row>
    <row r="9" spans="1:1" x14ac:dyDescent="0.2">
      <c r="A9" t="s">
        <v>581</v>
      </c>
    </row>
    <row r="10" spans="1:1" x14ac:dyDescent="0.2">
      <c r="A10" t="s">
        <v>582</v>
      </c>
    </row>
    <row r="11" spans="1:1" x14ac:dyDescent="0.2">
      <c r="A11" t="s">
        <v>592</v>
      </c>
    </row>
    <row r="12" spans="1:1" x14ac:dyDescent="0.2">
      <c r="A12" t="s">
        <v>78</v>
      </c>
    </row>
    <row r="13" spans="1:1" x14ac:dyDescent="0.2">
      <c r="A13" t="s">
        <v>79</v>
      </c>
    </row>
    <row r="14" spans="1:1" x14ac:dyDescent="0.2">
      <c r="A14" t="s">
        <v>80</v>
      </c>
    </row>
    <row r="15" spans="1:1" x14ac:dyDescent="0.2">
      <c r="A15" t="s">
        <v>81</v>
      </c>
    </row>
    <row r="16" spans="1:1" x14ac:dyDescent="0.2">
      <c r="A16" t="s">
        <v>593</v>
      </c>
    </row>
    <row r="17" spans="1:9" x14ac:dyDescent="0.2">
      <c r="A17" t="s">
        <v>594</v>
      </c>
    </row>
    <row r="18" spans="1:9" x14ac:dyDescent="0.2">
      <c r="A18" t="s">
        <v>82</v>
      </c>
    </row>
    <row r="19" spans="1:9" x14ac:dyDescent="0.2">
      <c r="A19" t="s">
        <v>86</v>
      </c>
    </row>
    <row r="20" spans="1:9" x14ac:dyDescent="0.2">
      <c r="A20" t="s">
        <v>120</v>
      </c>
    </row>
    <row r="21" spans="1:9" x14ac:dyDescent="0.2">
      <c r="A21" t="s">
        <v>88</v>
      </c>
    </row>
    <row r="22" spans="1:9" x14ac:dyDescent="0.2">
      <c r="A22" t="s">
        <v>121</v>
      </c>
    </row>
    <row r="23" spans="1:9" x14ac:dyDescent="0.2">
      <c r="A23" t="s">
        <v>122</v>
      </c>
    </row>
    <row r="24" spans="1:9" x14ac:dyDescent="0.2">
      <c r="A24" t="s">
        <v>238</v>
      </c>
    </row>
    <row r="25" spans="1:9" x14ac:dyDescent="0.2">
      <c r="A25" t="s">
        <v>90</v>
      </c>
    </row>
    <row r="26" spans="1:9" x14ac:dyDescent="0.2">
      <c r="A26" t="s">
        <v>595</v>
      </c>
    </row>
    <row r="27" spans="1:9" x14ac:dyDescent="0.2">
      <c r="A27" t="s">
        <v>92</v>
      </c>
    </row>
    <row r="28" spans="1:9" x14ac:dyDescent="0.2">
      <c r="A28" t="s">
        <v>93</v>
      </c>
      <c r="B28" t="s">
        <v>61</v>
      </c>
      <c r="C28" t="s">
        <v>94</v>
      </c>
      <c r="D28" t="s">
        <v>95</v>
      </c>
      <c r="E28" t="s">
        <v>124</v>
      </c>
      <c r="F28" t="s">
        <v>125</v>
      </c>
      <c r="G28" t="s">
        <v>58</v>
      </c>
      <c r="H28" t="s">
        <v>59</v>
      </c>
      <c r="I28" t="s">
        <v>126</v>
      </c>
    </row>
    <row r="29" spans="1:9" x14ac:dyDescent="0.2">
      <c r="A29" t="s">
        <v>96</v>
      </c>
      <c r="B29">
        <v>72</v>
      </c>
      <c r="C29">
        <v>12</v>
      </c>
      <c r="D29">
        <v>6</v>
      </c>
      <c r="E29">
        <v>0</v>
      </c>
      <c r="F29" s="17" t="s">
        <v>596</v>
      </c>
      <c r="G29">
        <v>1</v>
      </c>
      <c r="H29">
        <v>1</v>
      </c>
      <c r="I29" t="s">
        <v>597</v>
      </c>
    </row>
    <row r="30" spans="1:9" x14ac:dyDescent="0.2">
      <c r="A30" t="s">
        <v>97</v>
      </c>
      <c r="B30">
        <v>90</v>
      </c>
      <c r="C30">
        <v>8</v>
      </c>
      <c r="D30">
        <v>10</v>
      </c>
      <c r="E30">
        <v>0</v>
      </c>
      <c r="F30" s="17" t="s">
        <v>598</v>
      </c>
      <c r="G30">
        <v>1</v>
      </c>
      <c r="H30">
        <v>1</v>
      </c>
      <c r="I30" t="s">
        <v>599</v>
      </c>
    </row>
    <row r="31" spans="1:9" x14ac:dyDescent="0.2">
      <c r="A31" t="s">
        <v>98</v>
      </c>
      <c r="B31">
        <v>108</v>
      </c>
      <c r="C31">
        <v>8</v>
      </c>
      <c r="D31">
        <v>10</v>
      </c>
      <c r="E31">
        <v>0</v>
      </c>
      <c r="F31" s="17" t="s">
        <v>600</v>
      </c>
      <c r="G31">
        <v>1</v>
      </c>
      <c r="H31">
        <v>1</v>
      </c>
      <c r="I31" t="s">
        <v>601</v>
      </c>
    </row>
    <row r="32" spans="1:9" x14ac:dyDescent="0.2">
      <c r="A32" t="s">
        <v>99</v>
      </c>
      <c r="B32">
        <v>144</v>
      </c>
      <c r="C32">
        <v>12</v>
      </c>
      <c r="D32">
        <v>12</v>
      </c>
      <c r="E32">
        <v>0</v>
      </c>
      <c r="F32" s="17" t="s">
        <v>602</v>
      </c>
      <c r="G32">
        <v>1</v>
      </c>
      <c r="H32">
        <v>1</v>
      </c>
      <c r="I32" t="s">
        <v>603</v>
      </c>
    </row>
    <row r="33" spans="1:9" x14ac:dyDescent="0.2">
      <c r="A33" t="s">
        <v>100</v>
      </c>
      <c r="B33">
        <v>288</v>
      </c>
      <c r="C33">
        <v>12</v>
      </c>
      <c r="D33">
        <v>18</v>
      </c>
      <c r="E33">
        <v>0</v>
      </c>
      <c r="F33" s="17" t="s">
        <v>604</v>
      </c>
      <c r="G33">
        <v>1</v>
      </c>
      <c r="H33">
        <v>1</v>
      </c>
      <c r="I33" t="s">
        <v>605</v>
      </c>
    </row>
    <row r="34" spans="1:9" x14ac:dyDescent="0.2">
      <c r="A34" t="s">
        <v>101</v>
      </c>
      <c r="B34">
        <v>360</v>
      </c>
      <c r="C34">
        <v>12</v>
      </c>
      <c r="D34">
        <v>24</v>
      </c>
      <c r="E34">
        <v>0</v>
      </c>
      <c r="F34" s="17" t="s">
        <v>606</v>
      </c>
      <c r="G34">
        <v>1</v>
      </c>
      <c r="H34">
        <v>1</v>
      </c>
      <c r="I34" t="s">
        <v>607</v>
      </c>
    </row>
    <row r="35" spans="1:9" x14ac:dyDescent="0.2">
      <c r="A35" t="s">
        <v>102</v>
      </c>
      <c r="B35">
        <v>756</v>
      </c>
      <c r="C35">
        <v>16</v>
      </c>
      <c r="D35">
        <v>38</v>
      </c>
      <c r="E35">
        <v>4</v>
      </c>
      <c r="F35" s="17" t="s">
        <v>608</v>
      </c>
      <c r="G35">
        <v>1</v>
      </c>
      <c r="H35">
        <v>1</v>
      </c>
      <c r="I35" t="s">
        <v>609</v>
      </c>
    </row>
    <row r="36" spans="1:9" x14ac:dyDescent="0.2">
      <c r="A36" t="s">
        <v>103</v>
      </c>
      <c r="B36">
        <v>216</v>
      </c>
      <c r="C36">
        <v>8</v>
      </c>
      <c r="D36">
        <v>10</v>
      </c>
      <c r="E36">
        <v>0</v>
      </c>
      <c r="F36" s="17" t="s">
        <v>610</v>
      </c>
      <c r="G36">
        <v>1</v>
      </c>
      <c r="H36">
        <v>1</v>
      </c>
      <c r="I36" t="s">
        <v>611</v>
      </c>
    </row>
    <row r="37" spans="1:9" x14ac:dyDescent="0.2">
      <c r="A37" t="s">
        <v>104</v>
      </c>
      <c r="B37">
        <v>576</v>
      </c>
      <c r="C37">
        <v>8</v>
      </c>
      <c r="D37">
        <v>24</v>
      </c>
      <c r="E37">
        <v>0</v>
      </c>
      <c r="F37" s="17" t="s">
        <v>612</v>
      </c>
      <c r="G37">
        <v>1</v>
      </c>
      <c r="H37">
        <v>1</v>
      </c>
      <c r="I37" t="s">
        <v>613</v>
      </c>
    </row>
    <row r="38" spans="1:9" x14ac:dyDescent="0.2">
      <c r="A38" t="s">
        <v>105</v>
      </c>
      <c r="B38">
        <v>864</v>
      </c>
      <c r="C38">
        <v>4</v>
      </c>
      <c r="D38">
        <v>48</v>
      </c>
      <c r="E38">
        <v>8</v>
      </c>
      <c r="F38" s="17" t="s">
        <v>614</v>
      </c>
      <c r="G38">
        <v>1</v>
      </c>
      <c r="H38">
        <v>1</v>
      </c>
      <c r="I38" t="s">
        <v>615</v>
      </c>
    </row>
    <row r="39" spans="1:9" x14ac:dyDescent="0.2">
      <c r="A39" t="s">
        <v>106</v>
      </c>
      <c r="B39">
        <v>648</v>
      </c>
      <c r="C39">
        <v>4</v>
      </c>
      <c r="D39">
        <v>32</v>
      </c>
      <c r="E39">
        <v>0</v>
      </c>
      <c r="F39" s="17" t="s">
        <v>616</v>
      </c>
      <c r="G39">
        <v>1</v>
      </c>
      <c r="H39">
        <v>1</v>
      </c>
      <c r="I39" t="s">
        <v>617</v>
      </c>
    </row>
    <row r="40" spans="1:9" x14ac:dyDescent="0.2">
      <c r="A40" t="s">
        <v>107</v>
      </c>
      <c r="B40">
        <v>1080</v>
      </c>
      <c r="C40">
        <v>4</v>
      </c>
      <c r="D40">
        <v>70</v>
      </c>
      <c r="E40">
        <v>14</v>
      </c>
      <c r="F40" s="17" t="s">
        <v>618</v>
      </c>
      <c r="G40">
        <v>1</v>
      </c>
      <c r="H40">
        <v>1</v>
      </c>
      <c r="I40" t="s">
        <v>619</v>
      </c>
    </row>
    <row r="41" spans="1:9" x14ac:dyDescent="0.2">
      <c r="A41" t="s">
        <v>108</v>
      </c>
      <c r="B41">
        <v>1296</v>
      </c>
      <c r="C41">
        <v>4</v>
      </c>
      <c r="D41">
        <v>64</v>
      </c>
      <c r="E41">
        <v>14</v>
      </c>
      <c r="F41" s="17" t="s">
        <v>620</v>
      </c>
      <c r="G41">
        <v>1</v>
      </c>
      <c r="H41">
        <v>1</v>
      </c>
      <c r="I41" t="s">
        <v>621</v>
      </c>
    </row>
    <row r="42" spans="1:9" x14ac:dyDescent="0.2">
      <c r="A42" t="s">
        <v>109</v>
      </c>
      <c r="B42">
        <v>1152</v>
      </c>
      <c r="C42">
        <v>4</v>
      </c>
      <c r="D42">
        <v>40</v>
      </c>
      <c r="E42">
        <v>-2</v>
      </c>
      <c r="F42">
        <v>2308.19084900897</v>
      </c>
      <c r="G42">
        <v>1</v>
      </c>
      <c r="H42">
        <v>1</v>
      </c>
      <c r="I42" t="s">
        <v>622</v>
      </c>
    </row>
    <row r="43" spans="1:9" x14ac:dyDescent="0.2">
      <c r="A43" t="s">
        <v>110</v>
      </c>
      <c r="B43">
        <v>1728</v>
      </c>
      <c r="C43">
        <v>4</v>
      </c>
      <c r="D43">
        <v>114</v>
      </c>
      <c r="E43">
        <v>50</v>
      </c>
      <c r="F43" s="17" t="s">
        <v>623</v>
      </c>
      <c r="G43">
        <v>1</v>
      </c>
      <c r="H43">
        <v>1</v>
      </c>
      <c r="I43" t="s">
        <v>624</v>
      </c>
    </row>
    <row r="44" spans="1:9" x14ac:dyDescent="0.2">
      <c r="A44" t="s">
        <v>111</v>
      </c>
      <c r="B44">
        <v>2016</v>
      </c>
      <c r="C44">
        <v>8</v>
      </c>
      <c r="D44">
        <v>62</v>
      </c>
      <c r="E44">
        <v>8</v>
      </c>
      <c r="F44">
        <v>4940.3676977865398</v>
      </c>
      <c r="G44">
        <v>1</v>
      </c>
      <c r="H44">
        <v>1</v>
      </c>
      <c r="I44" t="s">
        <v>625</v>
      </c>
    </row>
    <row r="45" spans="1:9" x14ac:dyDescent="0.2">
      <c r="A45" t="s">
        <v>112</v>
      </c>
      <c r="B45">
        <v>2160</v>
      </c>
      <c r="C45">
        <v>8</v>
      </c>
      <c r="D45">
        <v>114</v>
      </c>
      <c r="E45">
        <v>50</v>
      </c>
      <c r="F45">
        <v>9437.4758076258004</v>
      </c>
      <c r="G45">
        <v>1</v>
      </c>
      <c r="H45">
        <v>1</v>
      </c>
      <c r="I45" t="s">
        <v>626</v>
      </c>
    </row>
    <row r="46" spans="1:9" x14ac:dyDescent="0.2">
      <c r="A46" t="s">
        <v>113</v>
      </c>
      <c r="B46">
        <v>2520</v>
      </c>
      <c r="C46">
        <v>8</v>
      </c>
      <c r="D46">
        <v>62</v>
      </c>
      <c r="E46">
        <v>8</v>
      </c>
      <c r="F46" s="17" t="s">
        <v>627</v>
      </c>
      <c r="G46">
        <v>1</v>
      </c>
      <c r="H46">
        <v>1</v>
      </c>
      <c r="I46" t="s">
        <v>628</v>
      </c>
    </row>
    <row r="47" spans="1:9" x14ac:dyDescent="0.2">
      <c r="A47" t="s">
        <v>114</v>
      </c>
      <c r="B47">
        <v>2592</v>
      </c>
      <c r="C47">
        <v>8</v>
      </c>
      <c r="D47">
        <v>44</v>
      </c>
      <c r="E47">
        <v>8</v>
      </c>
      <c r="F47" s="17" t="s">
        <v>629</v>
      </c>
      <c r="G47">
        <v>1</v>
      </c>
      <c r="H47">
        <v>1</v>
      </c>
      <c r="I47" t="s">
        <v>630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B187B-0C55-8248-A316-BB7516FB0397}">
  <dimension ref="A1:I44"/>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268</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269</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0</v>
      </c>
      <c r="E25">
        <v>-6</v>
      </c>
      <c r="F25">
        <v>9.67893699998967E-3</v>
      </c>
      <c r="G25">
        <v>1</v>
      </c>
      <c r="H25">
        <v>1</v>
      </c>
      <c r="I25" t="s">
        <v>270</v>
      </c>
    </row>
    <row r="26" spans="1:9" x14ac:dyDescent="0.2">
      <c r="A26" t="s">
        <v>97</v>
      </c>
      <c r="B26">
        <v>90</v>
      </c>
      <c r="C26">
        <v>8</v>
      </c>
      <c r="D26">
        <v>0</v>
      </c>
      <c r="E26">
        <v>-10</v>
      </c>
      <c r="F26">
        <v>1.9740432995604299E-2</v>
      </c>
      <c r="G26">
        <v>1</v>
      </c>
      <c r="H26">
        <v>1</v>
      </c>
      <c r="I26" t="s">
        <v>270</v>
      </c>
    </row>
    <row r="27" spans="1:9" x14ac:dyDescent="0.2">
      <c r="A27" t="s">
        <v>98</v>
      </c>
      <c r="B27">
        <v>108</v>
      </c>
      <c r="C27">
        <v>8</v>
      </c>
      <c r="D27">
        <v>0</v>
      </c>
      <c r="E27">
        <v>-10</v>
      </c>
      <c r="F27">
        <v>1.44375160016352E-2</v>
      </c>
      <c r="G27">
        <v>1</v>
      </c>
      <c r="H27">
        <v>1</v>
      </c>
      <c r="I27" t="s">
        <v>270</v>
      </c>
    </row>
    <row r="28" spans="1:9" x14ac:dyDescent="0.2">
      <c r="A28" t="s">
        <v>99</v>
      </c>
      <c r="B28">
        <v>144</v>
      </c>
      <c r="C28">
        <v>12</v>
      </c>
      <c r="D28">
        <v>0</v>
      </c>
      <c r="E28">
        <v>-12</v>
      </c>
      <c r="F28">
        <v>2.06588510045548E-2</v>
      </c>
      <c r="G28">
        <v>1</v>
      </c>
      <c r="H28">
        <v>1</v>
      </c>
      <c r="I28" t="s">
        <v>270</v>
      </c>
    </row>
    <row r="29" spans="1:9" x14ac:dyDescent="0.2">
      <c r="A29" t="s">
        <v>100</v>
      </c>
      <c r="B29">
        <v>288</v>
      </c>
      <c r="C29">
        <v>12</v>
      </c>
      <c r="D29">
        <v>0</v>
      </c>
      <c r="E29">
        <v>-18</v>
      </c>
      <c r="F29">
        <v>3.3099113992648199E-2</v>
      </c>
      <c r="G29">
        <v>1</v>
      </c>
      <c r="H29">
        <v>1</v>
      </c>
      <c r="I29" t="s">
        <v>270</v>
      </c>
    </row>
    <row r="30" spans="1:9" x14ac:dyDescent="0.2">
      <c r="A30" t="s">
        <v>101</v>
      </c>
      <c r="B30">
        <v>360</v>
      </c>
      <c r="C30">
        <v>12</v>
      </c>
      <c r="D30">
        <v>0</v>
      </c>
      <c r="E30">
        <v>-24</v>
      </c>
      <c r="F30">
        <v>3.60392849979689E-2</v>
      </c>
      <c r="G30">
        <v>1</v>
      </c>
      <c r="H30">
        <v>1</v>
      </c>
      <c r="I30" t="s">
        <v>270</v>
      </c>
    </row>
    <row r="31" spans="1:9" x14ac:dyDescent="0.2">
      <c r="A31" t="s">
        <v>102</v>
      </c>
      <c r="B31">
        <v>756</v>
      </c>
      <c r="C31">
        <v>16</v>
      </c>
      <c r="D31">
        <v>0</v>
      </c>
      <c r="E31">
        <v>-34</v>
      </c>
      <c r="F31">
        <v>0.119559307000599</v>
      </c>
      <c r="G31">
        <v>1</v>
      </c>
      <c r="H31">
        <v>1</v>
      </c>
      <c r="I31" t="s">
        <v>270</v>
      </c>
    </row>
    <row r="32" spans="1:9" x14ac:dyDescent="0.2">
      <c r="A32" t="s">
        <v>103</v>
      </c>
      <c r="B32">
        <v>216</v>
      </c>
      <c r="C32">
        <v>8</v>
      </c>
      <c r="D32">
        <v>0</v>
      </c>
      <c r="E32">
        <v>-10</v>
      </c>
      <c r="F32">
        <v>1.9085694002569601E-2</v>
      </c>
      <c r="G32">
        <v>1</v>
      </c>
      <c r="H32">
        <v>1</v>
      </c>
      <c r="I32" t="s">
        <v>270</v>
      </c>
    </row>
    <row r="33" spans="1:9" x14ac:dyDescent="0.2">
      <c r="A33" t="s">
        <v>104</v>
      </c>
      <c r="B33">
        <v>576</v>
      </c>
      <c r="C33">
        <v>8</v>
      </c>
      <c r="D33">
        <v>0</v>
      </c>
      <c r="E33">
        <v>-24</v>
      </c>
      <c r="F33">
        <v>6.3065566995646805E-2</v>
      </c>
      <c r="G33">
        <v>1</v>
      </c>
      <c r="H33">
        <v>1</v>
      </c>
      <c r="I33" t="s">
        <v>270</v>
      </c>
    </row>
    <row r="34" spans="1:9" x14ac:dyDescent="0.2">
      <c r="A34" t="s">
        <v>105</v>
      </c>
      <c r="B34">
        <v>864</v>
      </c>
      <c r="C34">
        <v>4</v>
      </c>
      <c r="D34">
        <v>0</v>
      </c>
      <c r="E34">
        <v>-40</v>
      </c>
      <c r="F34">
        <v>8.2857543005957199E-2</v>
      </c>
      <c r="G34">
        <v>1</v>
      </c>
      <c r="H34">
        <v>1</v>
      </c>
      <c r="I34" t="s">
        <v>270</v>
      </c>
    </row>
    <row r="35" spans="1:9" x14ac:dyDescent="0.2">
      <c r="A35" t="s">
        <v>106</v>
      </c>
      <c r="B35">
        <v>648</v>
      </c>
      <c r="C35">
        <v>4</v>
      </c>
      <c r="D35">
        <v>0</v>
      </c>
      <c r="E35">
        <v>-32</v>
      </c>
      <c r="F35">
        <v>5.62565220025135E-2</v>
      </c>
      <c r="G35">
        <v>1</v>
      </c>
      <c r="H35">
        <v>1</v>
      </c>
      <c r="I35" t="s">
        <v>270</v>
      </c>
    </row>
    <row r="36" spans="1:9" x14ac:dyDescent="0.2">
      <c r="A36" t="s">
        <v>107</v>
      </c>
      <c r="B36">
        <v>1080</v>
      </c>
      <c r="C36">
        <v>4</v>
      </c>
      <c r="D36">
        <v>0</v>
      </c>
      <c r="E36">
        <v>-56</v>
      </c>
      <c r="F36">
        <v>0.10314030999143101</v>
      </c>
      <c r="G36">
        <v>1</v>
      </c>
      <c r="H36">
        <v>1</v>
      </c>
      <c r="I36" t="s">
        <v>270</v>
      </c>
    </row>
    <row r="37" spans="1:9" x14ac:dyDescent="0.2">
      <c r="A37" t="s">
        <v>108</v>
      </c>
      <c r="B37">
        <v>1296</v>
      </c>
      <c r="C37">
        <v>4</v>
      </c>
      <c r="D37">
        <v>0</v>
      </c>
      <c r="E37">
        <v>-50</v>
      </c>
      <c r="F37">
        <v>0.13061430001107499</v>
      </c>
      <c r="G37">
        <v>1</v>
      </c>
      <c r="H37">
        <v>1</v>
      </c>
      <c r="I37" t="s">
        <v>270</v>
      </c>
    </row>
    <row r="38" spans="1:9" x14ac:dyDescent="0.2">
      <c r="A38" t="s">
        <v>109</v>
      </c>
      <c r="B38">
        <v>1152</v>
      </c>
      <c r="C38">
        <v>4</v>
      </c>
      <c r="D38">
        <v>0</v>
      </c>
      <c r="E38">
        <v>-42</v>
      </c>
      <c r="F38">
        <v>0.116555643995525</v>
      </c>
      <c r="G38">
        <v>1</v>
      </c>
      <c r="H38">
        <v>1</v>
      </c>
      <c r="I38" t="s">
        <v>270</v>
      </c>
    </row>
    <row r="39" spans="1:9" x14ac:dyDescent="0.2">
      <c r="A39" t="s">
        <v>110</v>
      </c>
      <c r="B39">
        <v>1728</v>
      </c>
      <c r="C39">
        <v>4</v>
      </c>
      <c r="D39">
        <v>0</v>
      </c>
      <c r="E39">
        <v>-64</v>
      </c>
      <c r="F39">
        <v>0.20388527300383399</v>
      </c>
      <c r="G39">
        <v>1</v>
      </c>
      <c r="H39">
        <v>1</v>
      </c>
      <c r="I39" t="s">
        <v>270</v>
      </c>
    </row>
    <row r="40" spans="1:9" x14ac:dyDescent="0.2">
      <c r="A40" t="s">
        <v>111</v>
      </c>
      <c r="B40">
        <v>2016</v>
      </c>
      <c r="C40">
        <v>8</v>
      </c>
      <c r="D40">
        <v>0</v>
      </c>
      <c r="E40">
        <v>-54</v>
      </c>
      <c r="F40">
        <v>0.28266314399661402</v>
      </c>
      <c r="G40">
        <v>1</v>
      </c>
      <c r="H40">
        <v>1</v>
      </c>
      <c r="I40" t="s">
        <v>270</v>
      </c>
    </row>
    <row r="41" spans="1:9" x14ac:dyDescent="0.2">
      <c r="A41" t="s">
        <v>112</v>
      </c>
      <c r="B41">
        <v>2160</v>
      </c>
      <c r="C41">
        <v>8</v>
      </c>
      <c r="D41">
        <v>0</v>
      </c>
      <c r="E41">
        <v>-64</v>
      </c>
      <c r="F41">
        <v>0.33638845699897502</v>
      </c>
      <c r="G41">
        <v>1</v>
      </c>
      <c r="H41">
        <v>1</v>
      </c>
      <c r="I41" t="s">
        <v>270</v>
      </c>
    </row>
    <row r="42" spans="1:9" x14ac:dyDescent="0.2">
      <c r="A42" t="s">
        <v>113</v>
      </c>
      <c r="B42">
        <v>2520</v>
      </c>
      <c r="C42">
        <v>8</v>
      </c>
      <c r="D42">
        <v>0</v>
      </c>
      <c r="E42">
        <v>-54</v>
      </c>
      <c r="F42">
        <v>0.40124458000354901</v>
      </c>
      <c r="G42">
        <v>1</v>
      </c>
      <c r="H42">
        <v>1</v>
      </c>
      <c r="I42" t="s">
        <v>270</v>
      </c>
    </row>
    <row r="43" spans="1:9" x14ac:dyDescent="0.2">
      <c r="A43" t="s">
        <v>114</v>
      </c>
      <c r="B43">
        <v>2592</v>
      </c>
      <c r="C43">
        <v>8</v>
      </c>
      <c r="D43">
        <v>0</v>
      </c>
      <c r="E43">
        <v>-36</v>
      </c>
      <c r="F43">
        <v>0.42127963800157803</v>
      </c>
      <c r="G43">
        <v>1</v>
      </c>
      <c r="H43">
        <v>1</v>
      </c>
      <c r="I43" t="s">
        <v>270</v>
      </c>
    </row>
    <row r="44" spans="1:9" x14ac:dyDescent="0.2">
      <c r="A44" t="s">
        <v>115</v>
      </c>
      <c r="B44">
        <v>3024</v>
      </c>
      <c r="C44">
        <v>4</v>
      </c>
      <c r="D44">
        <v>0</v>
      </c>
      <c r="E44">
        <v>-84</v>
      </c>
      <c r="F44">
        <v>0.52100808199611404</v>
      </c>
      <c r="G44">
        <v>1</v>
      </c>
      <c r="H44">
        <v>1</v>
      </c>
      <c r="I44" t="s">
        <v>270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D76-2BFC-3F43-9C69-0A117A9561DB}">
  <dimension ref="A1:I44"/>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271</v>
      </c>
    </row>
    <row r="6" spans="1:1" x14ac:dyDescent="0.2">
      <c r="A6" t="s">
        <v>75</v>
      </c>
    </row>
    <row r="7" spans="1:1" x14ac:dyDescent="0.2">
      <c r="A7" t="s">
        <v>118</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272</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0.145194301000003</v>
      </c>
      <c r="G25">
        <v>1</v>
      </c>
      <c r="H25">
        <v>1</v>
      </c>
    </row>
    <row r="26" spans="1:9" x14ac:dyDescent="0.2">
      <c r="A26" t="s">
        <v>97</v>
      </c>
      <c r="B26">
        <v>90</v>
      </c>
      <c r="C26">
        <v>8</v>
      </c>
      <c r="D26">
        <v>10</v>
      </c>
      <c r="E26">
        <v>0</v>
      </c>
      <c r="F26">
        <v>4.1579137929999703</v>
      </c>
      <c r="G26">
        <v>1</v>
      </c>
      <c r="H26">
        <v>1</v>
      </c>
    </row>
    <row r="27" spans="1:9" x14ac:dyDescent="0.2">
      <c r="A27" t="s">
        <v>98</v>
      </c>
      <c r="B27">
        <v>108</v>
      </c>
      <c r="C27">
        <v>8</v>
      </c>
      <c r="D27">
        <v>10</v>
      </c>
      <c r="E27">
        <v>0</v>
      </c>
      <c r="F27">
        <v>6.46211680800001</v>
      </c>
      <c r="G27">
        <v>1</v>
      </c>
      <c r="H27">
        <v>1</v>
      </c>
    </row>
    <row r="28" spans="1:9" x14ac:dyDescent="0.2">
      <c r="A28" t="s">
        <v>99</v>
      </c>
      <c r="B28">
        <v>144</v>
      </c>
      <c r="C28">
        <v>12</v>
      </c>
      <c r="D28">
        <v>12</v>
      </c>
      <c r="E28">
        <v>0</v>
      </c>
      <c r="F28">
        <v>58.641775220999897</v>
      </c>
      <c r="G28">
        <v>1</v>
      </c>
      <c r="H28">
        <v>1</v>
      </c>
    </row>
    <row r="29" spans="1:9" x14ac:dyDescent="0.2">
      <c r="A29" t="s">
        <v>100</v>
      </c>
      <c r="B29">
        <v>288</v>
      </c>
      <c r="C29">
        <v>12</v>
      </c>
      <c r="D29">
        <v>18</v>
      </c>
      <c r="E29">
        <v>0</v>
      </c>
      <c r="F29">
        <v>28862.900614214999</v>
      </c>
      <c r="G29">
        <v>1</v>
      </c>
      <c r="H29">
        <v>1</v>
      </c>
    </row>
    <row r="30" spans="1:9" x14ac:dyDescent="0.2">
      <c r="A30" t="s">
        <v>101</v>
      </c>
      <c r="B30">
        <v>360</v>
      </c>
      <c r="C30">
        <v>12</v>
      </c>
      <c r="D30">
        <v>24</v>
      </c>
      <c r="E30">
        <v>0</v>
      </c>
      <c r="F30">
        <v>28963.661256711999</v>
      </c>
      <c r="G30">
        <v>1</v>
      </c>
      <c r="H30">
        <v>1</v>
      </c>
    </row>
    <row r="31" spans="1:9" x14ac:dyDescent="0.2">
      <c r="A31" t="s">
        <v>102</v>
      </c>
      <c r="B31">
        <v>756</v>
      </c>
      <c r="C31">
        <v>16</v>
      </c>
      <c r="D31">
        <v>34</v>
      </c>
      <c r="E31">
        <v>0</v>
      </c>
      <c r="F31">
        <v>28801.030362588899</v>
      </c>
      <c r="G31">
        <v>1</v>
      </c>
      <c r="H31">
        <v>1</v>
      </c>
    </row>
    <row r="32" spans="1:9" x14ac:dyDescent="0.2">
      <c r="A32" t="s">
        <v>103</v>
      </c>
      <c r="B32">
        <v>216</v>
      </c>
      <c r="C32">
        <v>8</v>
      </c>
      <c r="D32">
        <v>10</v>
      </c>
      <c r="E32">
        <v>0</v>
      </c>
      <c r="F32">
        <v>4.96470221399795</v>
      </c>
      <c r="G32">
        <v>1</v>
      </c>
      <c r="H32">
        <v>1</v>
      </c>
    </row>
    <row r="33" spans="1:8" x14ac:dyDescent="0.2">
      <c r="A33" t="s">
        <v>104</v>
      </c>
      <c r="B33">
        <v>576</v>
      </c>
      <c r="C33">
        <v>8</v>
      </c>
      <c r="D33">
        <v>24</v>
      </c>
      <c r="E33">
        <v>0</v>
      </c>
      <c r="F33">
        <v>28950.455558786001</v>
      </c>
      <c r="G33">
        <v>1</v>
      </c>
      <c r="H33">
        <v>1</v>
      </c>
    </row>
    <row r="34" spans="1:8" x14ac:dyDescent="0.2">
      <c r="A34" t="s">
        <v>105</v>
      </c>
      <c r="B34">
        <v>864</v>
      </c>
      <c r="C34">
        <v>4</v>
      </c>
      <c r="D34">
        <v>68</v>
      </c>
      <c r="E34">
        <v>28</v>
      </c>
      <c r="F34">
        <v>28972.961278998999</v>
      </c>
      <c r="G34">
        <v>1</v>
      </c>
      <c r="H34">
        <v>1</v>
      </c>
    </row>
    <row r="35" spans="1:8" x14ac:dyDescent="0.2">
      <c r="A35" t="s">
        <v>106</v>
      </c>
      <c r="B35">
        <v>648</v>
      </c>
      <c r="C35">
        <v>4</v>
      </c>
      <c r="D35">
        <v>36</v>
      </c>
      <c r="E35">
        <v>4</v>
      </c>
      <c r="F35">
        <v>28997.1412388565</v>
      </c>
      <c r="G35">
        <v>1</v>
      </c>
      <c r="H35">
        <v>1</v>
      </c>
    </row>
    <row r="36" spans="1:8" x14ac:dyDescent="0.2">
      <c r="A36" t="s">
        <v>107</v>
      </c>
      <c r="B36">
        <v>1080</v>
      </c>
      <c r="C36">
        <v>4</v>
      </c>
      <c r="D36">
        <v>70</v>
      </c>
      <c r="E36">
        <v>14</v>
      </c>
      <c r="F36">
        <v>28946.354998855299</v>
      </c>
      <c r="G36">
        <v>1</v>
      </c>
      <c r="H36">
        <v>1</v>
      </c>
    </row>
    <row r="37" spans="1:8" x14ac:dyDescent="0.2">
      <c r="A37" t="s">
        <v>108</v>
      </c>
      <c r="B37">
        <v>1296</v>
      </c>
      <c r="C37">
        <v>4</v>
      </c>
      <c r="D37">
        <v>94</v>
      </c>
      <c r="E37">
        <v>44</v>
      </c>
      <c r="F37">
        <v>28923.199783917</v>
      </c>
      <c r="G37">
        <v>1</v>
      </c>
      <c r="H37">
        <v>1</v>
      </c>
    </row>
    <row r="38" spans="1:8" x14ac:dyDescent="0.2">
      <c r="A38" t="s">
        <v>109</v>
      </c>
      <c r="B38">
        <v>1152</v>
      </c>
      <c r="C38">
        <v>4</v>
      </c>
      <c r="D38">
        <v>42</v>
      </c>
      <c r="E38">
        <v>0</v>
      </c>
      <c r="F38">
        <v>28919.127489516901</v>
      </c>
      <c r="G38">
        <v>1</v>
      </c>
      <c r="H38">
        <v>1</v>
      </c>
    </row>
    <row r="39" spans="1:8" x14ac:dyDescent="0.2">
      <c r="A39" t="s">
        <v>110</v>
      </c>
      <c r="B39">
        <v>1728</v>
      </c>
      <c r="C39">
        <v>4</v>
      </c>
      <c r="D39">
        <v>108</v>
      </c>
      <c r="E39">
        <v>44</v>
      </c>
      <c r="F39">
        <v>28907.709948575499</v>
      </c>
      <c r="G39">
        <v>1</v>
      </c>
      <c r="H39">
        <v>1</v>
      </c>
    </row>
    <row r="40" spans="1:8" x14ac:dyDescent="0.2">
      <c r="A40" t="s">
        <v>111</v>
      </c>
      <c r="B40">
        <v>2016</v>
      </c>
      <c r="C40">
        <v>8</v>
      </c>
      <c r="D40">
        <v>66</v>
      </c>
      <c r="E40">
        <v>12</v>
      </c>
      <c r="F40">
        <v>28890.6160861477</v>
      </c>
      <c r="G40">
        <v>1</v>
      </c>
      <c r="H40">
        <v>1</v>
      </c>
    </row>
    <row r="41" spans="1:8" x14ac:dyDescent="0.2">
      <c r="A41" t="s">
        <v>112</v>
      </c>
      <c r="B41">
        <v>2160</v>
      </c>
      <c r="C41">
        <v>8</v>
      </c>
      <c r="D41">
        <v>180</v>
      </c>
      <c r="E41">
        <v>116</v>
      </c>
      <c r="F41">
        <v>28872.270616553698</v>
      </c>
      <c r="G41">
        <v>1</v>
      </c>
      <c r="H41">
        <v>1</v>
      </c>
    </row>
    <row r="42" spans="1:8" x14ac:dyDescent="0.2">
      <c r="A42" t="s">
        <v>113</v>
      </c>
      <c r="B42">
        <v>2520</v>
      </c>
      <c r="C42">
        <v>8</v>
      </c>
      <c r="D42">
        <v>56</v>
      </c>
      <c r="E42">
        <v>2</v>
      </c>
      <c r="F42">
        <v>28854.312087975399</v>
      </c>
      <c r="G42">
        <v>1</v>
      </c>
      <c r="H42">
        <v>1</v>
      </c>
    </row>
    <row r="43" spans="1:8" x14ac:dyDescent="0.2">
      <c r="A43" t="s">
        <v>114</v>
      </c>
      <c r="B43">
        <v>2592</v>
      </c>
      <c r="C43">
        <v>8</v>
      </c>
      <c r="D43">
        <v>68</v>
      </c>
      <c r="E43">
        <v>32</v>
      </c>
      <c r="F43">
        <v>28851.162602156401</v>
      </c>
      <c r="G43">
        <v>1</v>
      </c>
      <c r="H43">
        <v>1</v>
      </c>
    </row>
    <row r="44" spans="1:8" x14ac:dyDescent="0.2">
      <c r="A44" t="s">
        <v>115</v>
      </c>
      <c r="B44">
        <v>3024</v>
      </c>
      <c r="C44">
        <v>4</v>
      </c>
      <c r="D44">
        <v>88</v>
      </c>
      <c r="E44">
        <v>4</v>
      </c>
      <c r="F44">
        <v>28844.2125263288</v>
      </c>
      <c r="G44">
        <v>1</v>
      </c>
      <c r="H44">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89EF3-6ECC-1742-88E4-B042E47C2704}">
  <dimension ref="A1:I45"/>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273</v>
      </c>
    </row>
    <row r="6" spans="1:1" x14ac:dyDescent="0.2">
      <c r="A6" t="s">
        <v>75</v>
      </c>
    </row>
    <row r="7" spans="1:1" x14ac:dyDescent="0.2">
      <c r="A7" t="s">
        <v>118</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274</v>
      </c>
    </row>
    <row r="22" spans="1:9" x14ac:dyDescent="0.2">
      <c r="A22" t="s">
        <v>90</v>
      </c>
    </row>
    <row r="23" spans="1:9" x14ac:dyDescent="0.2">
      <c r="A23" t="s">
        <v>275</v>
      </c>
    </row>
    <row r="24" spans="1:9" x14ac:dyDescent="0.2">
      <c r="A24" t="s">
        <v>92</v>
      </c>
    </row>
    <row r="25" spans="1:9" x14ac:dyDescent="0.2">
      <c r="A25" t="s">
        <v>93</v>
      </c>
      <c r="B25" t="s">
        <v>61</v>
      </c>
      <c r="C25" t="s">
        <v>94</v>
      </c>
      <c r="D25" t="s">
        <v>95</v>
      </c>
      <c r="E25" t="s">
        <v>124</v>
      </c>
      <c r="F25" t="s">
        <v>125</v>
      </c>
      <c r="G25" t="s">
        <v>58</v>
      </c>
      <c r="H25" t="s">
        <v>59</v>
      </c>
      <c r="I25" t="s">
        <v>126</v>
      </c>
    </row>
    <row r="26" spans="1:9" x14ac:dyDescent="0.2">
      <c r="A26" t="s">
        <v>96</v>
      </c>
      <c r="B26">
        <v>72</v>
      </c>
      <c r="C26">
        <v>12</v>
      </c>
      <c r="D26">
        <v>6</v>
      </c>
      <c r="E26">
        <v>0</v>
      </c>
      <c r="F26">
        <v>0.64200242600000401</v>
      </c>
      <c r="G26">
        <v>1</v>
      </c>
      <c r="H26">
        <v>1</v>
      </c>
      <c r="I26" t="s">
        <v>276</v>
      </c>
    </row>
    <row r="27" spans="1:9" x14ac:dyDescent="0.2">
      <c r="A27" t="s">
        <v>97</v>
      </c>
      <c r="B27">
        <v>90</v>
      </c>
      <c r="C27">
        <v>8</v>
      </c>
      <c r="D27">
        <v>10</v>
      </c>
      <c r="E27">
        <v>0</v>
      </c>
      <c r="F27">
        <v>20.711546717999902</v>
      </c>
      <c r="G27">
        <v>1</v>
      </c>
      <c r="H27">
        <v>1</v>
      </c>
      <c r="I27" t="s">
        <v>277</v>
      </c>
    </row>
    <row r="28" spans="1:9" x14ac:dyDescent="0.2">
      <c r="A28" t="s">
        <v>98</v>
      </c>
      <c r="B28">
        <v>108</v>
      </c>
      <c r="C28">
        <v>8</v>
      </c>
      <c r="D28">
        <v>10</v>
      </c>
      <c r="E28">
        <v>0</v>
      </c>
      <c r="F28">
        <v>32.492171583999998</v>
      </c>
      <c r="G28">
        <v>1</v>
      </c>
      <c r="H28">
        <v>1</v>
      </c>
      <c r="I28" t="s">
        <v>278</v>
      </c>
    </row>
    <row r="29" spans="1:9" x14ac:dyDescent="0.2">
      <c r="A29" t="s">
        <v>99</v>
      </c>
      <c r="B29">
        <v>144</v>
      </c>
      <c r="C29">
        <v>12</v>
      </c>
      <c r="D29">
        <v>12</v>
      </c>
      <c r="E29">
        <v>0</v>
      </c>
      <c r="F29">
        <v>215.899390141</v>
      </c>
      <c r="G29">
        <v>1</v>
      </c>
      <c r="H29">
        <v>1</v>
      </c>
      <c r="I29" t="s">
        <v>279</v>
      </c>
    </row>
    <row r="30" spans="1:9" x14ac:dyDescent="0.2">
      <c r="A30" t="s">
        <v>100</v>
      </c>
      <c r="B30">
        <v>288</v>
      </c>
      <c r="C30">
        <v>12</v>
      </c>
      <c r="D30">
        <v>18</v>
      </c>
      <c r="E30">
        <v>0</v>
      </c>
      <c r="F30">
        <v>28820.421635354</v>
      </c>
      <c r="G30">
        <v>1</v>
      </c>
      <c r="H30">
        <v>1</v>
      </c>
      <c r="I30" t="s">
        <v>280</v>
      </c>
    </row>
    <row r="31" spans="1:9" x14ac:dyDescent="0.2">
      <c r="A31" t="s">
        <v>101</v>
      </c>
      <c r="B31">
        <v>360</v>
      </c>
      <c r="C31">
        <v>12</v>
      </c>
      <c r="D31">
        <v>24</v>
      </c>
      <c r="E31">
        <v>0</v>
      </c>
      <c r="F31">
        <v>28824.707667926999</v>
      </c>
      <c r="G31">
        <v>1</v>
      </c>
      <c r="H31">
        <v>1</v>
      </c>
      <c r="I31" t="s">
        <v>281</v>
      </c>
    </row>
    <row r="32" spans="1:9" x14ac:dyDescent="0.2">
      <c r="A32" t="s">
        <v>102</v>
      </c>
      <c r="B32">
        <v>756</v>
      </c>
      <c r="C32">
        <v>16</v>
      </c>
      <c r="D32">
        <v>38</v>
      </c>
      <c r="E32">
        <v>4</v>
      </c>
      <c r="F32">
        <v>28808.019443771998</v>
      </c>
      <c r="G32">
        <v>1</v>
      </c>
      <c r="H32">
        <v>1</v>
      </c>
      <c r="I32" t="s">
        <v>282</v>
      </c>
    </row>
    <row r="33" spans="1:9" x14ac:dyDescent="0.2">
      <c r="A33" t="s">
        <v>103</v>
      </c>
      <c r="B33">
        <v>216</v>
      </c>
      <c r="C33">
        <v>8</v>
      </c>
      <c r="D33">
        <v>10</v>
      </c>
      <c r="E33">
        <v>0</v>
      </c>
      <c r="F33">
        <v>64.214648583991206</v>
      </c>
      <c r="G33">
        <v>1</v>
      </c>
      <c r="H33">
        <v>1</v>
      </c>
      <c r="I33" t="s">
        <v>283</v>
      </c>
    </row>
    <row r="34" spans="1:9" x14ac:dyDescent="0.2">
      <c r="A34" t="s">
        <v>104</v>
      </c>
      <c r="B34">
        <v>576</v>
      </c>
      <c r="C34">
        <v>8</v>
      </c>
      <c r="D34">
        <v>24</v>
      </c>
      <c r="E34">
        <v>0</v>
      </c>
      <c r="F34">
        <v>28838.660237399999</v>
      </c>
      <c r="G34">
        <v>1</v>
      </c>
      <c r="H34">
        <v>1</v>
      </c>
      <c r="I34" t="s">
        <v>284</v>
      </c>
    </row>
    <row r="35" spans="1:9" x14ac:dyDescent="0.2">
      <c r="A35" t="s">
        <v>105</v>
      </c>
      <c r="B35">
        <v>864</v>
      </c>
      <c r="C35">
        <v>4</v>
      </c>
      <c r="D35">
        <v>42</v>
      </c>
      <c r="E35">
        <v>2</v>
      </c>
      <c r="F35">
        <v>28814.485713330901</v>
      </c>
      <c r="G35">
        <v>1</v>
      </c>
      <c r="H35">
        <v>1</v>
      </c>
      <c r="I35" t="s">
        <v>285</v>
      </c>
    </row>
    <row r="36" spans="1:9" x14ac:dyDescent="0.2">
      <c r="A36" t="s">
        <v>106</v>
      </c>
      <c r="B36">
        <v>648</v>
      </c>
      <c r="C36">
        <v>4</v>
      </c>
      <c r="D36">
        <v>32</v>
      </c>
      <c r="E36">
        <v>0</v>
      </c>
      <c r="F36">
        <v>28824.773869532601</v>
      </c>
      <c r="G36">
        <v>1</v>
      </c>
      <c r="H36">
        <v>1</v>
      </c>
      <c r="I36" t="s">
        <v>286</v>
      </c>
    </row>
    <row r="37" spans="1:9" x14ac:dyDescent="0.2">
      <c r="A37" t="s">
        <v>107</v>
      </c>
      <c r="B37">
        <v>1080</v>
      </c>
      <c r="C37">
        <v>4</v>
      </c>
      <c r="D37">
        <v>64</v>
      </c>
      <c r="E37">
        <v>8</v>
      </c>
      <c r="F37">
        <v>28828.368171891099</v>
      </c>
      <c r="G37">
        <v>1</v>
      </c>
      <c r="H37">
        <v>1</v>
      </c>
      <c r="I37" t="s">
        <v>287</v>
      </c>
    </row>
    <row r="38" spans="1:9" x14ac:dyDescent="0.2">
      <c r="A38" t="s">
        <v>108</v>
      </c>
      <c r="B38">
        <v>1296</v>
      </c>
      <c r="C38">
        <v>4</v>
      </c>
      <c r="D38">
        <v>36</v>
      </c>
      <c r="E38">
        <v>-14</v>
      </c>
      <c r="F38">
        <v>28825.134829040999</v>
      </c>
      <c r="G38">
        <v>1</v>
      </c>
      <c r="H38">
        <v>1</v>
      </c>
      <c r="I38" t="s">
        <v>288</v>
      </c>
    </row>
    <row r="39" spans="1:9" x14ac:dyDescent="0.2">
      <c r="A39" t="s">
        <v>109</v>
      </c>
      <c r="B39">
        <v>1152</v>
      </c>
      <c r="C39">
        <v>4</v>
      </c>
      <c r="D39">
        <v>36</v>
      </c>
      <c r="E39">
        <v>-6</v>
      </c>
      <c r="F39">
        <v>28821.4918538448</v>
      </c>
      <c r="G39">
        <v>1</v>
      </c>
      <c r="H39">
        <v>1</v>
      </c>
      <c r="I39" t="s">
        <v>289</v>
      </c>
    </row>
    <row r="40" spans="1:9" x14ac:dyDescent="0.2">
      <c r="A40" t="s">
        <v>110</v>
      </c>
      <c r="B40">
        <v>1728</v>
      </c>
      <c r="C40">
        <v>4</v>
      </c>
      <c r="D40">
        <v>76</v>
      </c>
      <c r="E40">
        <v>12</v>
      </c>
      <c r="F40">
        <v>28828.496169322101</v>
      </c>
      <c r="G40">
        <v>1</v>
      </c>
      <c r="H40">
        <v>1</v>
      </c>
      <c r="I40" t="s">
        <v>290</v>
      </c>
    </row>
    <row r="41" spans="1:9" x14ac:dyDescent="0.2">
      <c r="A41" t="s">
        <v>111</v>
      </c>
      <c r="B41">
        <v>2016</v>
      </c>
      <c r="C41">
        <v>8</v>
      </c>
      <c r="D41">
        <v>54</v>
      </c>
      <c r="E41">
        <v>0</v>
      </c>
      <c r="F41">
        <v>28823.083052739501</v>
      </c>
      <c r="G41">
        <v>1</v>
      </c>
      <c r="H41">
        <v>1</v>
      </c>
      <c r="I41" t="s">
        <v>291</v>
      </c>
    </row>
    <row r="42" spans="1:9" x14ac:dyDescent="0.2">
      <c r="A42" t="s">
        <v>112</v>
      </c>
      <c r="B42">
        <v>2160</v>
      </c>
      <c r="C42">
        <v>8</v>
      </c>
      <c r="D42">
        <v>204</v>
      </c>
      <c r="E42">
        <v>140</v>
      </c>
      <c r="F42">
        <v>28825.068733595301</v>
      </c>
      <c r="G42">
        <v>1</v>
      </c>
      <c r="H42">
        <v>1</v>
      </c>
      <c r="I42" t="s">
        <v>292</v>
      </c>
    </row>
    <row r="43" spans="1:9" x14ac:dyDescent="0.2">
      <c r="A43" t="s">
        <v>113</v>
      </c>
      <c r="B43">
        <v>2520</v>
      </c>
      <c r="C43">
        <v>8</v>
      </c>
      <c r="D43">
        <v>64</v>
      </c>
      <c r="E43">
        <v>10</v>
      </c>
      <c r="F43">
        <v>28813.352203816099</v>
      </c>
      <c r="G43">
        <v>1</v>
      </c>
      <c r="H43">
        <v>1</v>
      </c>
      <c r="I43" t="s">
        <v>293</v>
      </c>
    </row>
    <row r="44" spans="1:9" x14ac:dyDescent="0.2">
      <c r="A44" t="s">
        <v>114</v>
      </c>
      <c r="B44">
        <v>2592</v>
      </c>
      <c r="C44">
        <v>8</v>
      </c>
      <c r="D44">
        <v>48</v>
      </c>
      <c r="E44">
        <v>12</v>
      </c>
      <c r="F44">
        <v>28816.122593067499</v>
      </c>
      <c r="G44">
        <v>1</v>
      </c>
      <c r="H44">
        <v>1</v>
      </c>
      <c r="I44" t="s">
        <v>294</v>
      </c>
    </row>
    <row r="45" spans="1:9" x14ac:dyDescent="0.2">
      <c r="A45" t="s">
        <v>115</v>
      </c>
      <c r="B45">
        <v>3024</v>
      </c>
      <c r="C45">
        <v>4</v>
      </c>
      <c r="D45">
        <v>238</v>
      </c>
      <c r="E45">
        <v>154</v>
      </c>
      <c r="F45">
        <v>28814.3673165664</v>
      </c>
      <c r="G45">
        <v>1</v>
      </c>
      <c r="H45">
        <v>1</v>
      </c>
      <c r="I45" t="s">
        <v>295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46067-4649-A34F-9C36-1E267B262777}">
  <dimension ref="A3:EF45"/>
  <sheetViews>
    <sheetView topLeftCell="AB37" workbookViewId="0">
      <selection activeCell="A20" sqref="A20"/>
    </sheetView>
  </sheetViews>
  <sheetFormatPr baseColWidth="10" defaultColWidth="11" defaultRowHeight="16" x14ac:dyDescent="0.2"/>
  <cols>
    <col min="1" max="1" width="16.5" bestFit="1" customWidth="1"/>
    <col min="2" max="3" width="8.33203125" bestFit="1" customWidth="1"/>
    <col min="4" max="4" width="11.5" bestFit="1" customWidth="1"/>
    <col min="5" max="6" width="12.1640625" bestFit="1" customWidth="1"/>
    <col min="7" max="7" width="14.5" bestFit="1" customWidth="1"/>
    <col min="8" max="8" width="14.1640625" bestFit="1" customWidth="1"/>
    <col min="9" max="9" width="15.1640625" bestFit="1" customWidth="1"/>
    <col min="10" max="10" width="17.33203125" bestFit="1" customWidth="1"/>
    <col min="11" max="11" width="14.1640625" bestFit="1" customWidth="1"/>
    <col min="12" max="12" width="15.1640625" bestFit="1" customWidth="1"/>
    <col min="13" max="13" width="17.33203125" bestFit="1" customWidth="1"/>
    <col min="14" max="14" width="12.33203125" bestFit="1" customWidth="1"/>
    <col min="15" max="18" width="2.5" customWidth="1"/>
    <col min="19" max="19" width="6.1640625" bestFit="1" customWidth="1"/>
    <col min="20" max="20" width="6" bestFit="1" customWidth="1"/>
    <col min="21" max="21" width="11.5" bestFit="1" customWidth="1"/>
    <col min="22" max="23" width="12.1640625" bestFit="1" customWidth="1"/>
    <col min="24" max="24" width="14.5" bestFit="1" customWidth="1"/>
    <col min="25" max="25" width="14.1640625" bestFit="1" customWidth="1"/>
    <col min="26" max="26" width="15.1640625" bestFit="1" customWidth="1"/>
    <col min="27" max="27" width="17.33203125" bestFit="1" customWidth="1"/>
    <col min="28" max="28" width="12.33203125" bestFit="1" customWidth="1"/>
    <col min="29" max="32" width="2.6640625" customWidth="1"/>
    <col min="33" max="33" width="6.1640625" bestFit="1" customWidth="1"/>
    <col min="34" max="34" width="6" bestFit="1" customWidth="1"/>
    <col min="35" max="35" width="11.5" bestFit="1" customWidth="1"/>
    <col min="36" max="37" width="12.1640625" bestFit="1" customWidth="1"/>
    <col min="38" max="38" width="14.5" bestFit="1" customWidth="1"/>
    <col min="39" max="39" width="14.1640625" bestFit="1" customWidth="1"/>
    <col min="40" max="40" width="15.1640625" bestFit="1" customWidth="1"/>
    <col min="41" max="41" width="17.33203125" bestFit="1" customWidth="1"/>
    <col min="42" max="42" width="12.33203125" bestFit="1" customWidth="1"/>
    <col min="43" max="46" width="2.83203125" customWidth="1"/>
    <col min="47" max="47" width="6.1640625" bestFit="1" customWidth="1"/>
    <col min="48" max="48" width="6" bestFit="1" customWidth="1"/>
    <col min="49" max="49" width="11.5" bestFit="1" customWidth="1"/>
    <col min="50" max="51" width="12.1640625" bestFit="1" customWidth="1"/>
    <col min="52" max="52" width="14.5" bestFit="1" customWidth="1"/>
    <col min="53" max="53" width="14.1640625" bestFit="1" customWidth="1"/>
    <col min="54" max="54" width="15.1640625" bestFit="1" customWidth="1"/>
    <col min="55" max="55" width="17.33203125" bestFit="1" customWidth="1"/>
    <col min="56" max="56" width="12.33203125" bestFit="1" customWidth="1"/>
    <col min="57" max="60" width="3.1640625" customWidth="1"/>
    <col min="61" max="61" width="6.1640625" bestFit="1" customWidth="1"/>
    <col min="62" max="62" width="6" bestFit="1" customWidth="1"/>
    <col min="63" max="63" width="11.5" bestFit="1" customWidth="1"/>
    <col min="64" max="65" width="12.1640625" bestFit="1" customWidth="1"/>
    <col min="66" max="66" width="14.5" bestFit="1" customWidth="1"/>
    <col min="67" max="67" width="14.1640625" bestFit="1" customWidth="1"/>
    <col min="68" max="68" width="15.1640625" bestFit="1" customWidth="1"/>
    <col min="69" max="69" width="17.33203125" bestFit="1" customWidth="1"/>
    <col min="70" max="70" width="12.33203125" bestFit="1" customWidth="1"/>
    <col min="71" max="74" width="2.33203125" customWidth="1"/>
    <col min="75" max="75" width="6.1640625" bestFit="1" customWidth="1"/>
    <col min="76" max="76" width="6" bestFit="1" customWidth="1"/>
    <col min="77" max="77" width="11.5" bestFit="1" customWidth="1"/>
    <col min="78" max="79" width="12.1640625" bestFit="1" customWidth="1"/>
    <col min="80" max="80" width="14.5" bestFit="1" customWidth="1"/>
    <col min="81" max="81" width="14.1640625" bestFit="1" customWidth="1"/>
    <col min="82" max="82" width="15.1640625" bestFit="1" customWidth="1"/>
    <col min="83" max="83" width="17.33203125" bestFit="1" customWidth="1"/>
    <col min="84" max="88" width="3.1640625" customWidth="1"/>
    <col min="89" max="89" width="6.1640625" bestFit="1" customWidth="1"/>
    <col min="90" max="90" width="6" bestFit="1" customWidth="1"/>
    <col min="91" max="91" width="11.5" bestFit="1" customWidth="1"/>
    <col min="92" max="93" width="12.1640625" bestFit="1" customWidth="1"/>
    <col min="94" max="94" width="14.5" bestFit="1" customWidth="1"/>
    <col min="95" max="95" width="14.1640625" bestFit="1" customWidth="1"/>
    <col min="96" max="96" width="15.1640625" bestFit="1" customWidth="1"/>
    <col min="97" max="97" width="17.33203125" bestFit="1" customWidth="1"/>
    <col min="98" max="98" width="12.33203125" bestFit="1" customWidth="1"/>
    <col min="99" max="102" width="3" customWidth="1"/>
    <col min="103" max="103" width="6.1640625" bestFit="1" customWidth="1"/>
    <col min="104" max="104" width="6" bestFit="1" customWidth="1"/>
    <col min="105" max="105" width="11.5" bestFit="1" customWidth="1"/>
    <col min="106" max="107" width="12.1640625" bestFit="1" customWidth="1"/>
    <col min="108" max="108" width="14.5" bestFit="1" customWidth="1"/>
    <col min="109" max="109" width="14.1640625" bestFit="1" customWidth="1"/>
    <col min="110" max="110" width="15.1640625" bestFit="1" customWidth="1"/>
    <col min="111" max="111" width="17.33203125" bestFit="1" customWidth="1"/>
    <col min="112" max="116" width="2.6640625" customWidth="1"/>
    <col min="117" max="117" width="6.1640625" bestFit="1" customWidth="1"/>
    <col min="118" max="118" width="6" bestFit="1" customWidth="1"/>
    <col min="119" max="119" width="11.5" bestFit="1" customWidth="1"/>
    <col min="120" max="121" width="12.1640625" bestFit="1" customWidth="1"/>
    <col min="122" max="122" width="14.5" bestFit="1" customWidth="1"/>
    <col min="123" max="123" width="14.1640625" bestFit="1" customWidth="1"/>
    <col min="124" max="124" width="15.1640625" bestFit="1" customWidth="1"/>
    <col min="125" max="125" width="17.33203125" bestFit="1" customWidth="1"/>
    <col min="126" max="130" width="4" customWidth="1"/>
  </cols>
  <sheetData>
    <row r="3" spans="1:23" x14ac:dyDescent="0.2">
      <c r="A3" s="22"/>
    </row>
    <row r="5" spans="1:23" x14ac:dyDescent="0.2">
      <c r="A5" s="22"/>
    </row>
    <row r="7" spans="1:23" x14ac:dyDescent="0.2">
      <c r="B7" s="5" t="str">
        <f>E25</f>
        <v>bposd</v>
      </c>
      <c r="C7" s="5" t="str">
        <f t="shared" ref="C7:D7" si="0">F25</f>
        <v>bplsd</v>
      </c>
      <c r="D7" s="5" t="str">
        <f t="shared" si="0"/>
        <v>bposd-serial</v>
      </c>
      <c r="E7" s="5" t="str">
        <f>J25</f>
        <v>bposd-addstabs</v>
      </c>
      <c r="G7" s="5" t="str">
        <f>I25</f>
        <v>bposd-order0</v>
      </c>
      <c r="H7" s="5" t="s">
        <v>296</v>
      </c>
      <c r="I7" s="5" t="str">
        <f>H25</f>
        <v>bposd-order8</v>
      </c>
      <c r="K7" s="5" t="str">
        <f>K25</f>
        <v>bposd-maxiter0</v>
      </c>
      <c r="L7" s="5" t="str">
        <f>L25</f>
        <v>bposd-maxiter10</v>
      </c>
      <c r="M7" s="5" t="s">
        <v>297</v>
      </c>
      <c r="N7" s="5" t="str">
        <f>M25</f>
        <v>bposd-maxiter1000</v>
      </c>
      <c r="V7" s="3"/>
      <c r="W7" s="4" t="str">
        <f t="shared" ref="W7:W16" si="1">IF(T7,S7/T7,"")</f>
        <v/>
      </c>
    </row>
    <row r="8" spans="1:23" x14ac:dyDescent="0.2">
      <c r="A8" s="22" t="s">
        <v>298</v>
      </c>
      <c r="B8" t="e">
        <f ca="1">SUM(AG:AG)</f>
        <v>#REF!</v>
      </c>
      <c r="C8" t="e">
        <f ca="1">SUM(AH:AH)</f>
        <v>#REF!</v>
      </c>
      <c r="D8" t="e">
        <f ca="1">SUM(AI:AI)</f>
        <v>#REF!</v>
      </c>
      <c r="E8" t="e">
        <f ca="1">SUM(AL:AL)</f>
        <v>#REF!</v>
      </c>
      <c r="G8" t="e">
        <f ca="1">SUM(AK:AK)</f>
        <v>#REF!</v>
      </c>
      <c r="H8" t="e">
        <f ca="1">B8</f>
        <v>#REF!</v>
      </c>
      <c r="I8" t="e">
        <f ca="1">SUM(AJ:AJ)</f>
        <v>#REF!</v>
      </c>
      <c r="K8" t="e">
        <f ca="1">SUM(AM:AM)</f>
        <v>#REF!</v>
      </c>
      <c r="L8" t="e">
        <f ca="1">SUM(AN:AN)</f>
        <v>#REF!</v>
      </c>
      <c r="M8" t="e">
        <f ca="1">B8</f>
        <v>#REF!</v>
      </c>
      <c r="N8" t="e">
        <f ca="1">SUM(AO:AO)</f>
        <v>#REF!</v>
      </c>
      <c r="V8" s="3"/>
      <c r="W8" s="4" t="str">
        <f t="shared" si="1"/>
        <v/>
      </c>
    </row>
    <row r="9" spans="1:23" x14ac:dyDescent="0.2">
      <c r="A9" s="5" t="s">
        <v>31</v>
      </c>
      <c r="B9" s="6" t="e">
        <f ca="1">SUM(DM:DM)</f>
        <v>#REF!</v>
      </c>
      <c r="C9" s="6" t="e">
        <f ca="1">SUM(DN:DN)</f>
        <v>#REF!</v>
      </c>
      <c r="D9" s="6" t="e">
        <f ca="1">SUM(DO:DO)</f>
        <v>#REF!</v>
      </c>
      <c r="E9" s="6" t="e">
        <f ca="1">SUM(DR:DR)</f>
        <v>#REF!</v>
      </c>
      <c r="G9" s="6" t="e">
        <f ca="1">SUM(DQ:DQ)</f>
        <v>#REF!</v>
      </c>
      <c r="H9" s="6" t="e">
        <f t="shared" ref="H9:H16" ca="1" si="2">B9</f>
        <v>#REF!</v>
      </c>
      <c r="I9" s="6" t="e">
        <f ca="1">SUM(DP:DP)</f>
        <v>#REF!</v>
      </c>
      <c r="K9" s="6" t="e">
        <f ca="1">SUM(DS:DS)</f>
        <v>#REF!</v>
      </c>
      <c r="L9" s="6" t="e">
        <f ca="1">SUM(DT:DT)</f>
        <v>#REF!</v>
      </c>
      <c r="M9" s="6" t="e">
        <f t="shared" ref="M9:M16" ca="1" si="3">B9</f>
        <v>#REF!</v>
      </c>
      <c r="N9" s="6" t="e">
        <f ca="1">SUM(DU:DU)</f>
        <v>#REF!</v>
      </c>
      <c r="V9" s="3"/>
      <c r="W9" s="4" t="str">
        <f t="shared" si="1"/>
        <v/>
      </c>
    </row>
    <row r="10" spans="1:23" x14ac:dyDescent="0.2">
      <c r="A10" s="5" t="s">
        <v>299</v>
      </c>
      <c r="B10" s="4" t="e">
        <f ca="1">SUM(BW:BW)</f>
        <v>#REF!</v>
      </c>
      <c r="C10" s="4" t="e">
        <f ca="1">SUM(BX:BX)</f>
        <v>#REF!</v>
      </c>
      <c r="D10" s="4" t="e">
        <f ca="1">SUM(BY:BY)</f>
        <v>#REF!</v>
      </c>
      <c r="E10" s="4" t="e">
        <f ca="1">SUM(CB:CB)</f>
        <v>#REF!</v>
      </c>
      <c r="G10" s="4" t="e">
        <f ca="1">SUM(CA:CA)</f>
        <v>#REF!</v>
      </c>
      <c r="H10" s="4" t="e">
        <f t="shared" ca="1" si="2"/>
        <v>#REF!</v>
      </c>
      <c r="I10" s="4" t="e">
        <f ca="1">SUM(BZ:BZ)</f>
        <v>#REF!</v>
      </c>
      <c r="K10" s="4" t="e">
        <f ca="1">SUM(CC:CC)</f>
        <v>#REF!</v>
      </c>
      <c r="L10" s="4" t="e">
        <f ca="1">SUM(CD:CD)</f>
        <v>#REF!</v>
      </c>
      <c r="M10" s="4" t="e">
        <f t="shared" ca="1" si="3"/>
        <v>#REF!</v>
      </c>
      <c r="N10" s="4" t="e">
        <f ca="1">SUM(CE:CE)</f>
        <v>#REF!</v>
      </c>
      <c r="V10" s="3"/>
      <c r="W10" s="4" t="str">
        <f t="shared" si="1"/>
        <v/>
      </c>
    </row>
    <row r="11" spans="1:23" x14ac:dyDescent="0.2">
      <c r="A11" s="5" t="s">
        <v>36</v>
      </c>
      <c r="B11" s="7" t="e">
        <f ca="1">IF(B9,B10/B9,"")</f>
        <v>#REF!</v>
      </c>
      <c r="C11" s="7" t="e">
        <f t="shared" ref="C11:D11" ca="1" si="4">IF(C9,C10/C9,"")</f>
        <v>#REF!</v>
      </c>
      <c r="D11" s="7" t="e">
        <f t="shared" ca="1" si="4"/>
        <v>#REF!</v>
      </c>
      <c r="E11" s="7" t="e">
        <f ca="1">IF(E9,E10/E9,"")</f>
        <v>#REF!</v>
      </c>
      <c r="G11" s="7" t="e">
        <f ca="1">IF(G9,G10/G9,"")</f>
        <v>#REF!</v>
      </c>
      <c r="H11" s="7" t="e">
        <f t="shared" ca="1" si="2"/>
        <v>#REF!</v>
      </c>
      <c r="I11" s="7" t="e">
        <f ca="1">IF(I9,I10/I9,"")</f>
        <v>#REF!</v>
      </c>
      <c r="K11" s="7" t="e">
        <f ca="1">IF(K9,K10/K9,"")</f>
        <v>#REF!</v>
      </c>
      <c r="L11" s="7" t="e">
        <f ca="1">IF(L9,L10/L9,"")</f>
        <v>#REF!</v>
      </c>
      <c r="M11" s="7" t="e">
        <f t="shared" ca="1" si="3"/>
        <v>#REF!</v>
      </c>
      <c r="N11" s="7" t="e">
        <f ca="1">IF(N9,N10/N9,"")</f>
        <v>#REF!</v>
      </c>
      <c r="V11" s="3"/>
      <c r="W11" s="4" t="str">
        <f t="shared" si="1"/>
        <v/>
      </c>
    </row>
    <row r="12" spans="1:23" x14ac:dyDescent="0.2">
      <c r="A12" s="5" t="s">
        <v>24</v>
      </c>
      <c r="B12" t="e">
        <f ca="1">SUM(BI:BI)</f>
        <v>#REF!</v>
      </c>
      <c r="C12" t="e">
        <f ca="1">SUM(BJ:BJ)</f>
        <v>#REF!</v>
      </c>
      <c r="D12" t="e">
        <f ca="1">SUM(BK:BK)</f>
        <v>#REF!</v>
      </c>
      <c r="E12" t="e">
        <f ca="1">SUM(BN:BN)</f>
        <v>#REF!</v>
      </c>
      <c r="G12" t="e">
        <f ca="1">SUM(BM:BM)</f>
        <v>#REF!</v>
      </c>
      <c r="H12" t="e">
        <f t="shared" ca="1" si="2"/>
        <v>#REF!</v>
      </c>
      <c r="I12" t="e">
        <f ca="1">SUM(BL:BL)</f>
        <v>#REF!</v>
      </c>
      <c r="K12" t="e">
        <f ca="1">SUM(BO:BO)</f>
        <v>#REF!</v>
      </c>
      <c r="L12" t="e">
        <f ca="1">SUM(BP:BP)</f>
        <v>#REF!</v>
      </c>
      <c r="M12" t="e">
        <f t="shared" ca="1" si="3"/>
        <v>#REF!</v>
      </c>
      <c r="N12" t="e">
        <f ca="1">SUM(BQ:BQ)</f>
        <v>#REF!</v>
      </c>
      <c r="V12" s="3"/>
      <c r="W12" s="4" t="str">
        <f t="shared" si="1"/>
        <v/>
      </c>
    </row>
    <row r="13" spans="1:23" x14ac:dyDescent="0.2">
      <c r="A13" s="5" t="s">
        <v>31</v>
      </c>
      <c r="B13" s="6" t="e">
        <f ca="1">SUM(CY:CY)</f>
        <v>#REF!</v>
      </c>
      <c r="C13" s="6" t="e">
        <f ca="1">SUM(CZ:CZ)</f>
        <v>#REF!</v>
      </c>
      <c r="D13" s="6" t="e">
        <f ca="1">SUM(DA:DA)</f>
        <v>#REF!</v>
      </c>
      <c r="E13" s="6" t="e">
        <f ca="1">SUM(DD:DD)</f>
        <v>#REF!</v>
      </c>
      <c r="G13" s="6" t="e">
        <f ca="1">SUM(DC:DC)</f>
        <v>#REF!</v>
      </c>
      <c r="H13" s="6" t="e">
        <f t="shared" ca="1" si="2"/>
        <v>#REF!</v>
      </c>
      <c r="I13" s="6" t="e">
        <f ca="1">SUM(DB:DB)</f>
        <v>#REF!</v>
      </c>
      <c r="K13" s="6" t="e">
        <f ca="1">SUM(DE:DE)</f>
        <v>#REF!</v>
      </c>
      <c r="L13" s="6" t="e">
        <f ca="1">SUM(DF:DF)</f>
        <v>#REF!</v>
      </c>
      <c r="M13" s="6" t="e">
        <f t="shared" ca="1" si="3"/>
        <v>#REF!</v>
      </c>
      <c r="N13" s="6" t="e">
        <f ca="1">SUM(DG:DG)</f>
        <v>#REF!</v>
      </c>
      <c r="V13" s="3"/>
      <c r="W13" s="4" t="str">
        <f t="shared" si="1"/>
        <v/>
      </c>
    </row>
    <row r="14" spans="1:23" x14ac:dyDescent="0.2">
      <c r="A14" s="5" t="s">
        <v>299</v>
      </c>
      <c r="B14" s="4" t="e">
        <f ca="1">SUM(CK:CK)</f>
        <v>#REF!</v>
      </c>
      <c r="C14" s="4" t="e">
        <f ca="1">SUM(CL:CL)</f>
        <v>#REF!</v>
      </c>
      <c r="D14" s="4" t="e">
        <f ca="1">SUM(CM:CM)</f>
        <v>#REF!</v>
      </c>
      <c r="E14" s="4" t="e">
        <f ca="1">SUM(CP:CP)</f>
        <v>#REF!</v>
      </c>
      <c r="G14" s="4" t="e">
        <f ca="1">SUM(CO:CO)</f>
        <v>#REF!</v>
      </c>
      <c r="H14" s="4" t="e">
        <f t="shared" ca="1" si="2"/>
        <v>#REF!</v>
      </c>
      <c r="I14" s="4" t="e">
        <f ca="1">SUM(CN:CN)</f>
        <v>#REF!</v>
      </c>
      <c r="K14" s="4" t="e">
        <f ca="1">SUM(CQ:CQ)</f>
        <v>#REF!</v>
      </c>
      <c r="L14" s="4" t="e">
        <f ca="1">SUM(CR:CR)</f>
        <v>#REF!</v>
      </c>
      <c r="M14" s="4" t="e">
        <f t="shared" ca="1" si="3"/>
        <v>#REF!</v>
      </c>
      <c r="N14" s="4" t="e">
        <f ca="1">SUM(CS:CS)</f>
        <v>#REF!</v>
      </c>
      <c r="V14" s="3"/>
      <c r="W14" s="4" t="str">
        <f t="shared" si="1"/>
        <v/>
      </c>
    </row>
    <row r="15" spans="1:23" x14ac:dyDescent="0.2">
      <c r="A15" s="5" t="s">
        <v>36</v>
      </c>
      <c r="B15" s="4" t="e">
        <f t="shared" ref="B15:D15" ca="1" si="5">IF(B13,B10/B13,)</f>
        <v>#REF!</v>
      </c>
      <c r="C15" s="4" t="e">
        <f t="shared" ca="1" si="5"/>
        <v>#REF!</v>
      </c>
      <c r="D15" s="4" t="e">
        <f t="shared" ca="1" si="5"/>
        <v>#REF!</v>
      </c>
      <c r="E15" s="4" t="e">
        <f ca="1">IF(E13,E10/E13,)</f>
        <v>#REF!</v>
      </c>
      <c r="G15" s="4" t="e">
        <f ca="1">IF(G13,G10/G13,)</f>
        <v>#REF!</v>
      </c>
      <c r="H15" s="4" t="e">
        <f t="shared" ca="1" si="2"/>
        <v>#REF!</v>
      </c>
      <c r="I15" s="4" t="e">
        <f ca="1">IF(I13,I10/I13,)</f>
        <v>#REF!</v>
      </c>
      <c r="K15" s="4" t="e">
        <f ca="1">IF(K13,K10/K13,)</f>
        <v>#REF!</v>
      </c>
      <c r="L15" s="4" t="e">
        <f ca="1">IF(L13,L10/L13,)</f>
        <v>#REF!</v>
      </c>
      <c r="M15" s="4" t="e">
        <f t="shared" ca="1" si="3"/>
        <v>#REF!</v>
      </c>
      <c r="N15" s="4" t="e">
        <f ca="1">IF(N13,N10/N13,)</f>
        <v>#REF!</v>
      </c>
      <c r="V15" s="3"/>
      <c r="W15" s="4" t="str">
        <f t="shared" si="1"/>
        <v/>
      </c>
    </row>
    <row r="16" spans="1:23" x14ac:dyDescent="0.2">
      <c r="A16" s="5" t="s">
        <v>300</v>
      </c>
      <c r="B16" s="3" t="e">
        <f t="shared" ref="B16:D16" ca="1" si="6">IF(B9,B13/B9,)</f>
        <v>#REF!</v>
      </c>
      <c r="C16" s="3" t="e">
        <f t="shared" ca="1" si="6"/>
        <v>#REF!</v>
      </c>
      <c r="D16" s="3" t="e">
        <f t="shared" ca="1" si="6"/>
        <v>#REF!</v>
      </c>
      <c r="E16" s="3" t="e">
        <f ca="1">IF(E9,E13/E9,)</f>
        <v>#REF!</v>
      </c>
      <c r="G16" s="3" t="e">
        <f ca="1">IF(G9,G13/G9,)</f>
        <v>#REF!</v>
      </c>
      <c r="H16" s="3" t="e">
        <f t="shared" ca="1" si="2"/>
        <v>#REF!</v>
      </c>
      <c r="I16" s="3" t="e">
        <f ca="1">IF(I9,I13/I9,)</f>
        <v>#REF!</v>
      </c>
      <c r="K16" s="3" t="e">
        <f ca="1">IF(K9,K13/K9,)</f>
        <v>#REF!</v>
      </c>
      <c r="L16" s="3" t="e">
        <f ca="1">IF(L9,L13/L9,)</f>
        <v>#REF!</v>
      </c>
      <c r="M16" s="3" t="e">
        <f t="shared" ca="1" si="3"/>
        <v>#REF!</v>
      </c>
      <c r="N16" s="3" t="e">
        <f ca="1">IF(N9,N13/N9,)</f>
        <v>#REF!</v>
      </c>
      <c r="O16" s="3"/>
      <c r="V16" s="3"/>
      <c r="W16" s="4" t="str">
        <f t="shared" si="1"/>
        <v/>
      </c>
    </row>
    <row r="18" spans="1:136" x14ac:dyDescent="0.2">
      <c r="M18" s="4"/>
    </row>
    <row r="20" spans="1:136" x14ac:dyDescent="0.2">
      <c r="A20" s="22"/>
    </row>
    <row r="24" spans="1:136" s="5" customFormat="1" x14ac:dyDescent="0.2">
      <c r="E24" s="5" t="s">
        <v>51</v>
      </c>
      <c r="S24" s="5" t="s">
        <v>52</v>
      </c>
      <c r="AG24" s="5" t="s">
        <v>54</v>
      </c>
      <c r="AU24" s="5" t="s">
        <v>55</v>
      </c>
      <c r="BI24" s="5" t="s">
        <v>56</v>
      </c>
      <c r="BW24" s="5" t="s">
        <v>301</v>
      </c>
      <c r="CK24" s="5" t="s">
        <v>302</v>
      </c>
      <c r="CY24" s="5" t="s">
        <v>58</v>
      </c>
      <c r="DM24" s="5" t="s">
        <v>59</v>
      </c>
    </row>
    <row r="25" spans="1:136" s="5" customFormat="1" x14ac:dyDescent="0.2">
      <c r="A25" s="5" t="s">
        <v>303</v>
      </c>
      <c r="B25" s="5" t="s">
        <v>61</v>
      </c>
      <c r="C25" s="5" t="s">
        <v>62</v>
      </c>
      <c r="E25" s="5" t="s">
        <v>66</v>
      </c>
      <c r="F25" s="5" t="s">
        <v>304</v>
      </c>
      <c r="G25" s="5" t="s">
        <v>305</v>
      </c>
      <c r="H25" s="5" t="s">
        <v>306</v>
      </c>
      <c r="I25" s="5" t="s">
        <v>307</v>
      </c>
      <c r="J25" s="5" t="s">
        <v>308</v>
      </c>
      <c r="K25" s="5" t="s">
        <v>309</v>
      </c>
      <c r="L25" s="5" t="s">
        <v>310</v>
      </c>
      <c r="M25" s="5" t="s">
        <v>311</v>
      </c>
      <c r="P25" s="5" t="str">
        <f>""</f>
        <v/>
      </c>
      <c r="Q25" s="5" t="str">
        <f>""</f>
        <v/>
      </c>
      <c r="S25" s="5" t="str">
        <f>E25</f>
        <v>bposd</v>
      </c>
      <c r="T25" s="5" t="str">
        <f t="shared" ref="T25:AE25" si="7">F25</f>
        <v>bplsd</v>
      </c>
      <c r="U25" s="5" t="str">
        <f t="shared" si="7"/>
        <v>bposd-serial</v>
      </c>
      <c r="V25" s="5" t="str">
        <f t="shared" si="7"/>
        <v>bposd-order8</v>
      </c>
      <c r="W25" s="5" t="str">
        <f t="shared" si="7"/>
        <v>bposd-order0</v>
      </c>
      <c r="X25" s="5" t="str">
        <f t="shared" si="7"/>
        <v>bposd-addstabs</v>
      </c>
      <c r="Y25" s="5" t="str">
        <f t="shared" si="7"/>
        <v>bposd-maxiter0</v>
      </c>
      <c r="Z25" s="5" t="str">
        <f>L25</f>
        <v>bposd-maxiter10</v>
      </c>
      <c r="AA25" s="5" t="str">
        <f t="shared" si="7"/>
        <v>bposd-maxiter1000</v>
      </c>
      <c r="AD25" s="5" t="str">
        <f t="shared" si="7"/>
        <v/>
      </c>
      <c r="AE25" s="5" t="str">
        <f t="shared" si="7"/>
        <v/>
      </c>
      <c r="AG25" s="5" t="str">
        <f>S25</f>
        <v>bposd</v>
      </c>
      <c r="AH25" s="5" t="str">
        <f t="shared" ref="AH25:AO25" si="8">T25</f>
        <v>bplsd</v>
      </c>
      <c r="AI25" s="5" t="str">
        <f t="shared" si="8"/>
        <v>bposd-serial</v>
      </c>
      <c r="AJ25" s="5" t="str">
        <f t="shared" si="8"/>
        <v>bposd-order8</v>
      </c>
      <c r="AK25" s="5" t="str">
        <f t="shared" si="8"/>
        <v>bposd-order0</v>
      </c>
      <c r="AL25" s="5" t="str">
        <f t="shared" si="8"/>
        <v>bposd-addstabs</v>
      </c>
      <c r="AM25" s="5" t="str">
        <f t="shared" si="8"/>
        <v>bposd-maxiter0</v>
      </c>
      <c r="AN25" s="5" t="str">
        <f t="shared" si="8"/>
        <v>bposd-maxiter10</v>
      </c>
      <c r="AO25" s="5" t="str">
        <f t="shared" si="8"/>
        <v>bposd-maxiter1000</v>
      </c>
      <c r="AU25" s="5" t="str">
        <f>AG25</f>
        <v>bposd</v>
      </c>
      <c r="AV25" s="5" t="str">
        <f t="shared" ref="AV25:BC25" si="9">AH25</f>
        <v>bplsd</v>
      </c>
      <c r="AW25" s="5" t="str">
        <f t="shared" si="9"/>
        <v>bposd-serial</v>
      </c>
      <c r="AX25" s="5" t="str">
        <f t="shared" si="9"/>
        <v>bposd-order8</v>
      </c>
      <c r="AY25" s="5" t="str">
        <f t="shared" si="9"/>
        <v>bposd-order0</v>
      </c>
      <c r="AZ25" s="5" t="str">
        <f t="shared" si="9"/>
        <v>bposd-addstabs</v>
      </c>
      <c r="BA25" s="5" t="str">
        <f t="shared" si="9"/>
        <v>bposd-maxiter0</v>
      </c>
      <c r="BB25" s="5" t="str">
        <f t="shared" si="9"/>
        <v>bposd-maxiter10</v>
      </c>
      <c r="BC25" s="5" t="str">
        <f t="shared" si="9"/>
        <v>bposd-maxiter1000</v>
      </c>
      <c r="BI25" s="5" t="str">
        <f>AU25</f>
        <v>bposd</v>
      </c>
      <c r="BJ25" s="5" t="str">
        <f t="shared" ref="BJ25:BQ25" si="10">AV25</f>
        <v>bplsd</v>
      </c>
      <c r="BK25" s="5" t="str">
        <f t="shared" si="10"/>
        <v>bposd-serial</v>
      </c>
      <c r="BL25" s="5" t="str">
        <f t="shared" si="10"/>
        <v>bposd-order8</v>
      </c>
      <c r="BM25" s="5" t="str">
        <f t="shared" si="10"/>
        <v>bposd-order0</v>
      </c>
      <c r="BN25" s="5" t="str">
        <f t="shared" si="10"/>
        <v>bposd-addstabs</v>
      </c>
      <c r="BO25" s="5" t="str">
        <f t="shared" si="10"/>
        <v>bposd-maxiter0</v>
      </c>
      <c r="BP25" s="5" t="str">
        <f t="shared" si="10"/>
        <v>bposd-maxiter10</v>
      </c>
      <c r="BQ25" s="5" t="str">
        <f t="shared" si="10"/>
        <v>bposd-maxiter1000</v>
      </c>
      <c r="BW25" s="5" t="str">
        <f>BI25</f>
        <v>bposd</v>
      </c>
      <c r="BX25" s="5" t="str">
        <f t="shared" ref="BX25:CE25" si="11">BJ25</f>
        <v>bplsd</v>
      </c>
      <c r="BY25" s="5" t="str">
        <f t="shared" si="11"/>
        <v>bposd-serial</v>
      </c>
      <c r="BZ25" s="5" t="str">
        <f t="shared" si="11"/>
        <v>bposd-order8</v>
      </c>
      <c r="CA25" s="5" t="str">
        <f t="shared" si="11"/>
        <v>bposd-order0</v>
      </c>
      <c r="CB25" s="5" t="str">
        <f t="shared" si="11"/>
        <v>bposd-addstabs</v>
      </c>
      <c r="CC25" s="5" t="str">
        <f t="shared" si="11"/>
        <v>bposd-maxiter0</v>
      </c>
      <c r="CD25" s="5" t="str">
        <f t="shared" si="11"/>
        <v>bposd-maxiter10</v>
      </c>
      <c r="CE25" s="5" t="str">
        <f t="shared" si="11"/>
        <v>bposd-maxiter1000</v>
      </c>
      <c r="CK25" s="5" t="str">
        <f>BW25</f>
        <v>bposd</v>
      </c>
      <c r="CL25" s="5" t="str">
        <f t="shared" ref="CL25:CS25" si="12">BX25</f>
        <v>bplsd</v>
      </c>
      <c r="CM25" s="5" t="str">
        <f t="shared" si="12"/>
        <v>bposd-serial</v>
      </c>
      <c r="CN25" s="5" t="str">
        <f t="shared" si="12"/>
        <v>bposd-order8</v>
      </c>
      <c r="CO25" s="5" t="str">
        <f t="shared" si="12"/>
        <v>bposd-order0</v>
      </c>
      <c r="CP25" s="5" t="str">
        <f t="shared" si="12"/>
        <v>bposd-addstabs</v>
      </c>
      <c r="CQ25" s="5" t="str">
        <f t="shared" si="12"/>
        <v>bposd-maxiter0</v>
      </c>
      <c r="CR25" s="5" t="str">
        <f t="shared" si="12"/>
        <v>bposd-maxiter10</v>
      </c>
      <c r="CS25" s="5" t="str">
        <f t="shared" si="12"/>
        <v>bposd-maxiter1000</v>
      </c>
      <c r="CY25" s="5" t="str">
        <f>CK25</f>
        <v>bposd</v>
      </c>
      <c r="CZ25" s="5" t="str">
        <f t="shared" ref="CZ25:DG25" si="13">CL25</f>
        <v>bplsd</v>
      </c>
      <c r="DA25" s="5" t="str">
        <f t="shared" si="13"/>
        <v>bposd-serial</v>
      </c>
      <c r="DB25" s="5" t="str">
        <f t="shared" si="13"/>
        <v>bposd-order8</v>
      </c>
      <c r="DC25" s="5" t="str">
        <f t="shared" si="13"/>
        <v>bposd-order0</v>
      </c>
      <c r="DD25" s="5" t="str">
        <f t="shared" si="13"/>
        <v>bposd-addstabs</v>
      </c>
      <c r="DE25" s="5" t="str">
        <f t="shared" si="13"/>
        <v>bposd-maxiter0</v>
      </c>
      <c r="DF25" s="5" t="str">
        <f t="shared" si="13"/>
        <v>bposd-maxiter10</v>
      </c>
      <c r="DG25" s="5" t="str">
        <f t="shared" si="13"/>
        <v>bposd-maxiter1000</v>
      </c>
      <c r="DM25" s="5" t="str">
        <f>CY25</f>
        <v>bposd</v>
      </c>
      <c r="DN25" s="5" t="str">
        <f t="shared" ref="DN25:DU25" si="14">CZ25</f>
        <v>bplsd</v>
      </c>
      <c r="DO25" s="5" t="str">
        <f t="shared" si="14"/>
        <v>bposd-serial</v>
      </c>
      <c r="DP25" s="5" t="str">
        <f t="shared" si="14"/>
        <v>bposd-order8</v>
      </c>
      <c r="DQ25" s="5" t="str">
        <f t="shared" si="14"/>
        <v>bposd-order0</v>
      </c>
      <c r="DR25" s="5" t="str">
        <f t="shared" si="14"/>
        <v>bposd-addstabs</v>
      </c>
      <c r="DS25" s="5" t="str">
        <f t="shared" si="14"/>
        <v>bposd-maxiter0</v>
      </c>
      <c r="DT25" s="5" t="str">
        <f t="shared" si="14"/>
        <v>bposd-maxiter10</v>
      </c>
      <c r="DU25" s="5" t="str">
        <f t="shared" si="14"/>
        <v>bposd-maxiter1000</v>
      </c>
    </row>
    <row r="26" spans="1:136" x14ac:dyDescent="0.2">
      <c r="A26" t="e">
        <f>#REF!</f>
        <v>#REF!</v>
      </c>
      <c r="B26" t="e">
        <f>#REF!</f>
        <v>#REF!</v>
      </c>
      <c r="C26" t="e">
        <f>#REF!</f>
        <v>#REF!</v>
      </c>
      <c r="E26" t="e">
        <f t="shared" ref="E26:M35" ca="1" si="15">MATCH($A26,INDIRECT("'"&amp;E$25&amp;"'!A:A"),)</f>
        <v>#REF!</v>
      </c>
      <c r="F26" t="e">
        <f t="shared" ca="1" si="15"/>
        <v>#REF!</v>
      </c>
      <c r="G26" t="e">
        <f t="shared" ca="1" si="15"/>
        <v>#REF!</v>
      </c>
      <c r="H26" t="e">
        <f t="shared" ca="1" si="15"/>
        <v>#REF!</v>
      </c>
      <c r="I26" t="e">
        <f t="shared" ca="1" si="15"/>
        <v>#REF!</v>
      </c>
      <c r="J26" t="e">
        <f t="shared" ca="1" si="15"/>
        <v>#REF!</v>
      </c>
      <c r="K26" t="e">
        <f t="shared" ca="1" si="15"/>
        <v>#REF!</v>
      </c>
      <c r="L26" t="e">
        <f t="shared" ca="1" si="15"/>
        <v>#REF!</v>
      </c>
      <c r="M26" t="e">
        <f t="shared" ca="1" si="15"/>
        <v>#REF!</v>
      </c>
      <c r="S26" t="e" cm="1">
        <f t="array" aca="1" ref="S26" ca="1">IF(ISNA(E26),$B26,OFFSET(INDIRECT("'"&amp;S$25&amp;"'!d1"),E26-1,))</f>
        <v>#REF!</v>
      </c>
      <c r="T26" t="e" cm="1">
        <f t="array" aca="1" ref="T26" ca="1">IF(ISNA(F26),,OFFSET(INDIRECT("'"&amp;T$25&amp;"'!d1"),F26-1,))</f>
        <v>#REF!</v>
      </c>
      <c r="U26" t="e" cm="1">
        <f t="array" aca="1" ref="U26" ca="1">IF(ISNA(G26),,OFFSET(INDIRECT("'"&amp;U$25&amp;"'!d1"),G26-1,))</f>
        <v>#REF!</v>
      </c>
      <c r="V26" t="e" cm="1">
        <f t="array" aca="1" ref="V26" ca="1">IF(ISNA(H26),,OFFSET(INDIRECT("'"&amp;V$25&amp;"'!d1"),H26-1,))</f>
        <v>#REF!</v>
      </c>
      <c r="W26" t="e" cm="1">
        <f t="array" aca="1" ref="W26" ca="1">IF(ISNA(I26),,OFFSET(INDIRECT("'"&amp;W$25&amp;"'!d1"),I26-1,))</f>
        <v>#REF!</v>
      </c>
      <c r="X26" t="e" cm="1">
        <f t="array" aca="1" ref="X26" ca="1">IF(ISNA(J26),,OFFSET(INDIRECT("'"&amp;X$25&amp;"'!d1"),J26-1,))</f>
        <v>#REF!</v>
      </c>
      <c r="Y26" t="e" cm="1">
        <f t="array" aca="1" ref="Y26" ca="1">IF(ISNA(K26),,OFFSET(INDIRECT("'"&amp;Y$25&amp;"'!d1"),K26-1,))</f>
        <v>#REF!</v>
      </c>
      <c r="Z26" t="e" cm="1">
        <f t="array" aca="1" ref="Z26" ca="1">IF(ISNA(L26),,OFFSET(INDIRECT("'"&amp;Z$25&amp;"'!d1"),L26-1,))</f>
        <v>#REF!</v>
      </c>
      <c r="AA26" t="e" cm="1">
        <f t="array" aca="1" ref="AA26" ca="1">IF(ISNA(M26),,OFFSET(INDIRECT("'"&amp;AA$25&amp;"'!d1"),M26-1,))</f>
        <v>#REF!</v>
      </c>
      <c r="AG26" t="e">
        <f ca="1">IF(AND(S26&gt;0,S26&lt;$B26),1,0)</f>
        <v>#REF!</v>
      </c>
      <c r="AH26" t="e">
        <f t="shared" ref="AH26:AO41" ca="1" si="16">IF(AND(T26&gt;0,T26&lt;$B26),1,0)</f>
        <v>#REF!</v>
      </c>
      <c r="AI26" t="e">
        <f t="shared" ca="1" si="16"/>
        <v>#REF!</v>
      </c>
      <c r="AJ26" t="e">
        <f t="shared" ca="1" si="16"/>
        <v>#REF!</v>
      </c>
      <c r="AK26" t="e">
        <f t="shared" ca="1" si="16"/>
        <v>#REF!</v>
      </c>
      <c r="AL26" t="e">
        <f t="shared" ca="1" si="16"/>
        <v>#REF!</v>
      </c>
      <c r="AM26" t="e">
        <f t="shared" ca="1" si="16"/>
        <v>#REF!</v>
      </c>
      <c r="AN26" t="e">
        <f t="shared" ca="1" si="16"/>
        <v>#REF!</v>
      </c>
      <c r="AO26" t="e">
        <f t="shared" ca="1" si="16"/>
        <v>#REF!</v>
      </c>
      <c r="AU26" t="e">
        <f ca="1">IF(AG26,S26,$B26)</f>
        <v>#REF!</v>
      </c>
      <c r="AV26" t="e">
        <f t="shared" ref="AV26:BC41" ca="1" si="17">IF(AH26,T26,$B26)</f>
        <v>#REF!</v>
      </c>
      <c r="AW26" t="e">
        <f t="shared" ca="1" si="17"/>
        <v>#REF!</v>
      </c>
      <c r="AX26" t="e">
        <f t="shared" ca="1" si="17"/>
        <v>#REF!</v>
      </c>
      <c r="AY26" t="e">
        <f t="shared" ca="1" si="17"/>
        <v>#REF!</v>
      </c>
      <c r="AZ26" t="e">
        <f t="shared" ca="1" si="17"/>
        <v>#REF!</v>
      </c>
      <c r="BA26" t="e">
        <f t="shared" ca="1" si="17"/>
        <v>#REF!</v>
      </c>
      <c r="BB26" t="e">
        <f t="shared" ca="1" si="17"/>
        <v>#REF!</v>
      </c>
      <c r="BC26" t="e">
        <f t="shared" ca="1" si="17"/>
        <v>#REF!</v>
      </c>
      <c r="BI26" t="e">
        <f ca="1">IF(AU26=$C26,1,0)</f>
        <v>#REF!</v>
      </c>
      <c r="BJ26" t="e">
        <f t="shared" ref="BJ26:BQ41" ca="1" si="18">IF(AV26=$C26,1,0)</f>
        <v>#REF!</v>
      </c>
      <c r="BK26" t="e">
        <f t="shared" ca="1" si="18"/>
        <v>#REF!</v>
      </c>
      <c r="BL26" t="e">
        <f t="shared" ca="1" si="18"/>
        <v>#REF!</v>
      </c>
      <c r="BM26" t="e">
        <f t="shared" ca="1" si="18"/>
        <v>#REF!</v>
      </c>
      <c r="BN26" t="e">
        <f t="shared" ca="1" si="18"/>
        <v>#REF!</v>
      </c>
      <c r="BO26" t="e">
        <f t="shared" ca="1" si="18"/>
        <v>#REF!</v>
      </c>
      <c r="BP26" t="e">
        <f t="shared" ca="1" si="18"/>
        <v>#REF!</v>
      </c>
      <c r="BQ26" t="e">
        <f t="shared" ca="1" si="18"/>
        <v>#REF!</v>
      </c>
      <c r="BW26" t="e" cm="1">
        <f t="array" aca="1" ref="BW26" ca="1">IF(AG26,OFFSET(INDIRECT("'"&amp;CK$25&amp;"'!f1"),E26-1,),"")</f>
        <v>#REF!</v>
      </c>
      <c r="BX26" t="e" cm="1">
        <f t="array" aca="1" ref="BX26" ca="1">IF(AH26,OFFSET(INDIRECT("'"&amp;CL$25&amp;"'!f1"),F26-1,),"")</f>
        <v>#REF!</v>
      </c>
      <c r="BY26" t="e" cm="1">
        <f t="array" aca="1" ref="BY26" ca="1">IF(AI26,OFFSET(INDIRECT("'"&amp;CM$25&amp;"'!f1"),G26-1,),"")</f>
        <v>#REF!</v>
      </c>
      <c r="BZ26" t="e" cm="1">
        <f t="array" aca="1" ref="BZ26" ca="1">IF(AJ26,OFFSET(INDIRECT("'"&amp;CN$25&amp;"'!f1"),H26-1,),"")</f>
        <v>#REF!</v>
      </c>
      <c r="CA26" t="e" cm="1">
        <f t="array" aca="1" ref="CA26" ca="1">IF(AK26,OFFSET(INDIRECT("'"&amp;CO$25&amp;"'!f1"),I26-1,),"")</f>
        <v>#REF!</v>
      </c>
      <c r="CB26" t="e" cm="1">
        <f t="array" aca="1" ref="CB26" ca="1">IF(AL26,OFFSET(INDIRECT("'"&amp;CP$25&amp;"'!f1"),J26-1,),"")</f>
        <v>#REF!</v>
      </c>
      <c r="CC26" t="e" cm="1">
        <f t="array" aca="1" ref="CC26" ca="1">IF(AM26,OFFSET(INDIRECT("'"&amp;CQ$25&amp;"'!f1"),K26-1,),"")</f>
        <v>#REF!</v>
      </c>
      <c r="CD26" t="e" cm="1">
        <f t="array" aca="1" ref="CD26" ca="1">IF(AN26,OFFSET(INDIRECT("'"&amp;CR$25&amp;"'!f1"),L26-1,),"")</f>
        <v>#REF!</v>
      </c>
      <c r="CE26" t="e" cm="1">
        <f t="array" aca="1" ref="CE26" ca="1">IF(AO26,OFFSET(INDIRECT("'"&amp;CS$25&amp;"'!f1"),M26-1,),"")</f>
        <v>#REF!</v>
      </c>
      <c r="CK26" t="e" cm="1">
        <f t="array" aca="1" ref="CK26" ca="1">IF(BI26,OFFSET(INDIRECT("'"&amp;CK$25&amp;"'!f1"),E26-1,),"")</f>
        <v>#REF!</v>
      </c>
      <c r="CL26" t="e" cm="1">
        <f t="array" aca="1" ref="CL26" ca="1">IF(BJ26,OFFSET(INDIRECT("'"&amp;CL$25&amp;"'!f1"),F26-1,),"")</f>
        <v>#REF!</v>
      </c>
      <c r="CM26" t="e" cm="1">
        <f t="array" aca="1" ref="CM26" ca="1">IF(BK26,OFFSET(INDIRECT("'"&amp;CM$25&amp;"'!f1"),G26-1,),"")</f>
        <v>#REF!</v>
      </c>
      <c r="CN26" t="e" cm="1">
        <f t="array" aca="1" ref="CN26" ca="1">IF(BL26,OFFSET(INDIRECT("'"&amp;CN$25&amp;"'!f1"),H26-1,),"")</f>
        <v>#REF!</v>
      </c>
      <c r="CO26" t="e" cm="1">
        <f t="array" aca="1" ref="CO26" ca="1">IF(BM26,OFFSET(INDIRECT("'"&amp;CO$25&amp;"'!f1"),I26-1,),"")</f>
        <v>#REF!</v>
      </c>
      <c r="CP26" t="e" cm="1">
        <f t="array" aca="1" ref="CP26" ca="1">IF(BN26,OFFSET(INDIRECT("'"&amp;CP$25&amp;"'!f1"),J26-1,),"")</f>
        <v>#REF!</v>
      </c>
      <c r="CQ26" t="e" cm="1">
        <f t="array" aca="1" ref="CQ26" ca="1">IF(BO26,OFFSET(INDIRECT("'"&amp;CQ$25&amp;"'!f1"),K26-1,),"")</f>
        <v>#REF!</v>
      </c>
      <c r="CR26" t="e" cm="1">
        <f t="array" aca="1" ref="CR26" ca="1">IF(BP26,OFFSET(INDIRECT("'"&amp;CR$25&amp;"'!f1"),L26-1,),"")</f>
        <v>#REF!</v>
      </c>
      <c r="CS26" t="e" cm="1">
        <f t="array" aca="1" ref="CS26" ca="1">IF(BQ26,OFFSET(INDIRECT("'"&amp;CS$25&amp;"'!f1"),M26-1,),"")</f>
        <v>#REF!</v>
      </c>
      <c r="CY26" t="e" cm="1">
        <f t="array" aca="1" ref="CY26" ca="1">IF(ISNA(E26),0,OFFSET(INDIRECT("'"&amp;CY$25&amp;"'!g1"),E26-1,)*BI26)</f>
        <v>#REF!</v>
      </c>
      <c r="CZ26" t="e" cm="1">
        <f t="array" aca="1" ref="CZ26" ca="1">IF(ISNA(F26),0,OFFSET(INDIRECT("'"&amp;CZ$25&amp;"'!g1"),F26-1,)*BJ26)</f>
        <v>#REF!</v>
      </c>
      <c r="DA26" t="e" cm="1">
        <f t="array" aca="1" ref="DA26" ca="1">IF(ISNA(G26),0,OFFSET(INDIRECT("'"&amp;DA$25&amp;"'!g1"),G26-1,)*BK26)</f>
        <v>#REF!</v>
      </c>
      <c r="DB26" t="e" cm="1">
        <f t="array" aca="1" ref="DB26" ca="1">IF(ISNA(H26),0,OFFSET(INDIRECT("'"&amp;DB$25&amp;"'!g1"),H26-1,)*BL26)</f>
        <v>#REF!</v>
      </c>
      <c r="DC26" t="e" cm="1">
        <f t="array" aca="1" ref="DC26" ca="1">IF(ISNA(I26),0,OFFSET(INDIRECT("'"&amp;DC$25&amp;"'!g1"),I26-1,)*BM26)</f>
        <v>#REF!</v>
      </c>
      <c r="DD26" t="e" cm="1">
        <f t="array" aca="1" ref="DD26" ca="1">IF(ISNA(J26),0,OFFSET(INDIRECT("'"&amp;DD$25&amp;"'!g1"),J26-1,)*BN26)</f>
        <v>#REF!</v>
      </c>
      <c r="DE26" t="e" cm="1">
        <f t="array" aca="1" ref="DE26" ca="1">IF(ISNA(K26),0,OFFSET(INDIRECT("'"&amp;DE$25&amp;"'!g1"),K26-1,)*BO26)</f>
        <v>#REF!</v>
      </c>
      <c r="DF26" t="e" cm="1">
        <f t="array" aca="1" ref="DF26" ca="1">IF(ISNA(L26),0,OFFSET(INDIRECT("'"&amp;DF$25&amp;"'!g1"),L26-1,)*BP26)</f>
        <v>#REF!</v>
      </c>
      <c r="DG26" t="e" cm="1">
        <f t="array" aca="1" ref="DG26" ca="1">IF(ISNA(M26),0,OFFSET(INDIRECT("'"&amp;DG$25&amp;"'!g1"),M26-1,)*BQ26)</f>
        <v>#REF!</v>
      </c>
      <c r="DM26" s="10" t="e" cm="1">
        <f t="array" aca="1" ref="DM26" ca="1">IF(ISNA(E26),0,OFFSET(INDIRECT("'"&amp;CY$25&amp;"'!h1"),E26-1,))</f>
        <v>#REF!</v>
      </c>
      <c r="DN26" s="10" t="e" cm="1">
        <f t="array" aca="1" ref="DN26" ca="1">IF(ISNA(F26),0,OFFSET(INDIRECT("'"&amp;CZ$25&amp;"'!h1"),F26-1,))</f>
        <v>#REF!</v>
      </c>
      <c r="DO26" s="10" t="e" cm="1">
        <f t="array" aca="1" ref="DO26" ca="1">IF(ISNA(G26),0,OFFSET(INDIRECT("'"&amp;DA$25&amp;"'!h1"),G26-1,))</f>
        <v>#REF!</v>
      </c>
      <c r="DP26" s="10" t="e" cm="1">
        <f t="array" aca="1" ref="DP26" ca="1">IF(ISNA(H26),0,OFFSET(INDIRECT("'"&amp;DB$25&amp;"'!h1"),H26-1,))</f>
        <v>#REF!</v>
      </c>
      <c r="DQ26" s="10" t="e" cm="1">
        <f t="array" aca="1" ref="DQ26" ca="1">IF(ISNA(I26),0,OFFSET(INDIRECT("'"&amp;DC$25&amp;"'!h1"),I26-1,))</f>
        <v>#REF!</v>
      </c>
      <c r="DR26" s="10" t="e" cm="1">
        <f t="array" aca="1" ref="DR26" ca="1">IF(ISNA(J26),0,OFFSET(INDIRECT("'"&amp;DD$25&amp;"'!h1"),J26-1,))</f>
        <v>#REF!</v>
      </c>
      <c r="DS26" s="10" t="e" cm="1">
        <f t="array" aca="1" ref="DS26" ca="1">IF(ISNA(K26),0,OFFSET(INDIRECT("'"&amp;DE$25&amp;"'!h1"),K26-1,))</f>
        <v>#REF!</v>
      </c>
      <c r="DT26" s="10" t="e" cm="1">
        <f t="array" aca="1" ref="DT26" ca="1">IF(ISNA(L26),0,OFFSET(INDIRECT("'"&amp;DF$25&amp;"'!h1"),L26-1,))</f>
        <v>#REF!</v>
      </c>
      <c r="DU26" s="10" t="e" cm="1">
        <f t="array" aca="1" ref="DU26" ca="1">IF(ISNA(M26),0,OFFSET(INDIRECT("'"&amp;DG$25&amp;"'!h1"),M26-1,))</f>
        <v>#REF!</v>
      </c>
      <c r="DV26" s="10"/>
      <c r="DW26" s="10"/>
      <c r="DX26" s="10"/>
      <c r="DY26" s="10"/>
      <c r="EA26" s="11"/>
      <c r="EB26" s="11"/>
      <c r="EC26" s="11"/>
      <c r="ED26" s="11"/>
      <c r="EE26" s="11"/>
      <c r="EF26" s="11"/>
    </row>
    <row r="27" spans="1:136" x14ac:dyDescent="0.2">
      <c r="A27" t="e">
        <f>#REF!</f>
        <v>#REF!</v>
      </c>
      <c r="B27" t="e">
        <f>#REF!</f>
        <v>#REF!</v>
      </c>
      <c r="C27" t="e">
        <f>#REF!</f>
        <v>#REF!</v>
      </c>
      <c r="E27" t="e">
        <f t="shared" ca="1" si="15"/>
        <v>#REF!</v>
      </c>
      <c r="F27" t="e">
        <f t="shared" ca="1" si="15"/>
        <v>#REF!</v>
      </c>
      <c r="G27" t="e">
        <f t="shared" ca="1" si="15"/>
        <v>#REF!</v>
      </c>
      <c r="H27" t="e">
        <f t="shared" ca="1" si="15"/>
        <v>#REF!</v>
      </c>
      <c r="I27" t="e">
        <f t="shared" ca="1" si="15"/>
        <v>#REF!</v>
      </c>
      <c r="J27" t="e">
        <f t="shared" ca="1" si="15"/>
        <v>#REF!</v>
      </c>
      <c r="K27" t="e">
        <f t="shared" ca="1" si="15"/>
        <v>#REF!</v>
      </c>
      <c r="L27" t="e">
        <f t="shared" ca="1" si="15"/>
        <v>#REF!</v>
      </c>
      <c r="M27" t="e">
        <f t="shared" ca="1" si="15"/>
        <v>#REF!</v>
      </c>
      <c r="S27" t="e" cm="1">
        <f t="array" aca="1" ref="S27" ca="1">IF(ISNA(E27),,OFFSET(INDIRECT("'"&amp;S$25&amp;"'!d1"),E27-1,))</f>
        <v>#REF!</v>
      </c>
      <c r="T27" t="e" cm="1">
        <f t="array" aca="1" ref="T27" ca="1">IF(ISNA(F27),,OFFSET(INDIRECT("'"&amp;T$25&amp;"'!d1"),F27-1,))</f>
        <v>#REF!</v>
      </c>
      <c r="U27" t="e" cm="1">
        <f t="array" aca="1" ref="U27" ca="1">IF(ISNA(G27),,OFFSET(INDIRECT("'"&amp;U$25&amp;"'!d1"),G27-1,))</f>
        <v>#REF!</v>
      </c>
      <c r="V27" t="e" cm="1">
        <f t="array" aca="1" ref="V27" ca="1">IF(ISNA(H27),,OFFSET(INDIRECT("'"&amp;V$25&amp;"'!d1"),H27-1,))</f>
        <v>#REF!</v>
      </c>
      <c r="W27" t="e" cm="1">
        <f t="array" aca="1" ref="W27" ca="1">IF(ISNA(I27),,OFFSET(INDIRECT("'"&amp;W$25&amp;"'!d1"),I27-1,))</f>
        <v>#REF!</v>
      </c>
      <c r="X27" t="e" cm="1">
        <f t="array" aca="1" ref="X27" ca="1">IF(ISNA(J27),,OFFSET(INDIRECT("'"&amp;X$25&amp;"'!d1"),J27-1,))</f>
        <v>#REF!</v>
      </c>
      <c r="Y27" t="e" cm="1">
        <f t="array" aca="1" ref="Y27" ca="1">IF(ISNA(K27),,OFFSET(INDIRECT("'"&amp;Y$25&amp;"'!d1"),K27-1,))</f>
        <v>#REF!</v>
      </c>
      <c r="Z27" t="e" cm="1">
        <f t="array" aca="1" ref="Z27" ca="1">IF(ISNA(L27),,OFFSET(INDIRECT("'"&amp;Z$25&amp;"'!d1"),L27-1,))</f>
        <v>#REF!</v>
      </c>
      <c r="AA27" t="e" cm="1">
        <f t="array" aca="1" ref="AA27" ca="1">IF(ISNA(M27),,OFFSET(INDIRECT("'"&amp;AA$25&amp;"'!d1"),M27-1,))</f>
        <v>#REF!</v>
      </c>
      <c r="AG27" t="e">
        <f ca="1">IF(AND(S27&gt;0,S27&lt;$B27),1,0)</f>
        <v>#REF!</v>
      </c>
      <c r="AH27" t="e">
        <f t="shared" ca="1" si="16"/>
        <v>#REF!</v>
      </c>
      <c r="AI27" t="e">
        <f t="shared" ca="1" si="16"/>
        <v>#REF!</v>
      </c>
      <c r="AJ27" t="e">
        <f t="shared" ca="1" si="16"/>
        <v>#REF!</v>
      </c>
      <c r="AK27" t="e">
        <f t="shared" ca="1" si="16"/>
        <v>#REF!</v>
      </c>
      <c r="AL27" t="e">
        <f t="shared" ca="1" si="16"/>
        <v>#REF!</v>
      </c>
      <c r="AM27" t="e">
        <f t="shared" ca="1" si="16"/>
        <v>#REF!</v>
      </c>
      <c r="AN27" t="e">
        <f t="shared" ca="1" si="16"/>
        <v>#REF!</v>
      </c>
      <c r="AO27" t="e">
        <f t="shared" ca="1" si="16"/>
        <v>#REF!</v>
      </c>
      <c r="AU27" t="e">
        <f ca="1">IF(AG27,S27,$B27)</f>
        <v>#REF!</v>
      </c>
      <c r="AV27" t="e">
        <f t="shared" ca="1" si="17"/>
        <v>#REF!</v>
      </c>
      <c r="AW27" t="e">
        <f t="shared" ca="1" si="17"/>
        <v>#REF!</v>
      </c>
      <c r="AX27" t="e">
        <f t="shared" ca="1" si="17"/>
        <v>#REF!</v>
      </c>
      <c r="AY27" t="e">
        <f t="shared" ca="1" si="17"/>
        <v>#REF!</v>
      </c>
      <c r="AZ27" t="e">
        <f t="shared" ca="1" si="17"/>
        <v>#REF!</v>
      </c>
      <c r="BA27" t="e">
        <f t="shared" ca="1" si="17"/>
        <v>#REF!</v>
      </c>
      <c r="BB27" t="e">
        <f t="shared" ca="1" si="17"/>
        <v>#REF!</v>
      </c>
      <c r="BC27" t="e">
        <f t="shared" ca="1" si="17"/>
        <v>#REF!</v>
      </c>
      <c r="BI27" t="e">
        <f ca="1">IF(AU27=$C27,1,0)</f>
        <v>#REF!</v>
      </c>
      <c r="BJ27" t="e">
        <f t="shared" ca="1" si="18"/>
        <v>#REF!</v>
      </c>
      <c r="BK27" t="e">
        <f t="shared" ca="1" si="18"/>
        <v>#REF!</v>
      </c>
      <c r="BL27" t="e">
        <f t="shared" ca="1" si="18"/>
        <v>#REF!</v>
      </c>
      <c r="BM27" t="e">
        <f t="shared" ca="1" si="18"/>
        <v>#REF!</v>
      </c>
      <c r="BN27" t="e">
        <f t="shared" ca="1" si="18"/>
        <v>#REF!</v>
      </c>
      <c r="BO27" t="e">
        <f t="shared" ca="1" si="18"/>
        <v>#REF!</v>
      </c>
      <c r="BP27" t="e">
        <f t="shared" ca="1" si="18"/>
        <v>#REF!</v>
      </c>
      <c r="BQ27" t="e">
        <f t="shared" ca="1" si="18"/>
        <v>#REF!</v>
      </c>
      <c r="BW27" t="e" cm="1">
        <f t="array" aca="1" ref="BW27" ca="1">IF(AG27,OFFSET(INDIRECT("'"&amp;CK$25&amp;"'!f1"),E27-1,),"")</f>
        <v>#REF!</v>
      </c>
      <c r="BX27" t="e" cm="1">
        <f t="array" aca="1" ref="BX27" ca="1">IF(AH27,OFFSET(INDIRECT("'"&amp;CL$25&amp;"'!f1"),F27-1,),"")</f>
        <v>#REF!</v>
      </c>
      <c r="BY27" t="e" cm="1">
        <f t="array" aca="1" ref="BY27" ca="1">IF(AI27,OFFSET(INDIRECT("'"&amp;CM$25&amp;"'!f1"),G27-1,),"")</f>
        <v>#REF!</v>
      </c>
      <c r="BZ27" t="e" cm="1">
        <f t="array" aca="1" ref="BZ27" ca="1">IF(AJ27,OFFSET(INDIRECT("'"&amp;CN$25&amp;"'!f1"),H27-1,),"")</f>
        <v>#REF!</v>
      </c>
      <c r="CA27" t="e" cm="1">
        <f t="array" aca="1" ref="CA27" ca="1">IF(AK27,OFFSET(INDIRECT("'"&amp;CO$25&amp;"'!f1"),I27-1,),"")</f>
        <v>#REF!</v>
      </c>
      <c r="CB27" t="e" cm="1">
        <f t="array" aca="1" ref="CB27" ca="1">IF(AL27,OFFSET(INDIRECT("'"&amp;CP$25&amp;"'!f1"),J27-1,),"")</f>
        <v>#REF!</v>
      </c>
      <c r="CC27" t="e" cm="1">
        <f t="array" aca="1" ref="CC27" ca="1">IF(AM27,OFFSET(INDIRECT("'"&amp;CQ$25&amp;"'!f1"),K27-1,),"")</f>
        <v>#REF!</v>
      </c>
      <c r="CD27" t="e" cm="1">
        <f t="array" aca="1" ref="CD27" ca="1">IF(AN27,OFFSET(INDIRECT("'"&amp;CR$25&amp;"'!f1"),L27-1,),"")</f>
        <v>#REF!</v>
      </c>
      <c r="CE27" t="e" cm="1">
        <f t="array" aca="1" ref="CE27" ca="1">IF(AO27,OFFSET(INDIRECT("'"&amp;CS$25&amp;"'!f1"),M27-1,),"")</f>
        <v>#REF!</v>
      </c>
      <c r="CK27" t="e" cm="1">
        <f t="array" aca="1" ref="CK27" ca="1">IF(BI27,OFFSET(INDIRECT("'"&amp;CK$25&amp;"'!f1"),E27-1,),"")</f>
        <v>#REF!</v>
      </c>
      <c r="CL27" t="e" cm="1">
        <f t="array" aca="1" ref="CL27" ca="1">IF(BJ27,OFFSET(INDIRECT("'"&amp;CL$25&amp;"'!f1"),F27-1,),"")</f>
        <v>#REF!</v>
      </c>
      <c r="CM27" t="e" cm="1">
        <f t="array" aca="1" ref="CM27" ca="1">IF(BK27,OFFSET(INDIRECT("'"&amp;CM$25&amp;"'!f1"),G27-1,),"")</f>
        <v>#REF!</v>
      </c>
      <c r="CN27" t="e" cm="1">
        <f t="array" aca="1" ref="CN27" ca="1">IF(BL27,OFFSET(INDIRECT("'"&amp;CN$25&amp;"'!f1"),H27-1,),"")</f>
        <v>#REF!</v>
      </c>
      <c r="CO27" t="e" cm="1">
        <f t="array" aca="1" ref="CO27" ca="1">IF(BM27,OFFSET(INDIRECT("'"&amp;CO$25&amp;"'!f1"),I27-1,),"")</f>
        <v>#REF!</v>
      </c>
      <c r="CP27" t="e" cm="1">
        <f t="array" aca="1" ref="CP27" ca="1">IF(BN27,OFFSET(INDIRECT("'"&amp;CP$25&amp;"'!f1"),J27-1,),"")</f>
        <v>#REF!</v>
      </c>
      <c r="CQ27" t="e" cm="1">
        <f t="array" aca="1" ref="CQ27" ca="1">IF(BO27,OFFSET(INDIRECT("'"&amp;CQ$25&amp;"'!f1"),K27-1,),"")</f>
        <v>#REF!</v>
      </c>
      <c r="CR27" t="e" cm="1">
        <f t="array" aca="1" ref="CR27" ca="1">IF(BP27,OFFSET(INDIRECT("'"&amp;CR$25&amp;"'!f1"),L27-1,),"")</f>
        <v>#REF!</v>
      </c>
      <c r="CS27" t="e" cm="1">
        <f t="array" aca="1" ref="CS27" ca="1">IF(BQ27,OFFSET(INDIRECT("'"&amp;CS$25&amp;"'!f1"),M27-1,),"")</f>
        <v>#REF!</v>
      </c>
      <c r="CY27" t="e" cm="1">
        <f t="array" aca="1" ref="CY27" ca="1">IF(ISNA(E27),0,OFFSET(INDIRECT("'"&amp;CY$25&amp;"'!g1"),E27-1,)*BI27)</f>
        <v>#REF!</v>
      </c>
      <c r="CZ27" t="e" cm="1">
        <f t="array" aca="1" ref="CZ27" ca="1">IF(ISNA(F27),0,OFFSET(INDIRECT("'"&amp;CZ$25&amp;"'!g1"),F27-1,)*BJ27)</f>
        <v>#REF!</v>
      </c>
      <c r="DA27" t="e" cm="1">
        <f t="array" aca="1" ref="DA27" ca="1">IF(ISNA(G27),0,OFFSET(INDIRECT("'"&amp;DA$25&amp;"'!g1"),G27-1,)*BK27)</f>
        <v>#REF!</v>
      </c>
      <c r="DB27" t="e" cm="1">
        <f t="array" aca="1" ref="DB27" ca="1">IF(ISNA(H27),0,OFFSET(INDIRECT("'"&amp;DB$25&amp;"'!g1"),H27-1,)*BL27)</f>
        <v>#REF!</v>
      </c>
      <c r="DC27" t="e" cm="1">
        <f t="array" aca="1" ref="DC27" ca="1">IF(ISNA(I27),0,OFFSET(INDIRECT("'"&amp;DC$25&amp;"'!g1"),I27-1,)*BM27)</f>
        <v>#REF!</v>
      </c>
      <c r="DD27" t="e" cm="1">
        <f t="array" aca="1" ref="DD27" ca="1">IF(ISNA(J27),0,OFFSET(INDIRECT("'"&amp;DD$25&amp;"'!g1"),J27-1,)*BN27)</f>
        <v>#REF!</v>
      </c>
      <c r="DE27" t="e" cm="1">
        <f t="array" aca="1" ref="DE27" ca="1">IF(ISNA(K27),0,OFFSET(INDIRECT("'"&amp;DE$25&amp;"'!g1"),K27-1,)*BO27)</f>
        <v>#REF!</v>
      </c>
      <c r="DF27" t="e" cm="1">
        <f t="array" aca="1" ref="DF27" ca="1">IF(ISNA(L27),0,OFFSET(INDIRECT("'"&amp;DF$25&amp;"'!g1"),L27-1,)*BP27)</f>
        <v>#REF!</v>
      </c>
      <c r="DG27" t="e" cm="1">
        <f t="array" aca="1" ref="DG27" ca="1">IF(ISNA(M27),0,OFFSET(INDIRECT("'"&amp;DG$25&amp;"'!g1"),M27-1,)*BQ27)</f>
        <v>#REF!</v>
      </c>
      <c r="DM27" s="10" t="e" cm="1">
        <f t="array" aca="1" ref="DM27" ca="1">IF(ISNA(E27),0,OFFSET(INDIRECT("'"&amp;CY$25&amp;"'!h1"),E27-1,))</f>
        <v>#REF!</v>
      </c>
      <c r="DN27" s="10" t="e" cm="1">
        <f t="array" aca="1" ref="DN27" ca="1">IF(ISNA(F27),0,OFFSET(INDIRECT("'"&amp;CZ$25&amp;"'!h1"),F27-1,))</f>
        <v>#REF!</v>
      </c>
      <c r="DO27" s="10" t="e" cm="1">
        <f t="array" aca="1" ref="DO27" ca="1">IF(ISNA(G27),0,OFFSET(INDIRECT("'"&amp;DA$25&amp;"'!h1"),G27-1,))</f>
        <v>#REF!</v>
      </c>
      <c r="DP27" s="10" t="e" cm="1">
        <f t="array" aca="1" ref="DP27" ca="1">IF(ISNA(H27),0,OFFSET(INDIRECT("'"&amp;DB$25&amp;"'!h1"),H27-1,))</f>
        <v>#REF!</v>
      </c>
      <c r="DQ27" s="10" t="e" cm="1">
        <f t="array" aca="1" ref="DQ27" ca="1">IF(ISNA(I27),0,OFFSET(INDIRECT("'"&amp;DC$25&amp;"'!h1"),I27-1,))</f>
        <v>#REF!</v>
      </c>
      <c r="DR27" s="10" t="e" cm="1">
        <f t="array" aca="1" ref="DR27" ca="1">IF(ISNA(J27),0,OFFSET(INDIRECT("'"&amp;DD$25&amp;"'!h1"),J27-1,))</f>
        <v>#REF!</v>
      </c>
      <c r="DS27" s="10" t="e" cm="1">
        <f t="array" aca="1" ref="DS27" ca="1">IF(ISNA(K27),0,OFFSET(INDIRECT("'"&amp;DE$25&amp;"'!h1"),K27-1,))</f>
        <v>#REF!</v>
      </c>
      <c r="DT27" s="10" t="e" cm="1">
        <f t="array" aca="1" ref="DT27" ca="1">IF(ISNA(L27),0,OFFSET(INDIRECT("'"&amp;DF$25&amp;"'!h1"),L27-1,))</f>
        <v>#REF!</v>
      </c>
      <c r="DU27" s="10" t="e" cm="1">
        <f t="array" aca="1" ref="DU27" ca="1">IF(ISNA(M27),0,OFFSET(INDIRECT("'"&amp;DG$25&amp;"'!h1"),M27-1,))</f>
        <v>#REF!</v>
      </c>
      <c r="DV27" s="10"/>
      <c r="DW27" s="10"/>
      <c r="DX27" s="10"/>
      <c r="DY27" s="10"/>
      <c r="EA27" s="11"/>
      <c r="EB27" s="11"/>
      <c r="EC27" s="11"/>
      <c r="ED27" s="11"/>
      <c r="EE27" s="11"/>
      <c r="EF27" s="11"/>
    </row>
    <row r="28" spans="1:136" x14ac:dyDescent="0.2">
      <c r="A28" t="e">
        <f>#REF!</f>
        <v>#REF!</v>
      </c>
      <c r="B28" t="e">
        <f>#REF!</f>
        <v>#REF!</v>
      </c>
      <c r="C28" t="e">
        <f>#REF!</f>
        <v>#REF!</v>
      </c>
      <c r="E28" t="e">
        <f t="shared" ca="1" si="15"/>
        <v>#REF!</v>
      </c>
      <c r="F28" t="e">
        <f t="shared" ca="1" si="15"/>
        <v>#REF!</v>
      </c>
      <c r="G28" t="e">
        <f t="shared" ca="1" si="15"/>
        <v>#REF!</v>
      </c>
      <c r="H28" t="e">
        <f t="shared" ca="1" si="15"/>
        <v>#REF!</v>
      </c>
      <c r="I28" t="e">
        <f t="shared" ca="1" si="15"/>
        <v>#REF!</v>
      </c>
      <c r="J28" t="e">
        <f t="shared" ca="1" si="15"/>
        <v>#REF!</v>
      </c>
      <c r="K28" t="e">
        <f t="shared" ca="1" si="15"/>
        <v>#REF!</v>
      </c>
      <c r="L28" t="e">
        <f t="shared" ca="1" si="15"/>
        <v>#REF!</v>
      </c>
      <c r="M28" t="e">
        <f t="shared" ca="1" si="15"/>
        <v>#REF!</v>
      </c>
      <c r="S28" t="e" cm="1">
        <f t="array" aca="1" ref="S28" ca="1">IF(ISNA(E28),,OFFSET(INDIRECT("'"&amp;S$25&amp;"'!d1"),E28-1,))</f>
        <v>#REF!</v>
      </c>
      <c r="T28" t="e" cm="1">
        <f t="array" aca="1" ref="T28" ca="1">IF(ISNA(F28),,OFFSET(INDIRECT("'"&amp;T$25&amp;"'!d1"),F28-1,))</f>
        <v>#REF!</v>
      </c>
      <c r="U28" t="e" cm="1">
        <f t="array" aca="1" ref="U28" ca="1">IF(ISNA(G28),,OFFSET(INDIRECT("'"&amp;U$25&amp;"'!d1"),G28-1,))</f>
        <v>#REF!</v>
      </c>
      <c r="V28" t="e" cm="1">
        <f t="array" aca="1" ref="V28" ca="1">IF(ISNA(H28),,OFFSET(INDIRECT("'"&amp;V$25&amp;"'!d1"),H28-1,))</f>
        <v>#REF!</v>
      </c>
      <c r="W28" t="e" cm="1">
        <f t="array" aca="1" ref="W28" ca="1">IF(ISNA(I28),,OFFSET(INDIRECT("'"&amp;W$25&amp;"'!d1"),I28-1,))</f>
        <v>#REF!</v>
      </c>
      <c r="X28" t="e" cm="1">
        <f t="array" aca="1" ref="X28" ca="1">IF(ISNA(J28),,OFFSET(INDIRECT("'"&amp;X$25&amp;"'!d1"),J28-1,))</f>
        <v>#REF!</v>
      </c>
      <c r="Y28" t="e" cm="1">
        <f t="array" aca="1" ref="Y28" ca="1">IF(ISNA(K28),,OFFSET(INDIRECT("'"&amp;Y$25&amp;"'!d1"),K28-1,))</f>
        <v>#REF!</v>
      </c>
      <c r="Z28" t="e" cm="1">
        <f t="array" aca="1" ref="Z28" ca="1">IF(ISNA(L28),,OFFSET(INDIRECT("'"&amp;Z$25&amp;"'!d1"),L28-1,))</f>
        <v>#REF!</v>
      </c>
      <c r="AA28" t="e" cm="1">
        <f t="array" aca="1" ref="AA28" ca="1">IF(ISNA(M28),,OFFSET(INDIRECT("'"&amp;AA$25&amp;"'!d1"),M28-1,))</f>
        <v>#REF!</v>
      </c>
      <c r="AG28" t="e">
        <f ca="1">IF(AND(S28&gt;0,S28&lt;$B28),1,0)</f>
        <v>#REF!</v>
      </c>
      <c r="AH28" t="e">
        <f t="shared" ca="1" si="16"/>
        <v>#REF!</v>
      </c>
      <c r="AI28" t="e">
        <f t="shared" ca="1" si="16"/>
        <v>#REF!</v>
      </c>
      <c r="AJ28" t="e">
        <f t="shared" ca="1" si="16"/>
        <v>#REF!</v>
      </c>
      <c r="AK28" t="e">
        <f t="shared" ca="1" si="16"/>
        <v>#REF!</v>
      </c>
      <c r="AL28" t="e">
        <f t="shared" ca="1" si="16"/>
        <v>#REF!</v>
      </c>
      <c r="AM28" t="e">
        <f t="shared" ca="1" si="16"/>
        <v>#REF!</v>
      </c>
      <c r="AN28" t="e">
        <f t="shared" ca="1" si="16"/>
        <v>#REF!</v>
      </c>
      <c r="AO28" t="e">
        <f t="shared" ca="1" si="16"/>
        <v>#REF!</v>
      </c>
      <c r="AU28" t="e">
        <f ca="1">IF(AG28,S28,$B28)</f>
        <v>#REF!</v>
      </c>
      <c r="AV28" t="e">
        <f t="shared" ca="1" si="17"/>
        <v>#REF!</v>
      </c>
      <c r="AW28" t="e">
        <f t="shared" ca="1" si="17"/>
        <v>#REF!</v>
      </c>
      <c r="AX28" t="e">
        <f t="shared" ca="1" si="17"/>
        <v>#REF!</v>
      </c>
      <c r="AY28" t="e">
        <f t="shared" ca="1" si="17"/>
        <v>#REF!</v>
      </c>
      <c r="AZ28" t="e">
        <f t="shared" ca="1" si="17"/>
        <v>#REF!</v>
      </c>
      <c r="BA28" t="e">
        <f t="shared" ca="1" si="17"/>
        <v>#REF!</v>
      </c>
      <c r="BB28" t="e">
        <f t="shared" ca="1" si="17"/>
        <v>#REF!</v>
      </c>
      <c r="BC28" t="e">
        <f t="shared" ca="1" si="17"/>
        <v>#REF!</v>
      </c>
      <c r="BI28" t="e">
        <f ca="1">IF(AU28=$C28,1,0)</f>
        <v>#REF!</v>
      </c>
      <c r="BJ28" t="e">
        <f t="shared" ca="1" si="18"/>
        <v>#REF!</v>
      </c>
      <c r="BK28" t="e">
        <f t="shared" ca="1" si="18"/>
        <v>#REF!</v>
      </c>
      <c r="BL28" t="e">
        <f t="shared" ca="1" si="18"/>
        <v>#REF!</v>
      </c>
      <c r="BM28" t="e">
        <f t="shared" ca="1" si="18"/>
        <v>#REF!</v>
      </c>
      <c r="BN28" t="e">
        <f t="shared" ca="1" si="18"/>
        <v>#REF!</v>
      </c>
      <c r="BO28" t="e">
        <f t="shared" ca="1" si="18"/>
        <v>#REF!</v>
      </c>
      <c r="BP28" t="e">
        <f t="shared" ca="1" si="18"/>
        <v>#REF!</v>
      </c>
      <c r="BQ28" t="e">
        <f t="shared" ca="1" si="18"/>
        <v>#REF!</v>
      </c>
      <c r="BW28" t="e" cm="1">
        <f t="array" aca="1" ref="BW28" ca="1">IF(AG28,OFFSET(INDIRECT("'"&amp;CK$25&amp;"'!f1"),E28-1,),"")</f>
        <v>#REF!</v>
      </c>
      <c r="BX28" t="e" cm="1">
        <f t="array" aca="1" ref="BX28" ca="1">IF(AH28,OFFSET(INDIRECT("'"&amp;CL$25&amp;"'!f1"),F28-1,),"")</f>
        <v>#REF!</v>
      </c>
      <c r="BY28" t="e" cm="1">
        <f t="array" aca="1" ref="BY28" ca="1">IF(AI28,OFFSET(INDIRECT("'"&amp;CM$25&amp;"'!f1"),G28-1,),"")</f>
        <v>#REF!</v>
      </c>
      <c r="BZ28" t="e" cm="1">
        <f t="array" aca="1" ref="BZ28" ca="1">IF(AJ28,OFFSET(INDIRECT("'"&amp;CN$25&amp;"'!f1"),H28-1,),"")</f>
        <v>#REF!</v>
      </c>
      <c r="CA28" t="e" cm="1">
        <f t="array" aca="1" ref="CA28" ca="1">IF(AK28,OFFSET(INDIRECT("'"&amp;CO$25&amp;"'!f1"),I28-1,),"")</f>
        <v>#REF!</v>
      </c>
      <c r="CB28" t="e" cm="1">
        <f t="array" aca="1" ref="CB28" ca="1">IF(AL28,OFFSET(INDIRECT("'"&amp;CP$25&amp;"'!f1"),J28-1,),"")</f>
        <v>#REF!</v>
      </c>
      <c r="CC28" t="e" cm="1">
        <f t="array" aca="1" ref="CC28" ca="1">IF(AM28,OFFSET(INDIRECT("'"&amp;CQ$25&amp;"'!f1"),K28-1,),"")</f>
        <v>#REF!</v>
      </c>
      <c r="CD28" t="e" cm="1">
        <f t="array" aca="1" ref="CD28" ca="1">IF(AN28,OFFSET(INDIRECT("'"&amp;CR$25&amp;"'!f1"),L28-1,),"")</f>
        <v>#REF!</v>
      </c>
      <c r="CE28" t="e" cm="1">
        <f t="array" aca="1" ref="CE28" ca="1">IF(AO28,OFFSET(INDIRECT("'"&amp;CS$25&amp;"'!f1"),M28-1,),"")</f>
        <v>#REF!</v>
      </c>
      <c r="CK28" t="e" cm="1">
        <f t="array" aca="1" ref="CK28" ca="1">IF(BI28,OFFSET(INDIRECT("'"&amp;CK$25&amp;"'!f1"),E28-1,),"")</f>
        <v>#REF!</v>
      </c>
      <c r="CL28" t="e" cm="1">
        <f t="array" aca="1" ref="CL28" ca="1">IF(BJ28,OFFSET(INDIRECT("'"&amp;CL$25&amp;"'!f1"),F28-1,),"")</f>
        <v>#REF!</v>
      </c>
      <c r="CM28" t="e" cm="1">
        <f t="array" aca="1" ref="CM28" ca="1">IF(BK28,OFFSET(INDIRECT("'"&amp;CM$25&amp;"'!f1"),G28-1,),"")</f>
        <v>#REF!</v>
      </c>
      <c r="CN28" t="e" cm="1">
        <f t="array" aca="1" ref="CN28" ca="1">IF(BL28,OFFSET(INDIRECT("'"&amp;CN$25&amp;"'!f1"),H28-1,),"")</f>
        <v>#REF!</v>
      </c>
      <c r="CO28" t="e" cm="1">
        <f t="array" aca="1" ref="CO28" ca="1">IF(BM28,OFFSET(INDIRECT("'"&amp;CO$25&amp;"'!f1"),I28-1,),"")</f>
        <v>#REF!</v>
      </c>
      <c r="CP28" t="e" cm="1">
        <f t="array" aca="1" ref="CP28" ca="1">IF(BN28,OFFSET(INDIRECT("'"&amp;CP$25&amp;"'!f1"),J28-1,),"")</f>
        <v>#REF!</v>
      </c>
      <c r="CQ28" t="e" cm="1">
        <f t="array" aca="1" ref="CQ28" ca="1">IF(BO28,OFFSET(INDIRECT("'"&amp;CQ$25&amp;"'!f1"),K28-1,),"")</f>
        <v>#REF!</v>
      </c>
      <c r="CR28" t="e" cm="1">
        <f t="array" aca="1" ref="CR28" ca="1">IF(BP28,OFFSET(INDIRECT("'"&amp;CR$25&amp;"'!f1"),L28-1,),"")</f>
        <v>#REF!</v>
      </c>
      <c r="CS28" t="e" cm="1">
        <f t="array" aca="1" ref="CS28" ca="1">IF(BQ28,OFFSET(INDIRECT("'"&amp;CS$25&amp;"'!f1"),M28-1,),"")</f>
        <v>#REF!</v>
      </c>
      <c r="CY28" t="e" cm="1">
        <f t="array" aca="1" ref="CY28" ca="1">IF(ISNA(E28),0,OFFSET(INDIRECT("'"&amp;CY$25&amp;"'!g1"),E28-1,)*BI28)</f>
        <v>#REF!</v>
      </c>
      <c r="CZ28" t="e" cm="1">
        <f t="array" aca="1" ref="CZ28" ca="1">IF(ISNA(F28),0,OFFSET(INDIRECT("'"&amp;CZ$25&amp;"'!g1"),F28-1,)*BJ28)</f>
        <v>#REF!</v>
      </c>
      <c r="DA28" t="e" cm="1">
        <f t="array" aca="1" ref="DA28" ca="1">IF(ISNA(G28),0,OFFSET(INDIRECT("'"&amp;DA$25&amp;"'!g1"),G28-1,)*BK28)</f>
        <v>#REF!</v>
      </c>
      <c r="DB28" t="e" cm="1">
        <f t="array" aca="1" ref="DB28" ca="1">IF(ISNA(H28),0,OFFSET(INDIRECT("'"&amp;DB$25&amp;"'!g1"),H28-1,)*BL28)</f>
        <v>#REF!</v>
      </c>
      <c r="DC28" t="e" cm="1">
        <f t="array" aca="1" ref="DC28" ca="1">IF(ISNA(I28),0,OFFSET(INDIRECT("'"&amp;DC$25&amp;"'!g1"),I28-1,)*BM28)</f>
        <v>#REF!</v>
      </c>
      <c r="DD28" t="e" cm="1">
        <f t="array" aca="1" ref="DD28" ca="1">IF(ISNA(J28),0,OFFSET(INDIRECT("'"&amp;DD$25&amp;"'!g1"),J28-1,)*BN28)</f>
        <v>#REF!</v>
      </c>
      <c r="DE28" t="e" cm="1">
        <f t="array" aca="1" ref="DE28" ca="1">IF(ISNA(K28),0,OFFSET(INDIRECT("'"&amp;DE$25&amp;"'!g1"),K28-1,)*BO28)</f>
        <v>#REF!</v>
      </c>
      <c r="DF28" t="e" cm="1">
        <f t="array" aca="1" ref="DF28" ca="1">IF(ISNA(L28),0,OFFSET(INDIRECT("'"&amp;DF$25&amp;"'!g1"),L28-1,)*BP28)</f>
        <v>#REF!</v>
      </c>
      <c r="DG28" t="e" cm="1">
        <f t="array" aca="1" ref="DG28" ca="1">IF(ISNA(M28),0,OFFSET(INDIRECT("'"&amp;DG$25&amp;"'!g1"),M28-1,)*BQ28)</f>
        <v>#REF!</v>
      </c>
      <c r="DM28" s="10" t="e" cm="1">
        <f t="array" aca="1" ref="DM28" ca="1">IF(ISNA(E28),0,OFFSET(INDIRECT("'"&amp;CY$25&amp;"'!h1"),E28-1,))</f>
        <v>#REF!</v>
      </c>
      <c r="DN28" s="10" t="e" cm="1">
        <f t="array" aca="1" ref="DN28" ca="1">IF(ISNA(F28),0,OFFSET(INDIRECT("'"&amp;CZ$25&amp;"'!h1"),F28-1,))</f>
        <v>#REF!</v>
      </c>
      <c r="DO28" s="10" t="e" cm="1">
        <f t="array" aca="1" ref="DO28" ca="1">IF(ISNA(G28),0,OFFSET(INDIRECT("'"&amp;DA$25&amp;"'!h1"),G28-1,))</f>
        <v>#REF!</v>
      </c>
      <c r="DP28" s="10" t="e" cm="1">
        <f t="array" aca="1" ref="DP28" ca="1">IF(ISNA(H28),0,OFFSET(INDIRECT("'"&amp;DB$25&amp;"'!h1"),H28-1,))</f>
        <v>#REF!</v>
      </c>
      <c r="DQ28" s="10" t="e" cm="1">
        <f t="array" aca="1" ref="DQ28" ca="1">IF(ISNA(I28),0,OFFSET(INDIRECT("'"&amp;DC$25&amp;"'!h1"),I28-1,))</f>
        <v>#REF!</v>
      </c>
      <c r="DR28" s="10" t="e" cm="1">
        <f t="array" aca="1" ref="DR28" ca="1">IF(ISNA(J28),0,OFFSET(INDIRECT("'"&amp;DD$25&amp;"'!h1"),J28-1,))</f>
        <v>#REF!</v>
      </c>
      <c r="DS28" s="10" t="e" cm="1">
        <f t="array" aca="1" ref="DS28" ca="1">IF(ISNA(K28),0,OFFSET(INDIRECT("'"&amp;DE$25&amp;"'!h1"),K28-1,))</f>
        <v>#REF!</v>
      </c>
      <c r="DT28" s="10" t="e" cm="1">
        <f t="array" aca="1" ref="DT28" ca="1">IF(ISNA(L28),0,OFFSET(INDIRECT("'"&amp;DF$25&amp;"'!h1"),L28-1,))</f>
        <v>#REF!</v>
      </c>
      <c r="DU28" s="10" t="e" cm="1">
        <f t="array" aca="1" ref="DU28" ca="1">IF(ISNA(M28),0,OFFSET(INDIRECT("'"&amp;DG$25&amp;"'!h1"),M28-1,))</f>
        <v>#REF!</v>
      </c>
      <c r="DV28" s="10"/>
      <c r="DW28" s="10"/>
      <c r="DX28" s="10"/>
      <c r="DY28" s="10"/>
      <c r="EA28" s="11"/>
      <c r="EB28" s="11"/>
      <c r="EC28" s="11"/>
      <c r="ED28" s="11"/>
      <c r="EE28" s="11"/>
      <c r="EF28" s="11"/>
    </row>
    <row r="29" spans="1:136" x14ac:dyDescent="0.2">
      <c r="A29" t="e">
        <f>#REF!</f>
        <v>#REF!</v>
      </c>
      <c r="B29" t="e">
        <f>#REF!</f>
        <v>#REF!</v>
      </c>
      <c r="C29" t="e">
        <f>#REF!</f>
        <v>#REF!</v>
      </c>
      <c r="E29" t="e">
        <f t="shared" ca="1" si="15"/>
        <v>#REF!</v>
      </c>
      <c r="F29" t="e">
        <f t="shared" ca="1" si="15"/>
        <v>#REF!</v>
      </c>
      <c r="G29" t="e">
        <f t="shared" ca="1" si="15"/>
        <v>#REF!</v>
      </c>
      <c r="H29" t="e">
        <f t="shared" ca="1" si="15"/>
        <v>#REF!</v>
      </c>
      <c r="I29" t="e">
        <f t="shared" ca="1" si="15"/>
        <v>#REF!</v>
      </c>
      <c r="J29" t="e">
        <f t="shared" ca="1" si="15"/>
        <v>#REF!</v>
      </c>
      <c r="K29" t="e">
        <f t="shared" ca="1" si="15"/>
        <v>#REF!</v>
      </c>
      <c r="L29" t="e">
        <f t="shared" ca="1" si="15"/>
        <v>#REF!</v>
      </c>
      <c r="M29" t="e">
        <f t="shared" ca="1" si="15"/>
        <v>#REF!</v>
      </c>
      <c r="S29" t="e" cm="1">
        <f t="array" aca="1" ref="S29" ca="1">IF(ISNA(E29),,OFFSET(INDIRECT("'"&amp;S$25&amp;"'!d1"),E29-1,))</f>
        <v>#REF!</v>
      </c>
      <c r="T29" t="e" cm="1">
        <f t="array" aca="1" ref="T29" ca="1">IF(ISNA(F29),,OFFSET(INDIRECT("'"&amp;T$25&amp;"'!d1"),F29-1,))</f>
        <v>#REF!</v>
      </c>
      <c r="U29" t="e" cm="1">
        <f t="array" aca="1" ref="U29" ca="1">IF(ISNA(G29),,OFFSET(INDIRECT("'"&amp;U$25&amp;"'!d1"),G29-1,))</f>
        <v>#REF!</v>
      </c>
      <c r="V29" t="e" cm="1">
        <f t="array" aca="1" ref="V29" ca="1">IF(ISNA(H29),,OFFSET(INDIRECT("'"&amp;V$25&amp;"'!d1"),H29-1,))</f>
        <v>#REF!</v>
      </c>
      <c r="W29" t="e" cm="1">
        <f t="array" aca="1" ref="W29" ca="1">IF(ISNA(I29),,OFFSET(INDIRECT("'"&amp;W$25&amp;"'!d1"),I29-1,))</f>
        <v>#REF!</v>
      </c>
      <c r="X29" t="e" cm="1">
        <f t="array" aca="1" ref="X29" ca="1">IF(ISNA(J29),,OFFSET(INDIRECT("'"&amp;X$25&amp;"'!d1"),J29-1,))</f>
        <v>#REF!</v>
      </c>
      <c r="Y29" t="e" cm="1">
        <f t="array" aca="1" ref="Y29" ca="1">IF(ISNA(K29),,OFFSET(INDIRECT("'"&amp;Y$25&amp;"'!d1"),K29-1,))</f>
        <v>#REF!</v>
      </c>
      <c r="Z29" t="e" cm="1">
        <f t="array" aca="1" ref="Z29" ca="1">IF(ISNA(L29),,OFFSET(INDIRECT("'"&amp;Z$25&amp;"'!d1"),L29-1,))</f>
        <v>#REF!</v>
      </c>
      <c r="AA29" t="e" cm="1">
        <f t="array" aca="1" ref="AA29" ca="1">IF(ISNA(M29),,OFFSET(INDIRECT("'"&amp;AA$25&amp;"'!d1"),M29-1,))</f>
        <v>#REF!</v>
      </c>
      <c r="AG29" t="e">
        <f ca="1">IF(AND(S29&gt;0,S29&lt;$B29),1,0)</f>
        <v>#REF!</v>
      </c>
      <c r="AH29" t="e">
        <f t="shared" ca="1" si="16"/>
        <v>#REF!</v>
      </c>
      <c r="AI29" t="e">
        <f t="shared" ca="1" si="16"/>
        <v>#REF!</v>
      </c>
      <c r="AJ29" t="e">
        <f t="shared" ca="1" si="16"/>
        <v>#REF!</v>
      </c>
      <c r="AK29" t="e">
        <f t="shared" ca="1" si="16"/>
        <v>#REF!</v>
      </c>
      <c r="AL29" t="e">
        <f t="shared" ca="1" si="16"/>
        <v>#REF!</v>
      </c>
      <c r="AM29" t="e">
        <f t="shared" ca="1" si="16"/>
        <v>#REF!</v>
      </c>
      <c r="AN29" t="e">
        <f t="shared" ca="1" si="16"/>
        <v>#REF!</v>
      </c>
      <c r="AO29" t="e">
        <f t="shared" ca="1" si="16"/>
        <v>#REF!</v>
      </c>
      <c r="AU29" t="e">
        <f ca="1">IF(AG29,S29,$B29)</f>
        <v>#REF!</v>
      </c>
      <c r="AV29" t="e">
        <f t="shared" ca="1" si="17"/>
        <v>#REF!</v>
      </c>
      <c r="AW29" t="e">
        <f t="shared" ca="1" si="17"/>
        <v>#REF!</v>
      </c>
      <c r="AX29" t="e">
        <f t="shared" ca="1" si="17"/>
        <v>#REF!</v>
      </c>
      <c r="AY29" t="e">
        <f t="shared" ca="1" si="17"/>
        <v>#REF!</v>
      </c>
      <c r="AZ29" t="e">
        <f t="shared" ca="1" si="17"/>
        <v>#REF!</v>
      </c>
      <c r="BA29" t="e">
        <f t="shared" ca="1" si="17"/>
        <v>#REF!</v>
      </c>
      <c r="BB29" t="e">
        <f t="shared" ca="1" si="17"/>
        <v>#REF!</v>
      </c>
      <c r="BC29" t="e">
        <f t="shared" ca="1" si="17"/>
        <v>#REF!</v>
      </c>
      <c r="BI29" t="e">
        <f ca="1">IF(AU29=$C29,1,0)</f>
        <v>#REF!</v>
      </c>
      <c r="BJ29" t="e">
        <f t="shared" ca="1" si="18"/>
        <v>#REF!</v>
      </c>
      <c r="BK29" t="e">
        <f t="shared" ca="1" si="18"/>
        <v>#REF!</v>
      </c>
      <c r="BL29" t="e">
        <f t="shared" ca="1" si="18"/>
        <v>#REF!</v>
      </c>
      <c r="BM29" t="e">
        <f t="shared" ca="1" si="18"/>
        <v>#REF!</v>
      </c>
      <c r="BN29" t="e">
        <f t="shared" ca="1" si="18"/>
        <v>#REF!</v>
      </c>
      <c r="BO29" t="e">
        <f t="shared" ca="1" si="18"/>
        <v>#REF!</v>
      </c>
      <c r="BP29" t="e">
        <f t="shared" ca="1" si="18"/>
        <v>#REF!</v>
      </c>
      <c r="BQ29" t="e">
        <f t="shared" ca="1" si="18"/>
        <v>#REF!</v>
      </c>
      <c r="BW29" t="e" cm="1">
        <f t="array" aca="1" ref="BW29" ca="1">IF(AG29,OFFSET(INDIRECT("'"&amp;CK$25&amp;"'!f1"),E29-1,),"")</f>
        <v>#REF!</v>
      </c>
      <c r="BX29" t="e" cm="1">
        <f t="array" aca="1" ref="BX29" ca="1">IF(AH29,OFFSET(INDIRECT("'"&amp;CL$25&amp;"'!f1"),F29-1,),"")</f>
        <v>#REF!</v>
      </c>
      <c r="BY29" t="e" cm="1">
        <f t="array" aca="1" ref="BY29" ca="1">IF(AI29,OFFSET(INDIRECT("'"&amp;CM$25&amp;"'!f1"),G29-1,),"")</f>
        <v>#REF!</v>
      </c>
      <c r="BZ29" t="e" cm="1">
        <f t="array" aca="1" ref="BZ29" ca="1">IF(AJ29,OFFSET(INDIRECT("'"&amp;CN$25&amp;"'!f1"),H29-1,),"")</f>
        <v>#REF!</v>
      </c>
      <c r="CA29" t="e" cm="1">
        <f t="array" aca="1" ref="CA29" ca="1">IF(AK29,OFFSET(INDIRECT("'"&amp;CO$25&amp;"'!f1"),I29-1,),"")</f>
        <v>#REF!</v>
      </c>
      <c r="CB29" t="e" cm="1">
        <f t="array" aca="1" ref="CB29" ca="1">IF(AL29,OFFSET(INDIRECT("'"&amp;CP$25&amp;"'!f1"),J29-1,),"")</f>
        <v>#REF!</v>
      </c>
      <c r="CC29" t="e" cm="1">
        <f t="array" aca="1" ref="CC29" ca="1">IF(AM29,OFFSET(INDIRECT("'"&amp;CQ$25&amp;"'!f1"),K29-1,),"")</f>
        <v>#REF!</v>
      </c>
      <c r="CD29" t="e" cm="1">
        <f t="array" aca="1" ref="CD29" ca="1">IF(AN29,OFFSET(INDIRECT("'"&amp;CR$25&amp;"'!f1"),L29-1,),"")</f>
        <v>#REF!</v>
      </c>
      <c r="CE29" t="e" cm="1">
        <f t="array" aca="1" ref="CE29" ca="1">IF(AO29,OFFSET(INDIRECT("'"&amp;CS$25&amp;"'!f1"),M29-1,),"")</f>
        <v>#REF!</v>
      </c>
      <c r="CK29" t="e" cm="1">
        <f t="array" aca="1" ref="CK29" ca="1">IF(BI29,OFFSET(INDIRECT("'"&amp;CK$25&amp;"'!f1"),E29-1,),"")</f>
        <v>#REF!</v>
      </c>
      <c r="CL29" t="e" cm="1">
        <f t="array" aca="1" ref="CL29" ca="1">IF(BJ29,OFFSET(INDIRECT("'"&amp;CL$25&amp;"'!f1"),F29-1,),"")</f>
        <v>#REF!</v>
      </c>
      <c r="CM29" t="e" cm="1">
        <f t="array" aca="1" ref="CM29" ca="1">IF(BK29,OFFSET(INDIRECT("'"&amp;CM$25&amp;"'!f1"),G29-1,),"")</f>
        <v>#REF!</v>
      </c>
      <c r="CN29" t="e" cm="1">
        <f t="array" aca="1" ref="CN29" ca="1">IF(BL29,OFFSET(INDIRECT("'"&amp;CN$25&amp;"'!f1"),H29-1,),"")</f>
        <v>#REF!</v>
      </c>
      <c r="CO29" t="e" cm="1">
        <f t="array" aca="1" ref="CO29" ca="1">IF(BM29,OFFSET(INDIRECT("'"&amp;CO$25&amp;"'!f1"),I29-1,),"")</f>
        <v>#REF!</v>
      </c>
      <c r="CP29" t="e" cm="1">
        <f t="array" aca="1" ref="CP29" ca="1">IF(BN29,OFFSET(INDIRECT("'"&amp;CP$25&amp;"'!f1"),J29-1,),"")</f>
        <v>#REF!</v>
      </c>
      <c r="CQ29" t="e" cm="1">
        <f t="array" aca="1" ref="CQ29" ca="1">IF(BO29,OFFSET(INDIRECT("'"&amp;CQ$25&amp;"'!f1"),K29-1,),"")</f>
        <v>#REF!</v>
      </c>
      <c r="CR29" t="e" cm="1">
        <f t="array" aca="1" ref="CR29" ca="1">IF(BP29,OFFSET(INDIRECT("'"&amp;CR$25&amp;"'!f1"),L29-1,),"")</f>
        <v>#REF!</v>
      </c>
      <c r="CS29" t="e" cm="1">
        <f t="array" aca="1" ref="CS29" ca="1">IF(BQ29,OFFSET(INDIRECT("'"&amp;CS$25&amp;"'!f1"),M29-1,),"")</f>
        <v>#REF!</v>
      </c>
      <c r="CY29" t="e" cm="1">
        <f t="array" aca="1" ref="CY29" ca="1">IF(ISNA(E29),0,OFFSET(INDIRECT("'"&amp;CY$25&amp;"'!g1"),E29-1,)*BI29)</f>
        <v>#REF!</v>
      </c>
      <c r="CZ29" t="e" cm="1">
        <f t="array" aca="1" ref="CZ29" ca="1">IF(ISNA(F29),0,OFFSET(INDIRECT("'"&amp;CZ$25&amp;"'!g1"),F29-1,)*BJ29)</f>
        <v>#REF!</v>
      </c>
      <c r="DA29" t="e" cm="1">
        <f t="array" aca="1" ref="DA29" ca="1">IF(ISNA(G29),0,OFFSET(INDIRECT("'"&amp;DA$25&amp;"'!g1"),G29-1,)*BK29)</f>
        <v>#REF!</v>
      </c>
      <c r="DB29" t="e" cm="1">
        <f t="array" aca="1" ref="DB29" ca="1">IF(ISNA(H29),0,OFFSET(INDIRECT("'"&amp;DB$25&amp;"'!g1"),H29-1,)*BL29)</f>
        <v>#REF!</v>
      </c>
      <c r="DC29" t="e" cm="1">
        <f t="array" aca="1" ref="DC29" ca="1">IF(ISNA(I29),0,OFFSET(INDIRECT("'"&amp;DC$25&amp;"'!g1"),I29-1,)*BM29)</f>
        <v>#REF!</v>
      </c>
      <c r="DD29" t="e" cm="1">
        <f t="array" aca="1" ref="DD29" ca="1">IF(ISNA(J29),0,OFFSET(INDIRECT("'"&amp;DD$25&amp;"'!g1"),J29-1,)*BN29)</f>
        <v>#REF!</v>
      </c>
      <c r="DE29" t="e" cm="1">
        <f t="array" aca="1" ref="DE29" ca="1">IF(ISNA(K29),0,OFFSET(INDIRECT("'"&amp;DE$25&amp;"'!g1"),K29-1,)*BO29)</f>
        <v>#REF!</v>
      </c>
      <c r="DF29" t="e" cm="1">
        <f t="array" aca="1" ref="DF29" ca="1">IF(ISNA(L29),0,OFFSET(INDIRECT("'"&amp;DF$25&amp;"'!g1"),L29-1,)*BP29)</f>
        <v>#REF!</v>
      </c>
      <c r="DG29" t="e" cm="1">
        <f t="array" aca="1" ref="DG29" ca="1">IF(ISNA(M29),0,OFFSET(INDIRECT("'"&amp;DG$25&amp;"'!g1"),M29-1,)*BQ29)</f>
        <v>#REF!</v>
      </c>
      <c r="DM29" s="10" t="e" cm="1">
        <f t="array" aca="1" ref="DM29" ca="1">IF(ISNA(E29),0,OFFSET(INDIRECT("'"&amp;CY$25&amp;"'!h1"),E29-1,))</f>
        <v>#REF!</v>
      </c>
      <c r="DN29" s="10" t="e" cm="1">
        <f t="array" aca="1" ref="DN29" ca="1">IF(ISNA(F29),0,OFFSET(INDIRECT("'"&amp;CZ$25&amp;"'!h1"),F29-1,))</f>
        <v>#REF!</v>
      </c>
      <c r="DO29" s="10" t="e" cm="1">
        <f t="array" aca="1" ref="DO29" ca="1">IF(ISNA(G29),0,OFFSET(INDIRECT("'"&amp;DA$25&amp;"'!h1"),G29-1,))</f>
        <v>#REF!</v>
      </c>
      <c r="DP29" s="10" t="e" cm="1">
        <f t="array" aca="1" ref="DP29" ca="1">IF(ISNA(H29),0,OFFSET(INDIRECT("'"&amp;DB$25&amp;"'!h1"),H29-1,))</f>
        <v>#REF!</v>
      </c>
      <c r="DQ29" s="10" t="e" cm="1">
        <f t="array" aca="1" ref="DQ29" ca="1">IF(ISNA(I29),0,OFFSET(INDIRECT("'"&amp;DC$25&amp;"'!h1"),I29-1,))</f>
        <v>#REF!</v>
      </c>
      <c r="DR29" s="10" t="e" cm="1">
        <f t="array" aca="1" ref="DR29" ca="1">IF(ISNA(J29),0,OFFSET(INDIRECT("'"&amp;DD$25&amp;"'!h1"),J29-1,))</f>
        <v>#REF!</v>
      </c>
      <c r="DS29" s="10" t="e" cm="1">
        <f t="array" aca="1" ref="DS29" ca="1">IF(ISNA(K29),0,OFFSET(INDIRECT("'"&amp;DE$25&amp;"'!h1"),K29-1,))</f>
        <v>#REF!</v>
      </c>
      <c r="DT29" s="10" t="e" cm="1">
        <f t="array" aca="1" ref="DT29" ca="1">IF(ISNA(L29),0,OFFSET(INDIRECT("'"&amp;DF$25&amp;"'!h1"),L29-1,))</f>
        <v>#REF!</v>
      </c>
      <c r="DU29" s="10" t="e" cm="1">
        <f t="array" aca="1" ref="DU29" ca="1">IF(ISNA(M29),0,OFFSET(INDIRECT("'"&amp;DG$25&amp;"'!h1"),M29-1,))</f>
        <v>#REF!</v>
      </c>
      <c r="DV29" s="10"/>
      <c r="DW29" s="10"/>
      <c r="DX29" s="10"/>
      <c r="DY29" s="10"/>
      <c r="EA29" s="11"/>
      <c r="EB29" s="11"/>
      <c r="EC29" s="11"/>
      <c r="ED29" s="11"/>
      <c r="EE29" s="11"/>
      <c r="EF29" s="11"/>
    </row>
    <row r="30" spans="1:136" x14ac:dyDescent="0.2">
      <c r="A30" t="e">
        <f>#REF!</f>
        <v>#REF!</v>
      </c>
      <c r="B30" t="e">
        <f>#REF!</f>
        <v>#REF!</v>
      </c>
      <c r="C30" t="e">
        <f>#REF!</f>
        <v>#REF!</v>
      </c>
      <c r="E30" t="e">
        <f t="shared" ca="1" si="15"/>
        <v>#REF!</v>
      </c>
      <c r="F30" t="e">
        <f t="shared" ca="1" si="15"/>
        <v>#REF!</v>
      </c>
      <c r="G30" t="e">
        <f t="shared" ca="1" si="15"/>
        <v>#REF!</v>
      </c>
      <c r="H30" t="e">
        <f t="shared" ca="1" si="15"/>
        <v>#REF!</v>
      </c>
      <c r="I30" t="e">
        <f t="shared" ca="1" si="15"/>
        <v>#REF!</v>
      </c>
      <c r="J30" t="e">
        <f t="shared" ca="1" si="15"/>
        <v>#REF!</v>
      </c>
      <c r="K30" t="e">
        <f t="shared" ca="1" si="15"/>
        <v>#REF!</v>
      </c>
      <c r="L30" t="e">
        <f t="shared" ca="1" si="15"/>
        <v>#REF!</v>
      </c>
      <c r="M30" t="e">
        <f t="shared" ca="1" si="15"/>
        <v>#REF!</v>
      </c>
      <c r="S30" t="e" cm="1">
        <f t="array" aca="1" ref="S30" ca="1">IF(ISNA(E30),,OFFSET(INDIRECT("'"&amp;S$25&amp;"'!d1"),E30-1,))</f>
        <v>#REF!</v>
      </c>
      <c r="T30" t="e" cm="1">
        <f t="array" aca="1" ref="T30" ca="1">IF(ISNA(F30),,OFFSET(INDIRECT("'"&amp;T$25&amp;"'!d1"),F30-1,))</f>
        <v>#REF!</v>
      </c>
      <c r="U30" t="e" cm="1">
        <f t="array" aca="1" ref="U30" ca="1">IF(ISNA(G30),,OFFSET(INDIRECT("'"&amp;U$25&amp;"'!d1"),G30-1,))</f>
        <v>#REF!</v>
      </c>
      <c r="V30" t="e" cm="1">
        <f t="array" aca="1" ref="V30" ca="1">IF(ISNA(H30),,OFFSET(INDIRECT("'"&amp;V$25&amp;"'!d1"),H30-1,))</f>
        <v>#REF!</v>
      </c>
      <c r="W30" t="e" cm="1">
        <f t="array" aca="1" ref="W30" ca="1">IF(ISNA(I30),,OFFSET(INDIRECT("'"&amp;W$25&amp;"'!d1"),I30-1,))</f>
        <v>#REF!</v>
      </c>
      <c r="X30" t="e" cm="1">
        <f t="array" aca="1" ref="X30" ca="1">IF(ISNA(J30),,OFFSET(INDIRECT("'"&amp;X$25&amp;"'!d1"),J30-1,))</f>
        <v>#REF!</v>
      </c>
      <c r="Y30" t="e" cm="1">
        <f t="array" aca="1" ref="Y30" ca="1">IF(ISNA(K30),,OFFSET(INDIRECT("'"&amp;Y$25&amp;"'!d1"),K30-1,))</f>
        <v>#REF!</v>
      </c>
      <c r="Z30" t="e" cm="1">
        <f t="array" aca="1" ref="Z30" ca="1">IF(ISNA(L30),,OFFSET(INDIRECT("'"&amp;Z$25&amp;"'!d1"),L30-1,))</f>
        <v>#REF!</v>
      </c>
      <c r="AA30" t="e" cm="1">
        <f t="array" aca="1" ref="AA30" ca="1">IF(ISNA(M30),,OFFSET(INDIRECT("'"&amp;AA$25&amp;"'!d1"),M30-1,))</f>
        <v>#REF!</v>
      </c>
      <c r="AG30" t="e">
        <f ca="1">IF(AND(S30&gt;0,S30&lt;$B30),1,0)</f>
        <v>#REF!</v>
      </c>
      <c r="AH30" t="e">
        <f t="shared" ca="1" si="16"/>
        <v>#REF!</v>
      </c>
      <c r="AI30" t="e">
        <f t="shared" ca="1" si="16"/>
        <v>#REF!</v>
      </c>
      <c r="AJ30" t="e">
        <f t="shared" ca="1" si="16"/>
        <v>#REF!</v>
      </c>
      <c r="AK30" t="e">
        <f t="shared" ca="1" si="16"/>
        <v>#REF!</v>
      </c>
      <c r="AL30" t="e">
        <f t="shared" ca="1" si="16"/>
        <v>#REF!</v>
      </c>
      <c r="AM30" t="e">
        <f t="shared" ca="1" si="16"/>
        <v>#REF!</v>
      </c>
      <c r="AN30" t="e">
        <f t="shared" ca="1" si="16"/>
        <v>#REF!</v>
      </c>
      <c r="AO30" t="e">
        <f t="shared" ca="1" si="16"/>
        <v>#REF!</v>
      </c>
      <c r="AU30" t="e">
        <f ca="1">IF(AG30,S30,$B30)</f>
        <v>#REF!</v>
      </c>
      <c r="AV30" t="e">
        <f t="shared" ca="1" si="17"/>
        <v>#REF!</v>
      </c>
      <c r="AW30" t="e">
        <f t="shared" ca="1" si="17"/>
        <v>#REF!</v>
      </c>
      <c r="AX30" t="e">
        <f t="shared" ca="1" si="17"/>
        <v>#REF!</v>
      </c>
      <c r="AY30" t="e">
        <f t="shared" ca="1" si="17"/>
        <v>#REF!</v>
      </c>
      <c r="AZ30" t="e">
        <f t="shared" ca="1" si="17"/>
        <v>#REF!</v>
      </c>
      <c r="BA30" t="e">
        <f t="shared" ca="1" si="17"/>
        <v>#REF!</v>
      </c>
      <c r="BB30" t="e">
        <f t="shared" ca="1" si="17"/>
        <v>#REF!</v>
      </c>
      <c r="BC30" t="e">
        <f t="shared" ca="1" si="17"/>
        <v>#REF!</v>
      </c>
      <c r="BI30" t="e">
        <f ca="1">IF(AU30=$C30,1,0)</f>
        <v>#REF!</v>
      </c>
      <c r="BJ30" t="e">
        <f t="shared" ca="1" si="18"/>
        <v>#REF!</v>
      </c>
      <c r="BK30" t="e">
        <f t="shared" ca="1" si="18"/>
        <v>#REF!</v>
      </c>
      <c r="BL30" t="e">
        <f t="shared" ca="1" si="18"/>
        <v>#REF!</v>
      </c>
      <c r="BM30" t="e">
        <f t="shared" ca="1" si="18"/>
        <v>#REF!</v>
      </c>
      <c r="BN30" t="e">
        <f t="shared" ca="1" si="18"/>
        <v>#REF!</v>
      </c>
      <c r="BO30" t="e">
        <f t="shared" ca="1" si="18"/>
        <v>#REF!</v>
      </c>
      <c r="BP30" t="e">
        <f t="shared" ca="1" si="18"/>
        <v>#REF!</v>
      </c>
      <c r="BQ30" t="e">
        <f t="shared" ca="1" si="18"/>
        <v>#REF!</v>
      </c>
      <c r="BW30" t="e" cm="1">
        <f t="array" aca="1" ref="BW30" ca="1">IF(AG30,OFFSET(INDIRECT("'"&amp;CK$25&amp;"'!f1"),E30-1,),"")</f>
        <v>#REF!</v>
      </c>
      <c r="BX30" t="e" cm="1">
        <f t="array" aca="1" ref="BX30" ca="1">IF(AH30,OFFSET(INDIRECT("'"&amp;CL$25&amp;"'!f1"),F30-1,),"")</f>
        <v>#REF!</v>
      </c>
      <c r="BY30" t="e" cm="1">
        <f t="array" aca="1" ref="BY30" ca="1">IF(AI30,OFFSET(INDIRECT("'"&amp;CM$25&amp;"'!f1"),G30-1,),"")</f>
        <v>#REF!</v>
      </c>
      <c r="BZ30" t="e" cm="1">
        <f t="array" aca="1" ref="BZ30" ca="1">IF(AJ30,OFFSET(INDIRECT("'"&amp;CN$25&amp;"'!f1"),H30-1,),"")</f>
        <v>#REF!</v>
      </c>
      <c r="CA30" t="e" cm="1">
        <f t="array" aca="1" ref="CA30" ca="1">IF(AK30,OFFSET(INDIRECT("'"&amp;CO$25&amp;"'!f1"),I30-1,),"")</f>
        <v>#REF!</v>
      </c>
      <c r="CB30" t="e" cm="1">
        <f t="array" aca="1" ref="CB30" ca="1">IF(AL30,OFFSET(INDIRECT("'"&amp;CP$25&amp;"'!f1"),J30-1,),"")</f>
        <v>#REF!</v>
      </c>
      <c r="CC30" t="e" cm="1">
        <f t="array" aca="1" ref="CC30" ca="1">IF(AM30,OFFSET(INDIRECT("'"&amp;CQ$25&amp;"'!f1"),K30-1,),"")</f>
        <v>#REF!</v>
      </c>
      <c r="CD30" t="e" cm="1">
        <f t="array" aca="1" ref="CD30" ca="1">IF(AN30,OFFSET(INDIRECT("'"&amp;CR$25&amp;"'!f1"),L30-1,),"")</f>
        <v>#REF!</v>
      </c>
      <c r="CE30" t="e" cm="1">
        <f t="array" aca="1" ref="CE30" ca="1">IF(AO30,OFFSET(INDIRECT("'"&amp;CS$25&amp;"'!f1"),M30-1,),"")</f>
        <v>#REF!</v>
      </c>
      <c r="CK30" t="e" cm="1">
        <f t="array" aca="1" ref="CK30" ca="1">IF(BI30,OFFSET(INDIRECT("'"&amp;CK$25&amp;"'!f1"),E30-1,),"")</f>
        <v>#REF!</v>
      </c>
      <c r="CL30" t="e" cm="1">
        <f t="array" aca="1" ref="CL30" ca="1">IF(BJ30,OFFSET(INDIRECT("'"&amp;CL$25&amp;"'!f1"),F30-1,),"")</f>
        <v>#REF!</v>
      </c>
      <c r="CM30" t="e" cm="1">
        <f t="array" aca="1" ref="CM30" ca="1">IF(BK30,OFFSET(INDIRECT("'"&amp;CM$25&amp;"'!f1"),G30-1,),"")</f>
        <v>#REF!</v>
      </c>
      <c r="CN30" t="e" cm="1">
        <f t="array" aca="1" ref="CN30" ca="1">IF(BL30,OFFSET(INDIRECT("'"&amp;CN$25&amp;"'!f1"),H30-1,),"")</f>
        <v>#REF!</v>
      </c>
      <c r="CO30" t="e" cm="1">
        <f t="array" aca="1" ref="CO30" ca="1">IF(BM30,OFFSET(INDIRECT("'"&amp;CO$25&amp;"'!f1"),I30-1,),"")</f>
        <v>#REF!</v>
      </c>
      <c r="CP30" t="e" cm="1">
        <f t="array" aca="1" ref="CP30" ca="1">IF(BN30,OFFSET(INDIRECT("'"&amp;CP$25&amp;"'!f1"),J30-1,),"")</f>
        <v>#REF!</v>
      </c>
      <c r="CQ30" t="e" cm="1">
        <f t="array" aca="1" ref="CQ30" ca="1">IF(BO30,OFFSET(INDIRECT("'"&amp;CQ$25&amp;"'!f1"),K30-1,),"")</f>
        <v>#REF!</v>
      </c>
      <c r="CR30" t="e" cm="1">
        <f t="array" aca="1" ref="CR30" ca="1">IF(BP30,OFFSET(INDIRECT("'"&amp;CR$25&amp;"'!f1"),L30-1,),"")</f>
        <v>#REF!</v>
      </c>
      <c r="CS30" t="e" cm="1">
        <f t="array" aca="1" ref="CS30" ca="1">IF(BQ30,OFFSET(INDIRECT("'"&amp;CS$25&amp;"'!f1"),M30-1,),"")</f>
        <v>#REF!</v>
      </c>
      <c r="CY30" t="e" cm="1">
        <f t="array" aca="1" ref="CY30" ca="1">IF(ISNA(E30),0,OFFSET(INDIRECT("'"&amp;CY$25&amp;"'!g1"),E30-1,)*BI30)</f>
        <v>#REF!</v>
      </c>
      <c r="CZ30" t="e" cm="1">
        <f t="array" aca="1" ref="CZ30" ca="1">IF(ISNA(F30),0,OFFSET(INDIRECT("'"&amp;CZ$25&amp;"'!g1"),F30-1,)*BJ30)</f>
        <v>#REF!</v>
      </c>
      <c r="DA30" t="e" cm="1">
        <f t="array" aca="1" ref="DA30" ca="1">IF(ISNA(G30),0,OFFSET(INDIRECT("'"&amp;DA$25&amp;"'!g1"),G30-1,)*BK30)</f>
        <v>#REF!</v>
      </c>
      <c r="DB30" t="e" cm="1">
        <f t="array" aca="1" ref="DB30" ca="1">IF(ISNA(H30),0,OFFSET(INDIRECT("'"&amp;DB$25&amp;"'!g1"),H30-1,)*BL30)</f>
        <v>#REF!</v>
      </c>
      <c r="DC30" t="e" cm="1">
        <f t="array" aca="1" ref="DC30" ca="1">IF(ISNA(I30),0,OFFSET(INDIRECT("'"&amp;DC$25&amp;"'!g1"),I30-1,)*BM30)</f>
        <v>#REF!</v>
      </c>
      <c r="DD30" t="e" cm="1">
        <f t="array" aca="1" ref="DD30" ca="1">IF(ISNA(J30),0,OFFSET(INDIRECT("'"&amp;DD$25&amp;"'!g1"),J30-1,)*BN30)</f>
        <v>#REF!</v>
      </c>
      <c r="DE30" t="e" cm="1">
        <f t="array" aca="1" ref="DE30" ca="1">IF(ISNA(K30),0,OFFSET(INDIRECT("'"&amp;DE$25&amp;"'!g1"),K30-1,)*BO30)</f>
        <v>#REF!</v>
      </c>
      <c r="DF30" t="e" cm="1">
        <f t="array" aca="1" ref="DF30" ca="1">IF(ISNA(L30),0,OFFSET(INDIRECT("'"&amp;DF$25&amp;"'!g1"),L30-1,)*BP30)</f>
        <v>#REF!</v>
      </c>
      <c r="DG30" t="e" cm="1">
        <f t="array" aca="1" ref="DG30" ca="1">IF(ISNA(M30),0,OFFSET(INDIRECT("'"&amp;DG$25&amp;"'!g1"),M30-1,)*BQ30)</f>
        <v>#REF!</v>
      </c>
      <c r="DM30" s="10" t="e" cm="1">
        <f t="array" aca="1" ref="DM30" ca="1">IF(ISNA(E30),0,OFFSET(INDIRECT("'"&amp;CY$25&amp;"'!h1"),E30-1,))</f>
        <v>#REF!</v>
      </c>
      <c r="DN30" s="10" t="e" cm="1">
        <f t="array" aca="1" ref="DN30" ca="1">IF(ISNA(F30),0,OFFSET(INDIRECT("'"&amp;CZ$25&amp;"'!h1"),F30-1,))</f>
        <v>#REF!</v>
      </c>
      <c r="DO30" s="10" t="e" cm="1">
        <f t="array" aca="1" ref="DO30" ca="1">IF(ISNA(G30),0,OFFSET(INDIRECT("'"&amp;DA$25&amp;"'!h1"),G30-1,))</f>
        <v>#REF!</v>
      </c>
      <c r="DP30" s="10" t="e" cm="1">
        <f t="array" aca="1" ref="DP30" ca="1">IF(ISNA(H30),0,OFFSET(INDIRECT("'"&amp;DB$25&amp;"'!h1"),H30-1,))</f>
        <v>#REF!</v>
      </c>
      <c r="DQ30" s="10" t="e" cm="1">
        <f t="array" aca="1" ref="DQ30" ca="1">IF(ISNA(I30),0,OFFSET(INDIRECT("'"&amp;DC$25&amp;"'!h1"),I30-1,))</f>
        <v>#REF!</v>
      </c>
      <c r="DR30" s="10" t="e" cm="1">
        <f t="array" aca="1" ref="DR30" ca="1">IF(ISNA(J30),0,OFFSET(INDIRECT("'"&amp;DD$25&amp;"'!h1"),J30-1,))</f>
        <v>#REF!</v>
      </c>
      <c r="DS30" s="10" t="e" cm="1">
        <f t="array" aca="1" ref="DS30" ca="1">IF(ISNA(K30),0,OFFSET(INDIRECT("'"&amp;DE$25&amp;"'!h1"),K30-1,))</f>
        <v>#REF!</v>
      </c>
      <c r="DT30" s="10" t="e" cm="1">
        <f t="array" aca="1" ref="DT30" ca="1">IF(ISNA(L30),0,OFFSET(INDIRECT("'"&amp;DF$25&amp;"'!h1"),L30-1,))</f>
        <v>#REF!</v>
      </c>
      <c r="DU30" s="10" t="e" cm="1">
        <f t="array" aca="1" ref="DU30" ca="1">IF(ISNA(M30),0,OFFSET(INDIRECT("'"&amp;DG$25&amp;"'!h1"),M30-1,))</f>
        <v>#REF!</v>
      </c>
      <c r="DV30" s="10"/>
      <c r="DW30" s="10"/>
      <c r="DX30" s="10"/>
      <c r="DY30" s="10"/>
      <c r="EA30" s="11"/>
      <c r="EB30" s="11"/>
      <c r="EC30" s="11"/>
      <c r="ED30" s="11"/>
      <c r="EE30" s="11"/>
      <c r="EF30" s="11"/>
    </row>
    <row r="31" spans="1:136" x14ac:dyDescent="0.2">
      <c r="A31" t="e">
        <f>#REF!</f>
        <v>#REF!</v>
      </c>
      <c r="B31" t="e">
        <f>#REF!</f>
        <v>#REF!</v>
      </c>
      <c r="C31" t="e">
        <f>#REF!</f>
        <v>#REF!</v>
      </c>
      <c r="E31" t="e">
        <f t="shared" ca="1" si="15"/>
        <v>#REF!</v>
      </c>
      <c r="F31" t="e">
        <f t="shared" ca="1" si="15"/>
        <v>#REF!</v>
      </c>
      <c r="G31" t="e">
        <f t="shared" ca="1" si="15"/>
        <v>#REF!</v>
      </c>
      <c r="H31" t="e">
        <f t="shared" ca="1" si="15"/>
        <v>#REF!</v>
      </c>
      <c r="I31" t="e">
        <f t="shared" ca="1" si="15"/>
        <v>#REF!</v>
      </c>
      <c r="J31" t="e">
        <f t="shared" ca="1" si="15"/>
        <v>#REF!</v>
      </c>
      <c r="K31" t="e">
        <f t="shared" ca="1" si="15"/>
        <v>#REF!</v>
      </c>
      <c r="L31" t="e">
        <f t="shared" ca="1" si="15"/>
        <v>#REF!</v>
      </c>
      <c r="M31" t="e">
        <f t="shared" ca="1" si="15"/>
        <v>#REF!</v>
      </c>
      <c r="S31" t="e" cm="1">
        <f t="array" aca="1" ref="S31" ca="1">IF(ISNA(E31),,OFFSET(INDIRECT("'"&amp;S$25&amp;"'!d1"),E31-1,))</f>
        <v>#REF!</v>
      </c>
      <c r="T31" t="e" cm="1">
        <f t="array" aca="1" ref="T31" ca="1">IF(ISNA(F31),,OFFSET(INDIRECT("'"&amp;T$25&amp;"'!d1"),F31-1,))</f>
        <v>#REF!</v>
      </c>
      <c r="U31" t="e" cm="1">
        <f t="array" aca="1" ref="U31" ca="1">IF(ISNA(G31),,OFFSET(INDIRECT("'"&amp;U$25&amp;"'!d1"),G31-1,))</f>
        <v>#REF!</v>
      </c>
      <c r="V31" t="e" cm="1">
        <f t="array" aca="1" ref="V31" ca="1">IF(ISNA(H31),,OFFSET(INDIRECT("'"&amp;V$25&amp;"'!d1"),H31-1,))</f>
        <v>#REF!</v>
      </c>
      <c r="W31" t="e" cm="1">
        <f t="array" aca="1" ref="W31" ca="1">IF(ISNA(I31),,OFFSET(INDIRECT("'"&amp;W$25&amp;"'!d1"),I31-1,))</f>
        <v>#REF!</v>
      </c>
      <c r="X31" t="e" cm="1">
        <f t="array" aca="1" ref="X31" ca="1">IF(ISNA(J31),,OFFSET(INDIRECT("'"&amp;X$25&amp;"'!d1"),J31-1,))</f>
        <v>#REF!</v>
      </c>
      <c r="Y31" t="e" cm="1">
        <f t="array" aca="1" ref="Y31" ca="1">IF(ISNA(K31),,OFFSET(INDIRECT("'"&amp;Y$25&amp;"'!d1"),K31-1,))</f>
        <v>#REF!</v>
      </c>
      <c r="Z31" t="e" cm="1">
        <f t="array" aca="1" ref="Z31" ca="1">IF(ISNA(L31),,OFFSET(INDIRECT("'"&amp;Z$25&amp;"'!d1"),L31-1,))</f>
        <v>#REF!</v>
      </c>
      <c r="AA31" t="e" cm="1">
        <f t="array" aca="1" ref="AA31" ca="1">IF(ISNA(M31),,OFFSET(INDIRECT("'"&amp;AA$25&amp;"'!d1"),M31-1,))</f>
        <v>#REF!</v>
      </c>
      <c r="AG31" t="e">
        <f t="shared" ref="AG31:AO45" ca="1" si="19">IF(AND(S31&gt;0,S31&lt;$B31),1,0)</f>
        <v>#REF!</v>
      </c>
      <c r="AH31" t="e">
        <f t="shared" ca="1" si="16"/>
        <v>#REF!</v>
      </c>
      <c r="AI31" t="e">
        <f t="shared" ca="1" si="16"/>
        <v>#REF!</v>
      </c>
      <c r="AJ31" t="e">
        <f t="shared" ca="1" si="16"/>
        <v>#REF!</v>
      </c>
      <c r="AK31" t="e">
        <f t="shared" ca="1" si="16"/>
        <v>#REF!</v>
      </c>
      <c r="AL31" t="e">
        <f t="shared" ca="1" si="16"/>
        <v>#REF!</v>
      </c>
      <c r="AM31" t="e">
        <f t="shared" ca="1" si="16"/>
        <v>#REF!</v>
      </c>
      <c r="AN31" t="e">
        <f t="shared" ca="1" si="16"/>
        <v>#REF!</v>
      </c>
      <c r="AO31" t="e">
        <f t="shared" ca="1" si="16"/>
        <v>#REF!</v>
      </c>
      <c r="AU31" t="e">
        <f t="shared" ref="AU31:BC45" ca="1" si="20">IF(AG31,S31,$B31)</f>
        <v>#REF!</v>
      </c>
      <c r="AV31" t="e">
        <f t="shared" ca="1" si="17"/>
        <v>#REF!</v>
      </c>
      <c r="AW31" t="e">
        <f t="shared" ca="1" si="17"/>
        <v>#REF!</v>
      </c>
      <c r="AX31" t="e">
        <f t="shared" ca="1" si="17"/>
        <v>#REF!</v>
      </c>
      <c r="AY31" t="e">
        <f t="shared" ca="1" si="17"/>
        <v>#REF!</v>
      </c>
      <c r="AZ31" t="e">
        <f t="shared" ca="1" si="17"/>
        <v>#REF!</v>
      </c>
      <c r="BA31" t="e">
        <f t="shared" ca="1" si="17"/>
        <v>#REF!</v>
      </c>
      <c r="BB31" t="e">
        <f t="shared" ca="1" si="17"/>
        <v>#REF!</v>
      </c>
      <c r="BC31" t="e">
        <f t="shared" ca="1" si="17"/>
        <v>#REF!</v>
      </c>
      <c r="BI31" t="e">
        <f t="shared" ref="BI31:BQ45" ca="1" si="21">IF(AU31=$C31,1,0)</f>
        <v>#REF!</v>
      </c>
      <c r="BJ31" t="e">
        <f t="shared" ca="1" si="18"/>
        <v>#REF!</v>
      </c>
      <c r="BK31" t="e">
        <f t="shared" ca="1" si="18"/>
        <v>#REF!</v>
      </c>
      <c r="BL31" t="e">
        <f t="shared" ca="1" si="18"/>
        <v>#REF!</v>
      </c>
      <c r="BM31" t="e">
        <f t="shared" ca="1" si="18"/>
        <v>#REF!</v>
      </c>
      <c r="BN31" t="e">
        <f t="shared" ca="1" si="18"/>
        <v>#REF!</v>
      </c>
      <c r="BO31" t="e">
        <f t="shared" ca="1" si="18"/>
        <v>#REF!</v>
      </c>
      <c r="BP31" t="e">
        <f t="shared" ca="1" si="18"/>
        <v>#REF!</v>
      </c>
      <c r="BQ31" t="e">
        <f t="shared" ca="1" si="18"/>
        <v>#REF!</v>
      </c>
      <c r="BW31" t="e" cm="1">
        <f t="array" aca="1" ref="BW31" ca="1">IF(AG31,OFFSET(INDIRECT("'"&amp;CK$25&amp;"'!f1"),E31-1,),"")</f>
        <v>#REF!</v>
      </c>
      <c r="BX31" t="e" cm="1">
        <f t="array" aca="1" ref="BX31" ca="1">IF(AH31,OFFSET(INDIRECT("'"&amp;CL$25&amp;"'!f1"),F31-1,),"")</f>
        <v>#REF!</v>
      </c>
      <c r="BY31" t="e" cm="1">
        <f t="array" aca="1" ref="BY31" ca="1">IF(AI31,OFFSET(INDIRECT("'"&amp;CM$25&amp;"'!f1"),G31-1,),"")</f>
        <v>#REF!</v>
      </c>
      <c r="BZ31" t="e" cm="1">
        <f t="array" aca="1" ref="BZ31" ca="1">IF(AJ31,OFFSET(INDIRECT("'"&amp;CN$25&amp;"'!f1"),H31-1,),"")</f>
        <v>#REF!</v>
      </c>
      <c r="CA31" t="e" cm="1">
        <f t="array" aca="1" ref="CA31" ca="1">IF(AK31,OFFSET(INDIRECT("'"&amp;CO$25&amp;"'!f1"),I31-1,),"")</f>
        <v>#REF!</v>
      </c>
      <c r="CB31" t="e" cm="1">
        <f t="array" aca="1" ref="CB31" ca="1">IF(AL31,OFFSET(INDIRECT("'"&amp;CP$25&amp;"'!f1"),J31-1,),"")</f>
        <v>#REF!</v>
      </c>
      <c r="CC31" t="e" cm="1">
        <f t="array" aca="1" ref="CC31" ca="1">IF(AM31,OFFSET(INDIRECT("'"&amp;CQ$25&amp;"'!f1"),K31-1,),"")</f>
        <v>#REF!</v>
      </c>
      <c r="CD31" t="e" cm="1">
        <f t="array" aca="1" ref="CD31" ca="1">IF(AN31,OFFSET(INDIRECT("'"&amp;CR$25&amp;"'!f1"),L31-1,),"")</f>
        <v>#REF!</v>
      </c>
      <c r="CE31" t="e" cm="1">
        <f t="array" aca="1" ref="CE31" ca="1">IF(AO31,OFFSET(INDIRECT("'"&amp;CS$25&amp;"'!f1"),M31-1,),"")</f>
        <v>#REF!</v>
      </c>
      <c r="CK31" t="e" cm="1">
        <f t="array" aca="1" ref="CK31" ca="1">IF(BI31,OFFSET(INDIRECT("'"&amp;CK$25&amp;"'!f1"),E31-1,),"")</f>
        <v>#REF!</v>
      </c>
      <c r="CL31" t="e" cm="1">
        <f t="array" aca="1" ref="CL31" ca="1">IF(BJ31,OFFSET(INDIRECT("'"&amp;CL$25&amp;"'!f1"),F31-1,),"")</f>
        <v>#REF!</v>
      </c>
      <c r="CM31" t="e" cm="1">
        <f t="array" aca="1" ref="CM31" ca="1">IF(BK31,OFFSET(INDIRECT("'"&amp;CM$25&amp;"'!f1"),G31-1,),"")</f>
        <v>#REF!</v>
      </c>
      <c r="CN31" t="e" cm="1">
        <f t="array" aca="1" ref="CN31" ca="1">IF(BL31,OFFSET(INDIRECT("'"&amp;CN$25&amp;"'!f1"),H31-1,),"")</f>
        <v>#REF!</v>
      </c>
      <c r="CO31" t="e" cm="1">
        <f t="array" aca="1" ref="CO31" ca="1">IF(BM31,OFFSET(INDIRECT("'"&amp;CO$25&amp;"'!f1"),I31-1,),"")</f>
        <v>#REF!</v>
      </c>
      <c r="CP31" t="e" cm="1">
        <f t="array" aca="1" ref="CP31" ca="1">IF(BN31,OFFSET(INDIRECT("'"&amp;CP$25&amp;"'!f1"),J31-1,),"")</f>
        <v>#REF!</v>
      </c>
      <c r="CQ31" t="e" cm="1">
        <f t="array" aca="1" ref="CQ31" ca="1">IF(BO31,OFFSET(INDIRECT("'"&amp;CQ$25&amp;"'!f1"),K31-1,),"")</f>
        <v>#REF!</v>
      </c>
      <c r="CR31" t="e" cm="1">
        <f t="array" aca="1" ref="CR31" ca="1">IF(BP31,OFFSET(INDIRECT("'"&amp;CR$25&amp;"'!f1"),L31-1,),"")</f>
        <v>#REF!</v>
      </c>
      <c r="CS31" t="e" cm="1">
        <f t="array" aca="1" ref="CS31" ca="1">IF(BQ31,OFFSET(INDIRECT("'"&amp;CS$25&amp;"'!f1"),M31-1,),"")</f>
        <v>#REF!</v>
      </c>
      <c r="CY31" t="e" cm="1">
        <f t="array" aca="1" ref="CY31" ca="1">IF(ISNA(E31),0,OFFSET(INDIRECT("'"&amp;CY$25&amp;"'!g1"),E31-1,)*BI31)</f>
        <v>#REF!</v>
      </c>
      <c r="CZ31" t="e" cm="1">
        <f t="array" aca="1" ref="CZ31" ca="1">IF(ISNA(F31),0,OFFSET(INDIRECT("'"&amp;CZ$25&amp;"'!g1"),F31-1,)*BJ31)</f>
        <v>#REF!</v>
      </c>
      <c r="DA31" t="e" cm="1">
        <f t="array" aca="1" ref="DA31" ca="1">IF(ISNA(G31),0,OFFSET(INDIRECT("'"&amp;DA$25&amp;"'!g1"),G31-1,)*BK31)</f>
        <v>#REF!</v>
      </c>
      <c r="DB31" t="e" cm="1">
        <f t="array" aca="1" ref="DB31" ca="1">IF(ISNA(H31),0,OFFSET(INDIRECT("'"&amp;DB$25&amp;"'!g1"),H31-1,)*BL31)</f>
        <v>#REF!</v>
      </c>
      <c r="DC31" t="e" cm="1">
        <f t="array" aca="1" ref="DC31" ca="1">IF(ISNA(I31),0,OFFSET(INDIRECT("'"&amp;DC$25&amp;"'!g1"),I31-1,)*BM31)</f>
        <v>#REF!</v>
      </c>
      <c r="DD31" t="e" cm="1">
        <f t="array" aca="1" ref="DD31" ca="1">IF(ISNA(J31),0,OFFSET(INDIRECT("'"&amp;DD$25&amp;"'!g1"),J31-1,)*BN31)</f>
        <v>#REF!</v>
      </c>
      <c r="DE31" t="e" cm="1">
        <f t="array" aca="1" ref="DE31" ca="1">IF(ISNA(K31),0,OFFSET(INDIRECT("'"&amp;DE$25&amp;"'!g1"),K31-1,)*BO31)</f>
        <v>#REF!</v>
      </c>
      <c r="DF31" t="e" cm="1">
        <f t="array" aca="1" ref="DF31" ca="1">IF(ISNA(L31),0,OFFSET(INDIRECT("'"&amp;DF$25&amp;"'!g1"),L31-1,)*BP31)</f>
        <v>#REF!</v>
      </c>
      <c r="DG31" t="e" cm="1">
        <f t="array" aca="1" ref="DG31" ca="1">IF(ISNA(M31),0,OFFSET(INDIRECT("'"&amp;DG$25&amp;"'!g1"),M31-1,)*BQ31)</f>
        <v>#REF!</v>
      </c>
      <c r="DM31" s="10" t="e" cm="1">
        <f t="array" aca="1" ref="DM31" ca="1">IF(ISNA(E31),0,OFFSET(INDIRECT("'"&amp;CY$25&amp;"'!h1"),E31-1,))</f>
        <v>#REF!</v>
      </c>
      <c r="DN31" s="10" t="e" cm="1">
        <f t="array" aca="1" ref="DN31" ca="1">IF(ISNA(F31),0,OFFSET(INDIRECT("'"&amp;CZ$25&amp;"'!h1"),F31-1,))</f>
        <v>#REF!</v>
      </c>
      <c r="DO31" s="10" t="e" cm="1">
        <f t="array" aca="1" ref="DO31" ca="1">IF(ISNA(G31),0,OFFSET(INDIRECT("'"&amp;DA$25&amp;"'!h1"),G31-1,))</f>
        <v>#REF!</v>
      </c>
      <c r="DP31" s="10" t="e" cm="1">
        <f t="array" aca="1" ref="DP31" ca="1">IF(ISNA(H31),0,OFFSET(INDIRECT("'"&amp;DB$25&amp;"'!h1"),H31-1,))</f>
        <v>#REF!</v>
      </c>
      <c r="DQ31" s="10" t="e" cm="1">
        <f t="array" aca="1" ref="DQ31" ca="1">IF(ISNA(I31),0,OFFSET(INDIRECT("'"&amp;DC$25&amp;"'!h1"),I31-1,))</f>
        <v>#REF!</v>
      </c>
      <c r="DR31" s="10" t="e" cm="1">
        <f t="array" aca="1" ref="DR31" ca="1">IF(ISNA(J31),0,OFFSET(INDIRECT("'"&amp;DD$25&amp;"'!h1"),J31-1,))</f>
        <v>#REF!</v>
      </c>
      <c r="DS31" s="10" t="e" cm="1">
        <f t="array" aca="1" ref="DS31" ca="1">IF(ISNA(K31),0,OFFSET(INDIRECT("'"&amp;DE$25&amp;"'!h1"),K31-1,))</f>
        <v>#REF!</v>
      </c>
      <c r="DT31" s="10" t="e" cm="1">
        <f t="array" aca="1" ref="DT31" ca="1">IF(ISNA(L31),0,OFFSET(INDIRECT("'"&amp;DF$25&amp;"'!h1"),L31-1,))</f>
        <v>#REF!</v>
      </c>
      <c r="DU31" s="10" t="e" cm="1">
        <f t="array" aca="1" ref="DU31" ca="1">IF(ISNA(M31),0,OFFSET(INDIRECT("'"&amp;DG$25&amp;"'!h1"),M31-1,))</f>
        <v>#REF!</v>
      </c>
      <c r="DV31" s="10"/>
      <c r="DW31" s="10"/>
      <c r="DX31" s="10"/>
      <c r="DY31" s="10"/>
      <c r="EA31" s="11"/>
      <c r="EB31" s="11"/>
      <c r="EC31" s="11"/>
      <c r="ED31" s="11"/>
      <c r="EE31" s="11"/>
      <c r="EF31" s="11"/>
    </row>
    <row r="32" spans="1:136" x14ac:dyDescent="0.2">
      <c r="A32" t="e">
        <f>#REF!</f>
        <v>#REF!</v>
      </c>
      <c r="B32" t="e">
        <f>#REF!</f>
        <v>#REF!</v>
      </c>
      <c r="C32" t="e">
        <f>#REF!</f>
        <v>#REF!</v>
      </c>
      <c r="E32" t="e">
        <f t="shared" ca="1" si="15"/>
        <v>#REF!</v>
      </c>
      <c r="F32" t="e">
        <f t="shared" ca="1" si="15"/>
        <v>#REF!</v>
      </c>
      <c r="G32" t="e">
        <f t="shared" ca="1" si="15"/>
        <v>#REF!</v>
      </c>
      <c r="H32" t="e">
        <f t="shared" ca="1" si="15"/>
        <v>#REF!</v>
      </c>
      <c r="I32" t="e">
        <f t="shared" ca="1" si="15"/>
        <v>#REF!</v>
      </c>
      <c r="J32" t="e">
        <f t="shared" ca="1" si="15"/>
        <v>#REF!</v>
      </c>
      <c r="K32" t="e">
        <f t="shared" ca="1" si="15"/>
        <v>#REF!</v>
      </c>
      <c r="L32" t="e">
        <f t="shared" ca="1" si="15"/>
        <v>#REF!</v>
      </c>
      <c r="M32" t="e">
        <f t="shared" ca="1" si="15"/>
        <v>#REF!</v>
      </c>
      <c r="S32" t="e" cm="1">
        <f t="array" aca="1" ref="S32" ca="1">IF(ISNA(E32),,OFFSET(INDIRECT("'"&amp;S$25&amp;"'!d1"),E32-1,))</f>
        <v>#REF!</v>
      </c>
      <c r="T32" t="e" cm="1">
        <f t="array" aca="1" ref="T32" ca="1">IF(ISNA(F32),,OFFSET(INDIRECT("'"&amp;T$25&amp;"'!d1"),F32-1,))</f>
        <v>#REF!</v>
      </c>
      <c r="U32" t="e" cm="1">
        <f t="array" aca="1" ref="U32" ca="1">IF(ISNA(G32),,OFFSET(INDIRECT("'"&amp;U$25&amp;"'!d1"),G32-1,))</f>
        <v>#REF!</v>
      </c>
      <c r="V32" t="e" cm="1">
        <f t="array" aca="1" ref="V32" ca="1">IF(ISNA(H32),,OFFSET(INDIRECT("'"&amp;V$25&amp;"'!d1"),H32-1,))</f>
        <v>#REF!</v>
      </c>
      <c r="W32" t="e" cm="1">
        <f t="array" aca="1" ref="W32" ca="1">IF(ISNA(I32),,OFFSET(INDIRECT("'"&amp;W$25&amp;"'!d1"),I32-1,))</f>
        <v>#REF!</v>
      </c>
      <c r="X32" t="e" cm="1">
        <f t="array" aca="1" ref="X32" ca="1">IF(ISNA(J32),,OFFSET(INDIRECT("'"&amp;X$25&amp;"'!d1"),J32-1,))</f>
        <v>#REF!</v>
      </c>
      <c r="Y32" t="e" cm="1">
        <f t="array" aca="1" ref="Y32" ca="1">IF(ISNA(K32),,OFFSET(INDIRECT("'"&amp;Y$25&amp;"'!d1"),K32-1,))</f>
        <v>#REF!</v>
      </c>
      <c r="Z32" t="e" cm="1">
        <f t="array" aca="1" ref="Z32" ca="1">IF(ISNA(L32),,OFFSET(INDIRECT("'"&amp;Z$25&amp;"'!d1"),L32-1,))</f>
        <v>#REF!</v>
      </c>
      <c r="AA32" t="e" cm="1">
        <f t="array" aca="1" ref="AA32" ca="1">IF(ISNA(M32),,OFFSET(INDIRECT("'"&amp;AA$25&amp;"'!d1"),M32-1,))</f>
        <v>#REF!</v>
      </c>
      <c r="AG32" t="e">
        <f t="shared" ca="1" si="19"/>
        <v>#REF!</v>
      </c>
      <c r="AH32" t="e">
        <f t="shared" ca="1" si="16"/>
        <v>#REF!</v>
      </c>
      <c r="AI32" t="e">
        <f t="shared" ca="1" si="16"/>
        <v>#REF!</v>
      </c>
      <c r="AJ32" t="e">
        <f t="shared" ca="1" si="16"/>
        <v>#REF!</v>
      </c>
      <c r="AK32" t="e">
        <f t="shared" ca="1" si="16"/>
        <v>#REF!</v>
      </c>
      <c r="AL32" t="e">
        <f t="shared" ca="1" si="16"/>
        <v>#REF!</v>
      </c>
      <c r="AM32" t="e">
        <f t="shared" ca="1" si="16"/>
        <v>#REF!</v>
      </c>
      <c r="AN32" t="e">
        <f t="shared" ca="1" si="16"/>
        <v>#REF!</v>
      </c>
      <c r="AO32" t="e">
        <f t="shared" ca="1" si="16"/>
        <v>#REF!</v>
      </c>
      <c r="AU32" t="e">
        <f t="shared" ca="1" si="20"/>
        <v>#REF!</v>
      </c>
      <c r="AV32" t="e">
        <f t="shared" ca="1" si="17"/>
        <v>#REF!</v>
      </c>
      <c r="AW32" t="e">
        <f t="shared" ca="1" si="17"/>
        <v>#REF!</v>
      </c>
      <c r="AX32" t="e">
        <f t="shared" ca="1" si="17"/>
        <v>#REF!</v>
      </c>
      <c r="AY32" t="e">
        <f t="shared" ca="1" si="17"/>
        <v>#REF!</v>
      </c>
      <c r="AZ32" t="e">
        <f t="shared" ca="1" si="17"/>
        <v>#REF!</v>
      </c>
      <c r="BA32" t="e">
        <f t="shared" ca="1" si="17"/>
        <v>#REF!</v>
      </c>
      <c r="BB32" t="e">
        <f t="shared" ca="1" si="17"/>
        <v>#REF!</v>
      </c>
      <c r="BC32" t="e">
        <f t="shared" ca="1" si="17"/>
        <v>#REF!</v>
      </c>
      <c r="BI32" t="e">
        <f t="shared" ca="1" si="21"/>
        <v>#REF!</v>
      </c>
      <c r="BJ32" t="e">
        <f t="shared" ca="1" si="18"/>
        <v>#REF!</v>
      </c>
      <c r="BK32" t="e">
        <f t="shared" ca="1" si="18"/>
        <v>#REF!</v>
      </c>
      <c r="BL32" t="e">
        <f t="shared" ca="1" si="18"/>
        <v>#REF!</v>
      </c>
      <c r="BM32" t="e">
        <f t="shared" ca="1" si="18"/>
        <v>#REF!</v>
      </c>
      <c r="BN32" t="e">
        <f t="shared" ca="1" si="18"/>
        <v>#REF!</v>
      </c>
      <c r="BO32" t="e">
        <f t="shared" ca="1" si="18"/>
        <v>#REF!</v>
      </c>
      <c r="BP32" t="e">
        <f t="shared" ca="1" si="18"/>
        <v>#REF!</v>
      </c>
      <c r="BQ32" t="e">
        <f t="shared" ca="1" si="18"/>
        <v>#REF!</v>
      </c>
      <c r="BW32" t="e" cm="1">
        <f t="array" aca="1" ref="BW32" ca="1">IF(AG32,OFFSET(INDIRECT("'"&amp;CK$25&amp;"'!f1"),E32-1,),"")</f>
        <v>#REF!</v>
      </c>
      <c r="BX32" t="e" cm="1">
        <f t="array" aca="1" ref="BX32" ca="1">IF(AH32,OFFSET(INDIRECT("'"&amp;CL$25&amp;"'!f1"),F32-1,),"")</f>
        <v>#REF!</v>
      </c>
      <c r="BY32" t="e" cm="1">
        <f t="array" aca="1" ref="BY32" ca="1">IF(AI32,OFFSET(INDIRECT("'"&amp;CM$25&amp;"'!f1"),G32-1,),"")</f>
        <v>#REF!</v>
      </c>
      <c r="BZ32" t="e" cm="1">
        <f t="array" aca="1" ref="BZ32" ca="1">IF(AJ32,OFFSET(INDIRECT("'"&amp;CN$25&amp;"'!f1"),H32-1,),"")</f>
        <v>#REF!</v>
      </c>
      <c r="CA32" t="e" cm="1">
        <f t="array" aca="1" ref="CA32" ca="1">IF(AK32,OFFSET(INDIRECT("'"&amp;CO$25&amp;"'!f1"),I32-1,),"")</f>
        <v>#REF!</v>
      </c>
      <c r="CB32" t="e" cm="1">
        <f t="array" aca="1" ref="CB32" ca="1">IF(AL32,OFFSET(INDIRECT("'"&amp;CP$25&amp;"'!f1"),J32-1,),"")</f>
        <v>#REF!</v>
      </c>
      <c r="CC32" t="e" cm="1">
        <f t="array" aca="1" ref="CC32" ca="1">IF(AM32,OFFSET(INDIRECT("'"&amp;CQ$25&amp;"'!f1"),K32-1,),"")</f>
        <v>#REF!</v>
      </c>
      <c r="CD32" t="e" cm="1">
        <f t="array" aca="1" ref="CD32" ca="1">IF(AN32,OFFSET(INDIRECT("'"&amp;CR$25&amp;"'!f1"),L32-1,),"")</f>
        <v>#REF!</v>
      </c>
      <c r="CE32" t="e" cm="1">
        <f t="array" aca="1" ref="CE32" ca="1">IF(AO32,OFFSET(INDIRECT("'"&amp;CS$25&amp;"'!f1"),M32-1,),"")</f>
        <v>#REF!</v>
      </c>
      <c r="CK32" t="e" cm="1">
        <f t="array" aca="1" ref="CK32" ca="1">IF(BI32,OFFSET(INDIRECT("'"&amp;CK$25&amp;"'!f1"),E32-1,),"")</f>
        <v>#REF!</v>
      </c>
      <c r="CL32" t="e" cm="1">
        <f t="array" aca="1" ref="CL32" ca="1">IF(BJ32,OFFSET(INDIRECT("'"&amp;CL$25&amp;"'!f1"),F32-1,),"")</f>
        <v>#REF!</v>
      </c>
      <c r="CM32" t="e" cm="1">
        <f t="array" aca="1" ref="CM32" ca="1">IF(BK32,OFFSET(INDIRECT("'"&amp;CM$25&amp;"'!f1"),G32-1,),"")</f>
        <v>#REF!</v>
      </c>
      <c r="CN32" t="e" cm="1">
        <f t="array" aca="1" ref="CN32" ca="1">IF(BL32,OFFSET(INDIRECT("'"&amp;CN$25&amp;"'!f1"),H32-1,),"")</f>
        <v>#REF!</v>
      </c>
      <c r="CO32" t="e" cm="1">
        <f t="array" aca="1" ref="CO32" ca="1">IF(BM32,OFFSET(INDIRECT("'"&amp;CO$25&amp;"'!f1"),I32-1,),"")</f>
        <v>#REF!</v>
      </c>
      <c r="CP32" t="e" cm="1">
        <f t="array" aca="1" ref="CP32" ca="1">IF(BN32,OFFSET(INDIRECT("'"&amp;CP$25&amp;"'!f1"),J32-1,),"")</f>
        <v>#REF!</v>
      </c>
      <c r="CQ32" t="e" cm="1">
        <f t="array" aca="1" ref="CQ32" ca="1">IF(BO32,OFFSET(INDIRECT("'"&amp;CQ$25&amp;"'!f1"),K32-1,),"")</f>
        <v>#REF!</v>
      </c>
      <c r="CR32" t="e" cm="1">
        <f t="array" aca="1" ref="CR32" ca="1">IF(BP32,OFFSET(INDIRECT("'"&amp;CR$25&amp;"'!f1"),L32-1,),"")</f>
        <v>#REF!</v>
      </c>
      <c r="CS32" t="e" cm="1">
        <f t="array" aca="1" ref="CS32" ca="1">IF(BQ32,OFFSET(INDIRECT("'"&amp;CS$25&amp;"'!f1"),M32-1,),"")</f>
        <v>#REF!</v>
      </c>
      <c r="CY32" t="e" cm="1">
        <f t="array" aca="1" ref="CY32" ca="1">IF(ISNA(E32),0,OFFSET(INDIRECT("'"&amp;CY$25&amp;"'!g1"),E32-1,)*BI32)</f>
        <v>#REF!</v>
      </c>
      <c r="CZ32" t="e" cm="1">
        <f t="array" aca="1" ref="CZ32" ca="1">IF(ISNA(F32),0,OFFSET(INDIRECT("'"&amp;CZ$25&amp;"'!g1"),F32-1,)*BJ32)</f>
        <v>#REF!</v>
      </c>
      <c r="DA32" t="e" cm="1">
        <f t="array" aca="1" ref="DA32" ca="1">IF(ISNA(G32),0,OFFSET(INDIRECT("'"&amp;DA$25&amp;"'!g1"),G32-1,)*BK32)</f>
        <v>#REF!</v>
      </c>
      <c r="DB32" t="e" cm="1">
        <f t="array" aca="1" ref="DB32" ca="1">IF(ISNA(H32),0,OFFSET(INDIRECT("'"&amp;DB$25&amp;"'!g1"),H32-1,)*BL32)</f>
        <v>#REF!</v>
      </c>
      <c r="DC32" t="e" cm="1">
        <f t="array" aca="1" ref="DC32" ca="1">IF(ISNA(I32),0,OFFSET(INDIRECT("'"&amp;DC$25&amp;"'!g1"),I32-1,)*BM32)</f>
        <v>#REF!</v>
      </c>
      <c r="DD32" t="e" cm="1">
        <f t="array" aca="1" ref="DD32" ca="1">IF(ISNA(J32),0,OFFSET(INDIRECT("'"&amp;DD$25&amp;"'!g1"),J32-1,)*BN32)</f>
        <v>#REF!</v>
      </c>
      <c r="DE32" t="e" cm="1">
        <f t="array" aca="1" ref="DE32" ca="1">IF(ISNA(K32),0,OFFSET(INDIRECT("'"&amp;DE$25&amp;"'!g1"),K32-1,)*BO32)</f>
        <v>#REF!</v>
      </c>
      <c r="DF32" t="e" cm="1">
        <f t="array" aca="1" ref="DF32" ca="1">IF(ISNA(L32),0,OFFSET(INDIRECT("'"&amp;DF$25&amp;"'!g1"),L32-1,)*BP32)</f>
        <v>#REF!</v>
      </c>
      <c r="DG32" t="e" cm="1">
        <f t="array" aca="1" ref="DG32" ca="1">IF(ISNA(M32),0,OFFSET(INDIRECT("'"&amp;DG$25&amp;"'!g1"),M32-1,)*BQ32)</f>
        <v>#REF!</v>
      </c>
      <c r="DM32" s="10" t="e" cm="1">
        <f t="array" aca="1" ref="DM32" ca="1">IF(ISNA(E32),0,OFFSET(INDIRECT("'"&amp;CY$25&amp;"'!h1"),E32-1,))</f>
        <v>#REF!</v>
      </c>
      <c r="DN32" s="10" t="e" cm="1">
        <f t="array" aca="1" ref="DN32" ca="1">IF(ISNA(F32),0,OFFSET(INDIRECT("'"&amp;CZ$25&amp;"'!h1"),F32-1,))</f>
        <v>#REF!</v>
      </c>
      <c r="DO32" s="10" t="e" cm="1">
        <f t="array" aca="1" ref="DO32" ca="1">IF(ISNA(G32),0,OFFSET(INDIRECT("'"&amp;DA$25&amp;"'!h1"),G32-1,))</f>
        <v>#REF!</v>
      </c>
      <c r="DP32" s="10" t="e" cm="1">
        <f t="array" aca="1" ref="DP32" ca="1">IF(ISNA(H32),0,OFFSET(INDIRECT("'"&amp;DB$25&amp;"'!h1"),H32-1,))</f>
        <v>#REF!</v>
      </c>
      <c r="DQ32" s="10" t="e" cm="1">
        <f t="array" aca="1" ref="DQ32" ca="1">IF(ISNA(I32),0,OFFSET(INDIRECT("'"&amp;DC$25&amp;"'!h1"),I32-1,))</f>
        <v>#REF!</v>
      </c>
      <c r="DR32" s="10" t="e" cm="1">
        <f t="array" aca="1" ref="DR32" ca="1">IF(ISNA(J32),0,OFFSET(INDIRECT("'"&amp;DD$25&amp;"'!h1"),J32-1,))</f>
        <v>#REF!</v>
      </c>
      <c r="DS32" s="10" t="e" cm="1">
        <f t="array" aca="1" ref="DS32" ca="1">IF(ISNA(K32),0,OFFSET(INDIRECT("'"&amp;DE$25&amp;"'!h1"),K32-1,))</f>
        <v>#REF!</v>
      </c>
      <c r="DT32" s="10" t="e" cm="1">
        <f t="array" aca="1" ref="DT32" ca="1">IF(ISNA(L32),0,OFFSET(INDIRECT("'"&amp;DF$25&amp;"'!h1"),L32-1,))</f>
        <v>#REF!</v>
      </c>
      <c r="DU32" s="10" t="e" cm="1">
        <f t="array" aca="1" ref="DU32" ca="1">IF(ISNA(M32),0,OFFSET(INDIRECT("'"&amp;DG$25&amp;"'!h1"),M32-1,))</f>
        <v>#REF!</v>
      </c>
      <c r="DV32" s="10"/>
      <c r="DW32" s="10"/>
      <c r="DX32" s="10"/>
      <c r="DY32" s="10"/>
      <c r="EA32" s="11"/>
      <c r="EB32" s="11"/>
      <c r="EC32" s="11"/>
      <c r="ED32" s="11"/>
      <c r="EE32" s="11"/>
      <c r="EF32" s="11"/>
    </row>
    <row r="33" spans="1:136" x14ac:dyDescent="0.2">
      <c r="A33" t="e">
        <f>#REF!</f>
        <v>#REF!</v>
      </c>
      <c r="B33" t="e">
        <f>#REF!</f>
        <v>#REF!</v>
      </c>
      <c r="C33" t="e">
        <f>#REF!</f>
        <v>#REF!</v>
      </c>
      <c r="E33" t="e">
        <f t="shared" ca="1" si="15"/>
        <v>#REF!</v>
      </c>
      <c r="F33" t="e">
        <f t="shared" ca="1" si="15"/>
        <v>#REF!</v>
      </c>
      <c r="G33" t="e">
        <f t="shared" ca="1" si="15"/>
        <v>#REF!</v>
      </c>
      <c r="H33" t="e">
        <f t="shared" ca="1" si="15"/>
        <v>#REF!</v>
      </c>
      <c r="I33" t="e">
        <f t="shared" ca="1" si="15"/>
        <v>#REF!</v>
      </c>
      <c r="J33" t="e">
        <f t="shared" ca="1" si="15"/>
        <v>#REF!</v>
      </c>
      <c r="K33" t="e">
        <f t="shared" ca="1" si="15"/>
        <v>#REF!</v>
      </c>
      <c r="L33" t="e">
        <f t="shared" ca="1" si="15"/>
        <v>#REF!</v>
      </c>
      <c r="M33" t="e">
        <f t="shared" ca="1" si="15"/>
        <v>#REF!</v>
      </c>
      <c r="S33" t="e" cm="1">
        <f t="array" aca="1" ref="S33" ca="1">IF(ISNA(E33),,OFFSET(INDIRECT("'"&amp;S$25&amp;"'!d1"),E33-1,))</f>
        <v>#REF!</v>
      </c>
      <c r="T33" t="e" cm="1">
        <f t="array" aca="1" ref="T33" ca="1">IF(ISNA(F33),,OFFSET(INDIRECT("'"&amp;T$25&amp;"'!d1"),F33-1,))</f>
        <v>#REF!</v>
      </c>
      <c r="U33" t="e" cm="1">
        <f t="array" aca="1" ref="U33" ca="1">IF(ISNA(G33),,OFFSET(INDIRECT("'"&amp;U$25&amp;"'!d1"),G33-1,))</f>
        <v>#REF!</v>
      </c>
      <c r="V33" t="e" cm="1">
        <f t="array" aca="1" ref="V33" ca="1">IF(ISNA(H33),,OFFSET(INDIRECT("'"&amp;V$25&amp;"'!d1"),H33-1,))</f>
        <v>#REF!</v>
      </c>
      <c r="W33" t="e" cm="1">
        <f t="array" aca="1" ref="W33" ca="1">IF(ISNA(I33),,OFFSET(INDIRECT("'"&amp;W$25&amp;"'!d1"),I33-1,))</f>
        <v>#REF!</v>
      </c>
      <c r="X33" t="e" cm="1">
        <f t="array" aca="1" ref="X33" ca="1">IF(ISNA(J33),,OFFSET(INDIRECT("'"&amp;X$25&amp;"'!d1"),J33-1,))</f>
        <v>#REF!</v>
      </c>
      <c r="Y33" t="e" cm="1">
        <f t="array" aca="1" ref="Y33" ca="1">IF(ISNA(K33),,OFFSET(INDIRECT("'"&amp;Y$25&amp;"'!d1"),K33-1,))</f>
        <v>#REF!</v>
      </c>
      <c r="Z33" t="e" cm="1">
        <f t="array" aca="1" ref="Z33" ca="1">IF(ISNA(L33),,OFFSET(INDIRECT("'"&amp;Z$25&amp;"'!d1"),L33-1,))</f>
        <v>#REF!</v>
      </c>
      <c r="AA33" t="e" cm="1">
        <f t="array" aca="1" ref="AA33" ca="1">IF(ISNA(M33),,OFFSET(INDIRECT("'"&amp;AA$25&amp;"'!d1"),M33-1,))</f>
        <v>#REF!</v>
      </c>
      <c r="AG33" t="e">
        <f t="shared" ca="1" si="19"/>
        <v>#REF!</v>
      </c>
      <c r="AH33" t="e">
        <f t="shared" ca="1" si="16"/>
        <v>#REF!</v>
      </c>
      <c r="AI33" t="e">
        <f t="shared" ca="1" si="16"/>
        <v>#REF!</v>
      </c>
      <c r="AJ33" t="e">
        <f t="shared" ca="1" si="16"/>
        <v>#REF!</v>
      </c>
      <c r="AK33" t="e">
        <f t="shared" ca="1" si="16"/>
        <v>#REF!</v>
      </c>
      <c r="AL33" t="e">
        <f t="shared" ca="1" si="16"/>
        <v>#REF!</v>
      </c>
      <c r="AM33" t="e">
        <f t="shared" ca="1" si="16"/>
        <v>#REF!</v>
      </c>
      <c r="AN33" t="e">
        <f t="shared" ca="1" si="16"/>
        <v>#REF!</v>
      </c>
      <c r="AO33" t="e">
        <f t="shared" ca="1" si="16"/>
        <v>#REF!</v>
      </c>
      <c r="AU33" t="e">
        <f t="shared" ca="1" si="20"/>
        <v>#REF!</v>
      </c>
      <c r="AV33" t="e">
        <f t="shared" ca="1" si="17"/>
        <v>#REF!</v>
      </c>
      <c r="AW33" t="e">
        <f t="shared" ca="1" si="17"/>
        <v>#REF!</v>
      </c>
      <c r="AX33" t="e">
        <f t="shared" ca="1" si="17"/>
        <v>#REF!</v>
      </c>
      <c r="AY33" t="e">
        <f t="shared" ca="1" si="17"/>
        <v>#REF!</v>
      </c>
      <c r="AZ33" t="e">
        <f t="shared" ca="1" si="17"/>
        <v>#REF!</v>
      </c>
      <c r="BA33" t="e">
        <f t="shared" ca="1" si="17"/>
        <v>#REF!</v>
      </c>
      <c r="BB33" t="e">
        <f t="shared" ca="1" si="17"/>
        <v>#REF!</v>
      </c>
      <c r="BC33" t="e">
        <f t="shared" ca="1" si="17"/>
        <v>#REF!</v>
      </c>
      <c r="BI33" t="e">
        <f t="shared" ca="1" si="21"/>
        <v>#REF!</v>
      </c>
      <c r="BJ33" t="e">
        <f t="shared" ca="1" si="18"/>
        <v>#REF!</v>
      </c>
      <c r="BK33" t="e">
        <f t="shared" ca="1" si="18"/>
        <v>#REF!</v>
      </c>
      <c r="BL33" t="e">
        <f t="shared" ca="1" si="18"/>
        <v>#REF!</v>
      </c>
      <c r="BM33" t="e">
        <f t="shared" ca="1" si="18"/>
        <v>#REF!</v>
      </c>
      <c r="BN33" t="e">
        <f t="shared" ca="1" si="18"/>
        <v>#REF!</v>
      </c>
      <c r="BO33" t="e">
        <f t="shared" ca="1" si="18"/>
        <v>#REF!</v>
      </c>
      <c r="BP33" t="e">
        <f t="shared" ca="1" si="18"/>
        <v>#REF!</v>
      </c>
      <c r="BQ33" t="e">
        <f t="shared" ca="1" si="18"/>
        <v>#REF!</v>
      </c>
      <c r="BW33" t="e" cm="1">
        <f t="array" aca="1" ref="BW33" ca="1">IF(AG33,OFFSET(INDIRECT("'"&amp;CK$25&amp;"'!f1"),E33-1,),"")</f>
        <v>#REF!</v>
      </c>
      <c r="BX33" t="e" cm="1">
        <f t="array" aca="1" ref="BX33" ca="1">IF(AH33,OFFSET(INDIRECT("'"&amp;CL$25&amp;"'!f1"),F33-1,),"")</f>
        <v>#REF!</v>
      </c>
      <c r="BY33" t="e" cm="1">
        <f t="array" aca="1" ref="BY33" ca="1">IF(AI33,OFFSET(INDIRECT("'"&amp;CM$25&amp;"'!f1"),G33-1,),"")</f>
        <v>#REF!</v>
      </c>
      <c r="BZ33" t="e" cm="1">
        <f t="array" aca="1" ref="BZ33" ca="1">IF(AJ33,OFFSET(INDIRECT("'"&amp;CN$25&amp;"'!f1"),H33-1,),"")</f>
        <v>#REF!</v>
      </c>
      <c r="CA33" t="e" cm="1">
        <f t="array" aca="1" ref="CA33" ca="1">IF(AK33,OFFSET(INDIRECT("'"&amp;CO$25&amp;"'!f1"),I33-1,),"")</f>
        <v>#REF!</v>
      </c>
      <c r="CB33" t="e" cm="1">
        <f t="array" aca="1" ref="CB33" ca="1">IF(AL33,OFFSET(INDIRECT("'"&amp;CP$25&amp;"'!f1"),J33-1,),"")</f>
        <v>#REF!</v>
      </c>
      <c r="CC33" t="e" cm="1">
        <f t="array" aca="1" ref="CC33" ca="1">IF(AM33,OFFSET(INDIRECT("'"&amp;CQ$25&amp;"'!f1"),K33-1,),"")</f>
        <v>#REF!</v>
      </c>
      <c r="CD33" t="e" cm="1">
        <f t="array" aca="1" ref="CD33" ca="1">IF(AN33,OFFSET(INDIRECT("'"&amp;CR$25&amp;"'!f1"),L33-1,),"")</f>
        <v>#REF!</v>
      </c>
      <c r="CE33" t="e" cm="1">
        <f t="array" aca="1" ref="CE33" ca="1">IF(AO33,OFFSET(INDIRECT("'"&amp;CS$25&amp;"'!f1"),M33-1,),"")</f>
        <v>#REF!</v>
      </c>
      <c r="CK33" t="e" cm="1">
        <f t="array" aca="1" ref="CK33" ca="1">IF(BI33,OFFSET(INDIRECT("'"&amp;CK$25&amp;"'!f1"),E33-1,),"")</f>
        <v>#REF!</v>
      </c>
      <c r="CL33" t="e" cm="1">
        <f t="array" aca="1" ref="CL33" ca="1">IF(BJ33,OFFSET(INDIRECT("'"&amp;CL$25&amp;"'!f1"),F33-1,),"")</f>
        <v>#REF!</v>
      </c>
      <c r="CM33" t="e" cm="1">
        <f t="array" aca="1" ref="CM33" ca="1">IF(BK33,OFFSET(INDIRECT("'"&amp;CM$25&amp;"'!f1"),G33-1,),"")</f>
        <v>#REF!</v>
      </c>
      <c r="CN33" t="e" cm="1">
        <f t="array" aca="1" ref="CN33" ca="1">IF(BL33,OFFSET(INDIRECT("'"&amp;CN$25&amp;"'!f1"),H33-1,),"")</f>
        <v>#REF!</v>
      </c>
      <c r="CO33" t="e" cm="1">
        <f t="array" aca="1" ref="CO33" ca="1">IF(BM33,OFFSET(INDIRECT("'"&amp;CO$25&amp;"'!f1"),I33-1,),"")</f>
        <v>#REF!</v>
      </c>
      <c r="CP33" t="e" cm="1">
        <f t="array" aca="1" ref="CP33" ca="1">IF(BN33,OFFSET(INDIRECT("'"&amp;CP$25&amp;"'!f1"),J33-1,),"")</f>
        <v>#REF!</v>
      </c>
      <c r="CQ33" t="e" cm="1">
        <f t="array" aca="1" ref="CQ33" ca="1">IF(BO33,OFFSET(INDIRECT("'"&amp;CQ$25&amp;"'!f1"),K33-1,),"")</f>
        <v>#REF!</v>
      </c>
      <c r="CR33" t="e" cm="1">
        <f t="array" aca="1" ref="CR33" ca="1">IF(BP33,OFFSET(INDIRECT("'"&amp;CR$25&amp;"'!f1"),L33-1,),"")</f>
        <v>#REF!</v>
      </c>
      <c r="CS33" t="e" cm="1">
        <f t="array" aca="1" ref="CS33" ca="1">IF(BQ33,OFFSET(INDIRECT("'"&amp;CS$25&amp;"'!f1"),M33-1,),"")</f>
        <v>#REF!</v>
      </c>
      <c r="CY33" t="e" cm="1">
        <f t="array" aca="1" ref="CY33" ca="1">IF(ISNA(E33),0,OFFSET(INDIRECT("'"&amp;CY$25&amp;"'!g1"),E33-1,)*BI33)</f>
        <v>#REF!</v>
      </c>
      <c r="CZ33" t="e" cm="1">
        <f t="array" aca="1" ref="CZ33" ca="1">IF(ISNA(F33),0,OFFSET(INDIRECT("'"&amp;CZ$25&amp;"'!g1"),F33-1,)*BJ33)</f>
        <v>#REF!</v>
      </c>
      <c r="DA33" t="e" cm="1">
        <f t="array" aca="1" ref="DA33" ca="1">IF(ISNA(G33),0,OFFSET(INDIRECT("'"&amp;DA$25&amp;"'!g1"),G33-1,)*BK33)</f>
        <v>#REF!</v>
      </c>
      <c r="DB33" t="e" cm="1">
        <f t="array" aca="1" ref="DB33" ca="1">IF(ISNA(H33),0,OFFSET(INDIRECT("'"&amp;DB$25&amp;"'!g1"),H33-1,)*BL33)</f>
        <v>#REF!</v>
      </c>
      <c r="DC33" t="e" cm="1">
        <f t="array" aca="1" ref="DC33" ca="1">IF(ISNA(I33),0,OFFSET(INDIRECT("'"&amp;DC$25&amp;"'!g1"),I33-1,)*BM33)</f>
        <v>#REF!</v>
      </c>
      <c r="DD33" t="e" cm="1">
        <f t="array" aca="1" ref="DD33" ca="1">IF(ISNA(J33),0,OFFSET(INDIRECT("'"&amp;DD$25&amp;"'!g1"),J33-1,)*BN33)</f>
        <v>#REF!</v>
      </c>
      <c r="DE33" t="e" cm="1">
        <f t="array" aca="1" ref="DE33" ca="1">IF(ISNA(K33),0,OFFSET(INDIRECT("'"&amp;DE$25&amp;"'!g1"),K33-1,)*BO33)</f>
        <v>#REF!</v>
      </c>
      <c r="DF33" t="e" cm="1">
        <f t="array" aca="1" ref="DF33" ca="1">IF(ISNA(L33),0,OFFSET(INDIRECT("'"&amp;DF$25&amp;"'!g1"),L33-1,)*BP33)</f>
        <v>#REF!</v>
      </c>
      <c r="DG33" t="e" cm="1">
        <f t="array" aca="1" ref="DG33" ca="1">IF(ISNA(M33),0,OFFSET(INDIRECT("'"&amp;DG$25&amp;"'!g1"),M33-1,)*BQ33)</f>
        <v>#REF!</v>
      </c>
      <c r="DM33" s="10" t="e" cm="1">
        <f t="array" aca="1" ref="DM33" ca="1">IF(ISNA(E33),0,OFFSET(INDIRECT("'"&amp;CY$25&amp;"'!h1"),E33-1,))</f>
        <v>#REF!</v>
      </c>
      <c r="DN33" s="10" t="e" cm="1">
        <f t="array" aca="1" ref="DN33" ca="1">IF(ISNA(F33),0,OFFSET(INDIRECT("'"&amp;CZ$25&amp;"'!h1"),F33-1,))</f>
        <v>#REF!</v>
      </c>
      <c r="DO33" s="10" t="e" cm="1">
        <f t="array" aca="1" ref="DO33" ca="1">IF(ISNA(G33),0,OFFSET(INDIRECT("'"&amp;DA$25&amp;"'!h1"),G33-1,))</f>
        <v>#REF!</v>
      </c>
      <c r="DP33" s="10" t="e" cm="1">
        <f t="array" aca="1" ref="DP33" ca="1">IF(ISNA(H33),0,OFFSET(INDIRECT("'"&amp;DB$25&amp;"'!h1"),H33-1,))</f>
        <v>#REF!</v>
      </c>
      <c r="DQ33" s="10" t="e" cm="1">
        <f t="array" aca="1" ref="DQ33" ca="1">IF(ISNA(I33),0,OFFSET(INDIRECT("'"&amp;DC$25&amp;"'!h1"),I33-1,))</f>
        <v>#REF!</v>
      </c>
      <c r="DR33" s="10" t="e" cm="1">
        <f t="array" aca="1" ref="DR33" ca="1">IF(ISNA(J33),0,OFFSET(INDIRECT("'"&amp;DD$25&amp;"'!h1"),J33-1,))</f>
        <v>#REF!</v>
      </c>
      <c r="DS33" s="10" t="e" cm="1">
        <f t="array" aca="1" ref="DS33" ca="1">IF(ISNA(K33),0,OFFSET(INDIRECT("'"&amp;DE$25&amp;"'!h1"),K33-1,))</f>
        <v>#REF!</v>
      </c>
      <c r="DT33" s="10" t="e" cm="1">
        <f t="array" aca="1" ref="DT33" ca="1">IF(ISNA(L33),0,OFFSET(INDIRECT("'"&amp;DF$25&amp;"'!h1"),L33-1,))</f>
        <v>#REF!</v>
      </c>
      <c r="DU33" s="10" t="e" cm="1">
        <f t="array" aca="1" ref="DU33" ca="1">IF(ISNA(M33),0,OFFSET(INDIRECT("'"&amp;DG$25&amp;"'!h1"),M33-1,))</f>
        <v>#REF!</v>
      </c>
      <c r="DV33" s="10"/>
      <c r="DW33" s="10"/>
      <c r="DX33" s="10"/>
      <c r="DY33" s="10"/>
      <c r="EA33" s="11"/>
      <c r="EB33" s="11"/>
      <c r="EC33" s="11"/>
      <c r="ED33" s="11"/>
      <c r="EE33" s="11"/>
      <c r="EF33" s="11"/>
    </row>
    <row r="34" spans="1:136" x14ac:dyDescent="0.2">
      <c r="A34" t="e">
        <f>#REF!</f>
        <v>#REF!</v>
      </c>
      <c r="B34" t="e">
        <f>#REF!</f>
        <v>#REF!</v>
      </c>
      <c r="C34" t="e">
        <f>#REF!</f>
        <v>#REF!</v>
      </c>
      <c r="E34" t="e">
        <f t="shared" ca="1" si="15"/>
        <v>#REF!</v>
      </c>
      <c r="F34" t="e">
        <f t="shared" ca="1" si="15"/>
        <v>#REF!</v>
      </c>
      <c r="G34" t="e">
        <f t="shared" ca="1" si="15"/>
        <v>#REF!</v>
      </c>
      <c r="H34" t="e">
        <f t="shared" ca="1" si="15"/>
        <v>#REF!</v>
      </c>
      <c r="I34" t="e">
        <f t="shared" ca="1" si="15"/>
        <v>#REF!</v>
      </c>
      <c r="J34" t="e">
        <f t="shared" ca="1" si="15"/>
        <v>#REF!</v>
      </c>
      <c r="K34" t="e">
        <f t="shared" ca="1" si="15"/>
        <v>#REF!</v>
      </c>
      <c r="L34" t="e">
        <f t="shared" ca="1" si="15"/>
        <v>#REF!</v>
      </c>
      <c r="M34" t="e">
        <f t="shared" ca="1" si="15"/>
        <v>#REF!</v>
      </c>
      <c r="S34" t="e" cm="1">
        <f t="array" aca="1" ref="S34" ca="1">IF(ISNA(E34),,OFFSET(INDIRECT("'"&amp;S$25&amp;"'!d1"),E34-1,))</f>
        <v>#REF!</v>
      </c>
      <c r="T34" t="e" cm="1">
        <f t="array" aca="1" ref="T34" ca="1">IF(ISNA(F34),,OFFSET(INDIRECT("'"&amp;T$25&amp;"'!d1"),F34-1,))</f>
        <v>#REF!</v>
      </c>
      <c r="U34" t="e" cm="1">
        <f t="array" aca="1" ref="U34" ca="1">IF(ISNA(G34),,OFFSET(INDIRECT("'"&amp;U$25&amp;"'!d1"),G34-1,))</f>
        <v>#REF!</v>
      </c>
      <c r="V34" t="e" cm="1">
        <f t="array" aca="1" ref="V34" ca="1">IF(ISNA(H34),,OFFSET(INDIRECT("'"&amp;V$25&amp;"'!d1"),H34-1,))</f>
        <v>#REF!</v>
      </c>
      <c r="W34" t="e" cm="1">
        <f t="array" aca="1" ref="W34" ca="1">IF(ISNA(I34),,OFFSET(INDIRECT("'"&amp;W$25&amp;"'!d1"),I34-1,))</f>
        <v>#REF!</v>
      </c>
      <c r="X34" t="e" cm="1">
        <f t="array" aca="1" ref="X34" ca="1">IF(ISNA(J34),,OFFSET(INDIRECT("'"&amp;X$25&amp;"'!d1"),J34-1,))</f>
        <v>#REF!</v>
      </c>
      <c r="Y34" t="e" cm="1">
        <f t="array" aca="1" ref="Y34" ca="1">IF(ISNA(K34),,OFFSET(INDIRECT("'"&amp;Y$25&amp;"'!d1"),K34-1,))</f>
        <v>#REF!</v>
      </c>
      <c r="Z34" t="e" cm="1">
        <f t="array" aca="1" ref="Z34" ca="1">IF(ISNA(L34),,OFFSET(INDIRECT("'"&amp;Z$25&amp;"'!d1"),L34-1,))</f>
        <v>#REF!</v>
      </c>
      <c r="AA34" t="e" cm="1">
        <f t="array" aca="1" ref="AA34" ca="1">IF(ISNA(M34),,OFFSET(INDIRECT("'"&amp;AA$25&amp;"'!d1"),M34-1,))</f>
        <v>#REF!</v>
      </c>
      <c r="AG34" t="e">
        <f t="shared" ca="1" si="19"/>
        <v>#REF!</v>
      </c>
      <c r="AH34" t="e">
        <f t="shared" ca="1" si="16"/>
        <v>#REF!</v>
      </c>
      <c r="AI34" t="e">
        <f t="shared" ca="1" si="16"/>
        <v>#REF!</v>
      </c>
      <c r="AJ34" t="e">
        <f t="shared" ca="1" si="16"/>
        <v>#REF!</v>
      </c>
      <c r="AK34" t="e">
        <f t="shared" ca="1" si="16"/>
        <v>#REF!</v>
      </c>
      <c r="AL34" t="e">
        <f t="shared" ca="1" si="16"/>
        <v>#REF!</v>
      </c>
      <c r="AM34" t="e">
        <f t="shared" ca="1" si="16"/>
        <v>#REF!</v>
      </c>
      <c r="AN34" t="e">
        <f t="shared" ca="1" si="16"/>
        <v>#REF!</v>
      </c>
      <c r="AO34" t="e">
        <f t="shared" ca="1" si="16"/>
        <v>#REF!</v>
      </c>
      <c r="AU34" t="e">
        <f t="shared" ca="1" si="20"/>
        <v>#REF!</v>
      </c>
      <c r="AV34" t="e">
        <f t="shared" ca="1" si="17"/>
        <v>#REF!</v>
      </c>
      <c r="AW34" t="e">
        <f t="shared" ca="1" si="17"/>
        <v>#REF!</v>
      </c>
      <c r="AX34" t="e">
        <f t="shared" ca="1" si="17"/>
        <v>#REF!</v>
      </c>
      <c r="AY34" t="e">
        <f t="shared" ca="1" si="17"/>
        <v>#REF!</v>
      </c>
      <c r="AZ34" t="e">
        <f t="shared" ca="1" si="17"/>
        <v>#REF!</v>
      </c>
      <c r="BA34" t="e">
        <f t="shared" ca="1" si="17"/>
        <v>#REF!</v>
      </c>
      <c r="BB34" t="e">
        <f t="shared" ca="1" si="17"/>
        <v>#REF!</v>
      </c>
      <c r="BC34" t="e">
        <f t="shared" ca="1" si="17"/>
        <v>#REF!</v>
      </c>
      <c r="BI34" t="e">
        <f t="shared" ca="1" si="21"/>
        <v>#REF!</v>
      </c>
      <c r="BJ34" t="e">
        <f t="shared" ca="1" si="18"/>
        <v>#REF!</v>
      </c>
      <c r="BK34" t="e">
        <f t="shared" ca="1" si="18"/>
        <v>#REF!</v>
      </c>
      <c r="BL34" t="e">
        <f t="shared" ca="1" si="18"/>
        <v>#REF!</v>
      </c>
      <c r="BM34" t="e">
        <f t="shared" ca="1" si="18"/>
        <v>#REF!</v>
      </c>
      <c r="BN34" t="e">
        <f t="shared" ca="1" si="18"/>
        <v>#REF!</v>
      </c>
      <c r="BO34" t="e">
        <f t="shared" ca="1" si="18"/>
        <v>#REF!</v>
      </c>
      <c r="BP34" t="e">
        <f t="shared" ca="1" si="18"/>
        <v>#REF!</v>
      </c>
      <c r="BQ34" t="e">
        <f t="shared" ca="1" si="18"/>
        <v>#REF!</v>
      </c>
      <c r="BW34" t="e" cm="1">
        <f t="array" aca="1" ref="BW34" ca="1">IF(AG34,OFFSET(INDIRECT("'"&amp;CK$25&amp;"'!f1"),E34-1,),"")</f>
        <v>#REF!</v>
      </c>
      <c r="BX34" t="e" cm="1">
        <f t="array" aca="1" ref="BX34" ca="1">IF(AH34,OFFSET(INDIRECT("'"&amp;CL$25&amp;"'!f1"),F34-1,),"")</f>
        <v>#REF!</v>
      </c>
      <c r="BY34" t="e" cm="1">
        <f t="array" aca="1" ref="BY34" ca="1">IF(AI34,OFFSET(INDIRECT("'"&amp;CM$25&amp;"'!f1"),G34-1,),"")</f>
        <v>#REF!</v>
      </c>
      <c r="BZ34" t="e" cm="1">
        <f t="array" aca="1" ref="BZ34" ca="1">IF(AJ34,OFFSET(INDIRECT("'"&amp;CN$25&amp;"'!f1"),H34-1,),"")</f>
        <v>#REF!</v>
      </c>
      <c r="CA34" t="e" cm="1">
        <f t="array" aca="1" ref="CA34" ca="1">IF(AK34,OFFSET(INDIRECT("'"&amp;CO$25&amp;"'!f1"),I34-1,),"")</f>
        <v>#REF!</v>
      </c>
      <c r="CB34" t="e" cm="1">
        <f t="array" aca="1" ref="CB34" ca="1">IF(AL34,OFFSET(INDIRECT("'"&amp;CP$25&amp;"'!f1"),J34-1,),"")</f>
        <v>#REF!</v>
      </c>
      <c r="CC34" t="e" cm="1">
        <f t="array" aca="1" ref="CC34" ca="1">IF(AM34,OFFSET(INDIRECT("'"&amp;CQ$25&amp;"'!f1"),K34-1,),"")</f>
        <v>#REF!</v>
      </c>
      <c r="CD34" t="e" cm="1">
        <f t="array" aca="1" ref="CD34" ca="1">IF(AN34,OFFSET(INDIRECT("'"&amp;CR$25&amp;"'!f1"),L34-1,),"")</f>
        <v>#REF!</v>
      </c>
      <c r="CE34" t="e" cm="1">
        <f t="array" aca="1" ref="CE34" ca="1">IF(AO34,OFFSET(INDIRECT("'"&amp;CS$25&amp;"'!f1"),M34-1,),"")</f>
        <v>#REF!</v>
      </c>
      <c r="CK34" t="e" cm="1">
        <f t="array" aca="1" ref="CK34" ca="1">IF(BI34,OFFSET(INDIRECT("'"&amp;CK$25&amp;"'!f1"),E34-1,),"")</f>
        <v>#REF!</v>
      </c>
      <c r="CL34" t="e" cm="1">
        <f t="array" aca="1" ref="CL34" ca="1">IF(BJ34,OFFSET(INDIRECT("'"&amp;CL$25&amp;"'!f1"),F34-1,),"")</f>
        <v>#REF!</v>
      </c>
      <c r="CM34" t="e" cm="1">
        <f t="array" aca="1" ref="CM34" ca="1">IF(BK34,OFFSET(INDIRECT("'"&amp;CM$25&amp;"'!f1"),G34-1,),"")</f>
        <v>#REF!</v>
      </c>
      <c r="CN34" t="e" cm="1">
        <f t="array" aca="1" ref="CN34" ca="1">IF(BL34,OFFSET(INDIRECT("'"&amp;CN$25&amp;"'!f1"),H34-1,),"")</f>
        <v>#REF!</v>
      </c>
      <c r="CO34" t="e" cm="1">
        <f t="array" aca="1" ref="CO34" ca="1">IF(BM34,OFFSET(INDIRECT("'"&amp;CO$25&amp;"'!f1"),I34-1,),"")</f>
        <v>#REF!</v>
      </c>
      <c r="CP34" t="e" cm="1">
        <f t="array" aca="1" ref="CP34" ca="1">IF(BN34,OFFSET(INDIRECT("'"&amp;CP$25&amp;"'!f1"),J34-1,),"")</f>
        <v>#REF!</v>
      </c>
      <c r="CQ34" t="e" cm="1">
        <f t="array" aca="1" ref="CQ34" ca="1">IF(BO34,OFFSET(INDIRECT("'"&amp;CQ$25&amp;"'!f1"),K34-1,),"")</f>
        <v>#REF!</v>
      </c>
      <c r="CR34" t="e" cm="1">
        <f t="array" aca="1" ref="CR34" ca="1">IF(BP34,OFFSET(INDIRECT("'"&amp;CR$25&amp;"'!f1"),L34-1,),"")</f>
        <v>#REF!</v>
      </c>
      <c r="CS34" t="e" cm="1">
        <f t="array" aca="1" ref="CS34" ca="1">IF(BQ34,OFFSET(INDIRECT("'"&amp;CS$25&amp;"'!f1"),M34-1,),"")</f>
        <v>#REF!</v>
      </c>
      <c r="CY34" t="e" cm="1">
        <f t="array" aca="1" ref="CY34" ca="1">IF(ISNA(E34),0,OFFSET(INDIRECT("'"&amp;CY$25&amp;"'!g1"),E34-1,)*BI34)</f>
        <v>#REF!</v>
      </c>
      <c r="CZ34" t="e" cm="1">
        <f t="array" aca="1" ref="CZ34" ca="1">IF(ISNA(F34),0,OFFSET(INDIRECT("'"&amp;CZ$25&amp;"'!g1"),F34-1,)*BJ34)</f>
        <v>#REF!</v>
      </c>
      <c r="DA34" t="e" cm="1">
        <f t="array" aca="1" ref="DA34" ca="1">IF(ISNA(G34),0,OFFSET(INDIRECT("'"&amp;DA$25&amp;"'!g1"),G34-1,)*BK34)</f>
        <v>#REF!</v>
      </c>
      <c r="DB34" t="e" cm="1">
        <f t="array" aca="1" ref="DB34" ca="1">IF(ISNA(H34),0,OFFSET(INDIRECT("'"&amp;DB$25&amp;"'!g1"),H34-1,)*BL34)</f>
        <v>#REF!</v>
      </c>
      <c r="DC34" t="e" cm="1">
        <f t="array" aca="1" ref="DC34" ca="1">IF(ISNA(I34),0,OFFSET(INDIRECT("'"&amp;DC$25&amp;"'!g1"),I34-1,)*BM34)</f>
        <v>#REF!</v>
      </c>
      <c r="DD34" t="e" cm="1">
        <f t="array" aca="1" ref="DD34" ca="1">IF(ISNA(J34),0,OFFSET(INDIRECT("'"&amp;DD$25&amp;"'!g1"),J34-1,)*BN34)</f>
        <v>#REF!</v>
      </c>
      <c r="DE34" t="e" cm="1">
        <f t="array" aca="1" ref="DE34" ca="1">IF(ISNA(K34),0,OFFSET(INDIRECT("'"&amp;DE$25&amp;"'!g1"),K34-1,)*BO34)</f>
        <v>#REF!</v>
      </c>
      <c r="DF34" t="e" cm="1">
        <f t="array" aca="1" ref="DF34" ca="1">IF(ISNA(L34),0,OFFSET(INDIRECT("'"&amp;DF$25&amp;"'!g1"),L34-1,)*BP34)</f>
        <v>#REF!</v>
      </c>
      <c r="DG34" t="e" cm="1">
        <f t="array" aca="1" ref="DG34" ca="1">IF(ISNA(M34),0,OFFSET(INDIRECT("'"&amp;DG$25&amp;"'!g1"),M34-1,)*BQ34)</f>
        <v>#REF!</v>
      </c>
      <c r="DM34" s="10" t="e" cm="1">
        <f t="array" aca="1" ref="DM34" ca="1">IF(ISNA(E34),0,OFFSET(INDIRECT("'"&amp;CY$25&amp;"'!h1"),E34-1,))</f>
        <v>#REF!</v>
      </c>
      <c r="DN34" s="10" t="e" cm="1">
        <f t="array" aca="1" ref="DN34" ca="1">IF(ISNA(F34),0,OFFSET(INDIRECT("'"&amp;CZ$25&amp;"'!h1"),F34-1,))</f>
        <v>#REF!</v>
      </c>
      <c r="DO34" s="10" t="e" cm="1">
        <f t="array" aca="1" ref="DO34" ca="1">IF(ISNA(G34),0,OFFSET(INDIRECT("'"&amp;DA$25&amp;"'!h1"),G34-1,))</f>
        <v>#REF!</v>
      </c>
      <c r="DP34" s="10" t="e" cm="1">
        <f t="array" aca="1" ref="DP34" ca="1">IF(ISNA(H34),0,OFFSET(INDIRECT("'"&amp;DB$25&amp;"'!h1"),H34-1,))</f>
        <v>#REF!</v>
      </c>
      <c r="DQ34" s="10" t="e" cm="1">
        <f t="array" aca="1" ref="DQ34" ca="1">IF(ISNA(I34),0,OFFSET(INDIRECT("'"&amp;DC$25&amp;"'!h1"),I34-1,))</f>
        <v>#REF!</v>
      </c>
      <c r="DR34" s="10" t="e" cm="1">
        <f t="array" aca="1" ref="DR34" ca="1">IF(ISNA(J34),0,OFFSET(INDIRECT("'"&amp;DD$25&amp;"'!h1"),J34-1,))</f>
        <v>#REF!</v>
      </c>
      <c r="DS34" s="10" t="e" cm="1">
        <f t="array" aca="1" ref="DS34" ca="1">IF(ISNA(K34),0,OFFSET(INDIRECT("'"&amp;DE$25&amp;"'!h1"),K34-1,))</f>
        <v>#REF!</v>
      </c>
      <c r="DT34" s="10" t="e" cm="1">
        <f t="array" aca="1" ref="DT34" ca="1">IF(ISNA(L34),0,OFFSET(INDIRECT("'"&amp;DF$25&amp;"'!h1"),L34-1,))</f>
        <v>#REF!</v>
      </c>
      <c r="DU34" s="10" t="e" cm="1">
        <f t="array" aca="1" ref="DU34" ca="1">IF(ISNA(M34),0,OFFSET(INDIRECT("'"&amp;DG$25&amp;"'!h1"),M34-1,))</f>
        <v>#REF!</v>
      </c>
      <c r="DV34" s="10"/>
      <c r="DW34" s="10"/>
      <c r="DX34" s="10"/>
      <c r="DY34" s="10"/>
      <c r="EA34" s="11"/>
      <c r="EB34" s="11"/>
      <c r="EC34" s="11"/>
      <c r="ED34" s="11"/>
      <c r="EE34" s="11"/>
      <c r="EF34" s="11"/>
    </row>
    <row r="35" spans="1:136" x14ac:dyDescent="0.2">
      <c r="A35" t="e">
        <f>#REF!</f>
        <v>#REF!</v>
      </c>
      <c r="B35" t="e">
        <f>#REF!</f>
        <v>#REF!</v>
      </c>
      <c r="C35" t="e">
        <f>#REF!</f>
        <v>#REF!</v>
      </c>
      <c r="E35" t="e">
        <f t="shared" ca="1" si="15"/>
        <v>#REF!</v>
      </c>
      <c r="F35" t="e">
        <f t="shared" ca="1" si="15"/>
        <v>#REF!</v>
      </c>
      <c r="G35" t="e">
        <f t="shared" ca="1" si="15"/>
        <v>#REF!</v>
      </c>
      <c r="H35" t="e">
        <f t="shared" ca="1" si="15"/>
        <v>#REF!</v>
      </c>
      <c r="I35" t="e">
        <f t="shared" ca="1" si="15"/>
        <v>#REF!</v>
      </c>
      <c r="J35" t="e">
        <f t="shared" ca="1" si="15"/>
        <v>#REF!</v>
      </c>
      <c r="K35" t="e">
        <f t="shared" ca="1" si="15"/>
        <v>#REF!</v>
      </c>
      <c r="L35" t="e">
        <f t="shared" ca="1" si="15"/>
        <v>#REF!</v>
      </c>
      <c r="M35" t="e">
        <f t="shared" ca="1" si="15"/>
        <v>#REF!</v>
      </c>
      <c r="S35" t="e" cm="1">
        <f t="array" aca="1" ref="S35" ca="1">IF(ISNA(E35),,OFFSET(INDIRECT("'"&amp;S$25&amp;"'!d1"),E35-1,))</f>
        <v>#REF!</v>
      </c>
      <c r="T35" t="e" cm="1">
        <f t="array" aca="1" ref="T35" ca="1">IF(ISNA(F35),,OFFSET(INDIRECT("'"&amp;T$25&amp;"'!d1"),F35-1,))</f>
        <v>#REF!</v>
      </c>
      <c r="U35" t="e" cm="1">
        <f t="array" aca="1" ref="U35" ca="1">IF(ISNA(G35),,OFFSET(INDIRECT("'"&amp;U$25&amp;"'!d1"),G35-1,))</f>
        <v>#REF!</v>
      </c>
      <c r="V35" t="e" cm="1">
        <f t="array" aca="1" ref="V35" ca="1">IF(ISNA(H35),,OFFSET(INDIRECT("'"&amp;V$25&amp;"'!d1"),H35-1,))</f>
        <v>#REF!</v>
      </c>
      <c r="W35" t="e" cm="1">
        <f t="array" aca="1" ref="W35" ca="1">IF(ISNA(I35),,OFFSET(INDIRECT("'"&amp;W$25&amp;"'!d1"),I35-1,))</f>
        <v>#REF!</v>
      </c>
      <c r="X35" t="e" cm="1">
        <f t="array" aca="1" ref="X35" ca="1">IF(ISNA(J35),,OFFSET(INDIRECT("'"&amp;X$25&amp;"'!d1"),J35-1,))</f>
        <v>#REF!</v>
      </c>
      <c r="Y35" t="e" cm="1">
        <f t="array" aca="1" ref="Y35" ca="1">IF(ISNA(K35),,OFFSET(INDIRECT("'"&amp;Y$25&amp;"'!d1"),K35-1,))</f>
        <v>#REF!</v>
      </c>
      <c r="Z35" t="e" cm="1">
        <f t="array" aca="1" ref="Z35" ca="1">IF(ISNA(L35),,OFFSET(INDIRECT("'"&amp;Z$25&amp;"'!d1"),L35-1,))</f>
        <v>#REF!</v>
      </c>
      <c r="AA35" t="e" cm="1">
        <f t="array" aca="1" ref="AA35" ca="1">IF(ISNA(M35),,OFFSET(INDIRECT("'"&amp;AA$25&amp;"'!d1"),M35-1,))</f>
        <v>#REF!</v>
      </c>
      <c r="AG35" t="e">
        <f t="shared" ca="1" si="19"/>
        <v>#REF!</v>
      </c>
      <c r="AH35" t="e">
        <f t="shared" ca="1" si="16"/>
        <v>#REF!</v>
      </c>
      <c r="AI35" t="e">
        <f t="shared" ca="1" si="16"/>
        <v>#REF!</v>
      </c>
      <c r="AJ35" t="e">
        <f t="shared" ca="1" si="16"/>
        <v>#REF!</v>
      </c>
      <c r="AK35" t="e">
        <f t="shared" ca="1" si="16"/>
        <v>#REF!</v>
      </c>
      <c r="AL35" t="e">
        <f t="shared" ca="1" si="16"/>
        <v>#REF!</v>
      </c>
      <c r="AM35" t="e">
        <f t="shared" ca="1" si="16"/>
        <v>#REF!</v>
      </c>
      <c r="AN35" t="e">
        <f t="shared" ca="1" si="16"/>
        <v>#REF!</v>
      </c>
      <c r="AO35" t="e">
        <f t="shared" ca="1" si="16"/>
        <v>#REF!</v>
      </c>
      <c r="AU35" t="e">
        <f t="shared" ca="1" si="20"/>
        <v>#REF!</v>
      </c>
      <c r="AV35" t="e">
        <f t="shared" ca="1" si="17"/>
        <v>#REF!</v>
      </c>
      <c r="AW35" t="e">
        <f t="shared" ca="1" si="17"/>
        <v>#REF!</v>
      </c>
      <c r="AX35" t="e">
        <f t="shared" ca="1" si="17"/>
        <v>#REF!</v>
      </c>
      <c r="AY35" t="e">
        <f t="shared" ca="1" si="17"/>
        <v>#REF!</v>
      </c>
      <c r="AZ35" t="e">
        <f t="shared" ca="1" si="17"/>
        <v>#REF!</v>
      </c>
      <c r="BA35" t="e">
        <f t="shared" ca="1" si="17"/>
        <v>#REF!</v>
      </c>
      <c r="BB35" t="e">
        <f t="shared" ca="1" si="17"/>
        <v>#REF!</v>
      </c>
      <c r="BC35" t="e">
        <f t="shared" ca="1" si="17"/>
        <v>#REF!</v>
      </c>
      <c r="BI35" t="e">
        <f t="shared" ca="1" si="21"/>
        <v>#REF!</v>
      </c>
      <c r="BJ35" t="e">
        <f t="shared" ca="1" si="18"/>
        <v>#REF!</v>
      </c>
      <c r="BK35" t="e">
        <f t="shared" ca="1" si="18"/>
        <v>#REF!</v>
      </c>
      <c r="BL35" t="e">
        <f t="shared" ca="1" si="18"/>
        <v>#REF!</v>
      </c>
      <c r="BM35" t="e">
        <f t="shared" ca="1" si="18"/>
        <v>#REF!</v>
      </c>
      <c r="BN35" t="e">
        <f t="shared" ca="1" si="18"/>
        <v>#REF!</v>
      </c>
      <c r="BO35" t="e">
        <f t="shared" ca="1" si="18"/>
        <v>#REF!</v>
      </c>
      <c r="BP35" t="e">
        <f t="shared" ca="1" si="18"/>
        <v>#REF!</v>
      </c>
      <c r="BQ35" t="e">
        <f t="shared" ca="1" si="18"/>
        <v>#REF!</v>
      </c>
      <c r="BW35" t="e" cm="1">
        <f t="array" aca="1" ref="BW35" ca="1">IF(AG35,OFFSET(INDIRECT("'"&amp;CK$25&amp;"'!f1"),E35-1,),"")</f>
        <v>#REF!</v>
      </c>
      <c r="BX35" t="e" cm="1">
        <f t="array" aca="1" ref="BX35" ca="1">IF(AH35,OFFSET(INDIRECT("'"&amp;CL$25&amp;"'!f1"),F35-1,),"")</f>
        <v>#REF!</v>
      </c>
      <c r="BY35" t="e" cm="1">
        <f t="array" aca="1" ref="BY35" ca="1">IF(AI35,OFFSET(INDIRECT("'"&amp;CM$25&amp;"'!f1"),G35-1,),"")</f>
        <v>#REF!</v>
      </c>
      <c r="BZ35" t="e" cm="1">
        <f t="array" aca="1" ref="BZ35" ca="1">IF(AJ35,OFFSET(INDIRECT("'"&amp;CN$25&amp;"'!f1"),H35-1,),"")</f>
        <v>#REF!</v>
      </c>
      <c r="CA35" t="e" cm="1">
        <f t="array" aca="1" ref="CA35" ca="1">IF(AK35,OFFSET(INDIRECT("'"&amp;CO$25&amp;"'!f1"),I35-1,),"")</f>
        <v>#REF!</v>
      </c>
      <c r="CB35" t="e" cm="1">
        <f t="array" aca="1" ref="CB35" ca="1">IF(AL35,OFFSET(INDIRECT("'"&amp;CP$25&amp;"'!f1"),J35-1,),"")</f>
        <v>#REF!</v>
      </c>
      <c r="CC35" t="e" cm="1">
        <f t="array" aca="1" ref="CC35" ca="1">IF(AM35,OFFSET(INDIRECT("'"&amp;CQ$25&amp;"'!f1"),K35-1,),"")</f>
        <v>#REF!</v>
      </c>
      <c r="CD35" t="e" cm="1">
        <f t="array" aca="1" ref="CD35" ca="1">IF(AN35,OFFSET(INDIRECT("'"&amp;CR$25&amp;"'!f1"),L35-1,),"")</f>
        <v>#REF!</v>
      </c>
      <c r="CE35" t="e" cm="1">
        <f t="array" aca="1" ref="CE35" ca="1">IF(AO35,OFFSET(INDIRECT("'"&amp;CS$25&amp;"'!f1"),M35-1,),"")</f>
        <v>#REF!</v>
      </c>
      <c r="CK35" t="e" cm="1">
        <f t="array" aca="1" ref="CK35" ca="1">IF(BI35,OFFSET(INDIRECT("'"&amp;CK$25&amp;"'!f1"),E35-1,),"")</f>
        <v>#REF!</v>
      </c>
      <c r="CL35" t="e" cm="1">
        <f t="array" aca="1" ref="CL35" ca="1">IF(BJ35,OFFSET(INDIRECT("'"&amp;CL$25&amp;"'!f1"),F35-1,),"")</f>
        <v>#REF!</v>
      </c>
      <c r="CM35" t="e" cm="1">
        <f t="array" aca="1" ref="CM35" ca="1">IF(BK35,OFFSET(INDIRECT("'"&amp;CM$25&amp;"'!f1"),G35-1,),"")</f>
        <v>#REF!</v>
      </c>
      <c r="CN35" t="e" cm="1">
        <f t="array" aca="1" ref="CN35" ca="1">IF(BL35,OFFSET(INDIRECT("'"&amp;CN$25&amp;"'!f1"),H35-1,),"")</f>
        <v>#REF!</v>
      </c>
      <c r="CO35" t="e" cm="1">
        <f t="array" aca="1" ref="CO35" ca="1">IF(BM35,OFFSET(INDIRECT("'"&amp;CO$25&amp;"'!f1"),I35-1,),"")</f>
        <v>#REF!</v>
      </c>
      <c r="CP35" t="e" cm="1">
        <f t="array" aca="1" ref="CP35" ca="1">IF(BN35,OFFSET(INDIRECT("'"&amp;CP$25&amp;"'!f1"),J35-1,),"")</f>
        <v>#REF!</v>
      </c>
      <c r="CQ35" t="e" cm="1">
        <f t="array" aca="1" ref="CQ35" ca="1">IF(BO35,OFFSET(INDIRECT("'"&amp;CQ$25&amp;"'!f1"),K35-1,),"")</f>
        <v>#REF!</v>
      </c>
      <c r="CR35" t="e" cm="1">
        <f t="array" aca="1" ref="CR35" ca="1">IF(BP35,OFFSET(INDIRECT("'"&amp;CR$25&amp;"'!f1"),L35-1,),"")</f>
        <v>#REF!</v>
      </c>
      <c r="CS35" t="e" cm="1">
        <f t="array" aca="1" ref="CS35" ca="1">IF(BQ35,OFFSET(INDIRECT("'"&amp;CS$25&amp;"'!f1"),M35-1,),"")</f>
        <v>#REF!</v>
      </c>
      <c r="CY35" t="e" cm="1">
        <f t="array" aca="1" ref="CY35" ca="1">IF(ISNA(E35),0,OFFSET(INDIRECT("'"&amp;CY$25&amp;"'!g1"),E35-1,)*BI35)</f>
        <v>#REF!</v>
      </c>
      <c r="CZ35" t="e" cm="1">
        <f t="array" aca="1" ref="CZ35" ca="1">IF(ISNA(F35),0,OFFSET(INDIRECT("'"&amp;CZ$25&amp;"'!g1"),F35-1,)*BJ35)</f>
        <v>#REF!</v>
      </c>
      <c r="DA35" t="e" cm="1">
        <f t="array" aca="1" ref="DA35" ca="1">IF(ISNA(G35),0,OFFSET(INDIRECT("'"&amp;DA$25&amp;"'!g1"),G35-1,)*BK35)</f>
        <v>#REF!</v>
      </c>
      <c r="DB35" t="e" cm="1">
        <f t="array" aca="1" ref="DB35" ca="1">IF(ISNA(H35),0,OFFSET(INDIRECT("'"&amp;DB$25&amp;"'!g1"),H35-1,)*BL35)</f>
        <v>#REF!</v>
      </c>
      <c r="DC35" t="e" cm="1">
        <f t="array" aca="1" ref="DC35" ca="1">IF(ISNA(I35),0,OFFSET(INDIRECT("'"&amp;DC$25&amp;"'!g1"),I35-1,)*BM35)</f>
        <v>#REF!</v>
      </c>
      <c r="DD35" t="e" cm="1">
        <f t="array" aca="1" ref="DD35" ca="1">IF(ISNA(J35),0,OFFSET(INDIRECT("'"&amp;DD$25&amp;"'!g1"),J35-1,)*BN35)</f>
        <v>#REF!</v>
      </c>
      <c r="DE35" t="e" cm="1">
        <f t="array" aca="1" ref="DE35" ca="1">IF(ISNA(K35),0,OFFSET(INDIRECT("'"&amp;DE$25&amp;"'!g1"),K35-1,)*BO35)</f>
        <v>#REF!</v>
      </c>
      <c r="DF35" t="e" cm="1">
        <f t="array" aca="1" ref="DF35" ca="1">IF(ISNA(L35),0,OFFSET(INDIRECT("'"&amp;DF$25&amp;"'!g1"),L35-1,)*BP35)</f>
        <v>#REF!</v>
      </c>
      <c r="DG35" t="e" cm="1">
        <f t="array" aca="1" ref="DG35" ca="1">IF(ISNA(M35),0,OFFSET(INDIRECT("'"&amp;DG$25&amp;"'!g1"),M35-1,)*BQ35)</f>
        <v>#REF!</v>
      </c>
      <c r="DM35" s="10" t="e" cm="1">
        <f t="array" aca="1" ref="DM35" ca="1">IF(ISNA(E35),0,OFFSET(INDIRECT("'"&amp;CY$25&amp;"'!h1"),E35-1,))</f>
        <v>#REF!</v>
      </c>
      <c r="DN35" s="10" t="e" cm="1">
        <f t="array" aca="1" ref="DN35" ca="1">IF(ISNA(F35),0,OFFSET(INDIRECT("'"&amp;CZ$25&amp;"'!h1"),F35-1,))</f>
        <v>#REF!</v>
      </c>
      <c r="DO35" s="10" t="e" cm="1">
        <f t="array" aca="1" ref="DO35" ca="1">IF(ISNA(G35),0,OFFSET(INDIRECT("'"&amp;DA$25&amp;"'!h1"),G35-1,))</f>
        <v>#REF!</v>
      </c>
      <c r="DP35" s="10" t="e" cm="1">
        <f t="array" aca="1" ref="DP35" ca="1">IF(ISNA(H35),0,OFFSET(INDIRECT("'"&amp;DB$25&amp;"'!h1"),H35-1,))</f>
        <v>#REF!</v>
      </c>
      <c r="DQ35" s="10" t="e" cm="1">
        <f t="array" aca="1" ref="DQ35" ca="1">IF(ISNA(I35),0,OFFSET(INDIRECT("'"&amp;DC$25&amp;"'!h1"),I35-1,))</f>
        <v>#REF!</v>
      </c>
      <c r="DR35" s="10" t="e" cm="1">
        <f t="array" aca="1" ref="DR35" ca="1">IF(ISNA(J35),0,OFFSET(INDIRECT("'"&amp;DD$25&amp;"'!h1"),J35-1,))</f>
        <v>#REF!</v>
      </c>
      <c r="DS35" s="10" t="e" cm="1">
        <f t="array" aca="1" ref="DS35" ca="1">IF(ISNA(K35),0,OFFSET(INDIRECT("'"&amp;DE$25&amp;"'!h1"),K35-1,))</f>
        <v>#REF!</v>
      </c>
      <c r="DT35" s="10" t="e" cm="1">
        <f t="array" aca="1" ref="DT35" ca="1">IF(ISNA(L35),0,OFFSET(INDIRECT("'"&amp;DF$25&amp;"'!h1"),L35-1,))</f>
        <v>#REF!</v>
      </c>
      <c r="DU35" s="10" t="e" cm="1">
        <f t="array" aca="1" ref="DU35" ca="1">IF(ISNA(M35),0,OFFSET(INDIRECT("'"&amp;DG$25&amp;"'!h1"),M35-1,))</f>
        <v>#REF!</v>
      </c>
      <c r="DV35" s="10"/>
      <c r="DW35" s="10"/>
      <c r="DX35" s="10"/>
      <c r="DY35" s="10"/>
      <c r="EA35" s="11"/>
      <c r="EB35" s="11"/>
      <c r="EC35" s="11"/>
      <c r="ED35" s="11"/>
      <c r="EE35" s="11"/>
      <c r="EF35" s="11"/>
    </row>
    <row r="36" spans="1:136" x14ac:dyDescent="0.2">
      <c r="A36" t="e">
        <f>#REF!</f>
        <v>#REF!</v>
      </c>
      <c r="B36" t="e">
        <f>#REF!</f>
        <v>#REF!</v>
      </c>
      <c r="C36" t="e">
        <f>#REF!</f>
        <v>#REF!</v>
      </c>
      <c r="E36" t="e">
        <f t="shared" ref="E36:M45" ca="1" si="22">MATCH($A36,INDIRECT("'"&amp;E$25&amp;"'!A:A"),)</f>
        <v>#REF!</v>
      </c>
      <c r="F36" t="e">
        <f t="shared" ca="1" si="22"/>
        <v>#REF!</v>
      </c>
      <c r="G36" t="e">
        <f t="shared" ca="1" si="22"/>
        <v>#REF!</v>
      </c>
      <c r="H36" t="e">
        <f t="shared" ca="1" si="22"/>
        <v>#REF!</v>
      </c>
      <c r="I36" t="e">
        <f t="shared" ca="1" si="22"/>
        <v>#REF!</v>
      </c>
      <c r="J36" t="e">
        <f t="shared" ca="1" si="22"/>
        <v>#REF!</v>
      </c>
      <c r="K36" t="e">
        <f t="shared" ca="1" si="22"/>
        <v>#REF!</v>
      </c>
      <c r="L36" t="e">
        <f t="shared" ca="1" si="22"/>
        <v>#REF!</v>
      </c>
      <c r="M36" t="e">
        <f t="shared" ca="1" si="22"/>
        <v>#REF!</v>
      </c>
      <c r="S36" t="e" cm="1">
        <f t="array" aca="1" ref="S36" ca="1">IF(ISNA(E36),,OFFSET(INDIRECT("'"&amp;S$25&amp;"'!d1"),E36-1,))</f>
        <v>#REF!</v>
      </c>
      <c r="T36" t="e" cm="1">
        <f t="array" aca="1" ref="T36" ca="1">IF(ISNA(F36),,OFFSET(INDIRECT("'"&amp;T$25&amp;"'!d1"),F36-1,))</f>
        <v>#REF!</v>
      </c>
      <c r="U36" t="e" cm="1">
        <f t="array" aca="1" ref="U36" ca="1">IF(ISNA(G36),,OFFSET(INDIRECT("'"&amp;U$25&amp;"'!d1"),G36-1,))</f>
        <v>#REF!</v>
      </c>
      <c r="V36" t="e" cm="1">
        <f t="array" aca="1" ref="V36" ca="1">IF(ISNA(H36),,OFFSET(INDIRECT("'"&amp;V$25&amp;"'!d1"),H36-1,))</f>
        <v>#REF!</v>
      </c>
      <c r="W36" t="e" cm="1">
        <f t="array" aca="1" ref="W36" ca="1">IF(ISNA(I36),,OFFSET(INDIRECT("'"&amp;W$25&amp;"'!d1"),I36-1,))</f>
        <v>#REF!</v>
      </c>
      <c r="X36" t="e" cm="1">
        <f t="array" aca="1" ref="X36" ca="1">IF(ISNA(J36),,OFFSET(INDIRECT("'"&amp;X$25&amp;"'!d1"),J36-1,))</f>
        <v>#REF!</v>
      </c>
      <c r="Y36" t="e" cm="1">
        <f t="array" aca="1" ref="Y36" ca="1">IF(ISNA(K36),,OFFSET(INDIRECT("'"&amp;Y$25&amp;"'!d1"),K36-1,))</f>
        <v>#REF!</v>
      </c>
      <c r="Z36" t="e" cm="1">
        <f t="array" aca="1" ref="Z36" ca="1">IF(ISNA(L36),,OFFSET(INDIRECT("'"&amp;Z$25&amp;"'!d1"),L36-1,))</f>
        <v>#REF!</v>
      </c>
      <c r="AA36" t="e" cm="1">
        <f t="array" aca="1" ref="AA36" ca="1">IF(ISNA(M36),,OFFSET(INDIRECT("'"&amp;AA$25&amp;"'!d1"),M36-1,))</f>
        <v>#REF!</v>
      </c>
      <c r="AG36" t="e">
        <f t="shared" ca="1" si="19"/>
        <v>#REF!</v>
      </c>
      <c r="AH36" t="e">
        <f t="shared" ca="1" si="16"/>
        <v>#REF!</v>
      </c>
      <c r="AI36" t="e">
        <f t="shared" ca="1" si="16"/>
        <v>#REF!</v>
      </c>
      <c r="AJ36" t="e">
        <f t="shared" ca="1" si="16"/>
        <v>#REF!</v>
      </c>
      <c r="AK36" t="e">
        <f t="shared" ca="1" si="16"/>
        <v>#REF!</v>
      </c>
      <c r="AL36" t="e">
        <f t="shared" ca="1" si="16"/>
        <v>#REF!</v>
      </c>
      <c r="AM36" t="e">
        <f t="shared" ca="1" si="16"/>
        <v>#REF!</v>
      </c>
      <c r="AN36" t="e">
        <f t="shared" ca="1" si="16"/>
        <v>#REF!</v>
      </c>
      <c r="AO36" t="e">
        <f t="shared" ca="1" si="16"/>
        <v>#REF!</v>
      </c>
      <c r="AU36" t="e">
        <f t="shared" ca="1" si="20"/>
        <v>#REF!</v>
      </c>
      <c r="AV36" t="e">
        <f t="shared" ca="1" si="17"/>
        <v>#REF!</v>
      </c>
      <c r="AW36" t="e">
        <f t="shared" ca="1" si="17"/>
        <v>#REF!</v>
      </c>
      <c r="AX36" t="e">
        <f t="shared" ca="1" si="17"/>
        <v>#REF!</v>
      </c>
      <c r="AY36" t="e">
        <f t="shared" ca="1" si="17"/>
        <v>#REF!</v>
      </c>
      <c r="AZ36" t="e">
        <f t="shared" ca="1" si="17"/>
        <v>#REF!</v>
      </c>
      <c r="BA36" t="e">
        <f t="shared" ca="1" si="17"/>
        <v>#REF!</v>
      </c>
      <c r="BB36" t="e">
        <f t="shared" ca="1" si="17"/>
        <v>#REF!</v>
      </c>
      <c r="BC36" t="e">
        <f t="shared" ca="1" si="17"/>
        <v>#REF!</v>
      </c>
      <c r="BI36" t="e">
        <f t="shared" ca="1" si="21"/>
        <v>#REF!</v>
      </c>
      <c r="BJ36" t="e">
        <f t="shared" ca="1" si="18"/>
        <v>#REF!</v>
      </c>
      <c r="BK36" t="e">
        <f t="shared" ca="1" si="18"/>
        <v>#REF!</v>
      </c>
      <c r="BL36" t="e">
        <f t="shared" ca="1" si="18"/>
        <v>#REF!</v>
      </c>
      <c r="BM36" t="e">
        <f t="shared" ca="1" si="18"/>
        <v>#REF!</v>
      </c>
      <c r="BN36" t="e">
        <f t="shared" ca="1" si="18"/>
        <v>#REF!</v>
      </c>
      <c r="BO36" t="e">
        <f t="shared" ca="1" si="18"/>
        <v>#REF!</v>
      </c>
      <c r="BP36" t="e">
        <f t="shared" ca="1" si="18"/>
        <v>#REF!</v>
      </c>
      <c r="BQ36" t="e">
        <f t="shared" ca="1" si="18"/>
        <v>#REF!</v>
      </c>
      <c r="BW36" t="e" cm="1">
        <f t="array" aca="1" ref="BW36" ca="1">IF(AG36,OFFSET(INDIRECT("'"&amp;CK$25&amp;"'!f1"),E36-1,),"")</f>
        <v>#REF!</v>
      </c>
      <c r="BX36" t="e" cm="1">
        <f t="array" aca="1" ref="BX36" ca="1">IF(AH36,OFFSET(INDIRECT("'"&amp;CL$25&amp;"'!f1"),F36-1,),"")</f>
        <v>#REF!</v>
      </c>
      <c r="BY36" t="e" cm="1">
        <f t="array" aca="1" ref="BY36" ca="1">IF(AI36,OFFSET(INDIRECT("'"&amp;CM$25&amp;"'!f1"),G36-1,),"")</f>
        <v>#REF!</v>
      </c>
      <c r="BZ36" t="e" cm="1">
        <f t="array" aca="1" ref="BZ36" ca="1">IF(AJ36,OFFSET(INDIRECT("'"&amp;CN$25&amp;"'!f1"),H36-1,),"")</f>
        <v>#REF!</v>
      </c>
      <c r="CA36" t="e" cm="1">
        <f t="array" aca="1" ref="CA36" ca="1">IF(AK36,OFFSET(INDIRECT("'"&amp;CO$25&amp;"'!f1"),I36-1,),"")</f>
        <v>#REF!</v>
      </c>
      <c r="CB36" t="e" cm="1">
        <f t="array" aca="1" ref="CB36" ca="1">IF(AL36,OFFSET(INDIRECT("'"&amp;CP$25&amp;"'!f1"),J36-1,),"")</f>
        <v>#REF!</v>
      </c>
      <c r="CC36" t="e" cm="1">
        <f t="array" aca="1" ref="CC36" ca="1">IF(AM36,OFFSET(INDIRECT("'"&amp;CQ$25&amp;"'!f1"),K36-1,),"")</f>
        <v>#REF!</v>
      </c>
      <c r="CD36" t="e" cm="1">
        <f t="array" aca="1" ref="CD36" ca="1">IF(AN36,OFFSET(INDIRECT("'"&amp;CR$25&amp;"'!f1"),L36-1,),"")</f>
        <v>#REF!</v>
      </c>
      <c r="CE36" t="e" cm="1">
        <f t="array" aca="1" ref="CE36" ca="1">IF(AO36,OFFSET(INDIRECT("'"&amp;CS$25&amp;"'!f1"),M36-1,),"")</f>
        <v>#REF!</v>
      </c>
      <c r="CK36" t="e" cm="1">
        <f t="array" aca="1" ref="CK36" ca="1">IF(BI36,OFFSET(INDIRECT("'"&amp;CK$25&amp;"'!f1"),E36-1,),"")</f>
        <v>#REF!</v>
      </c>
      <c r="CL36" t="e" cm="1">
        <f t="array" aca="1" ref="CL36" ca="1">IF(BJ36,OFFSET(INDIRECT("'"&amp;CL$25&amp;"'!f1"),F36-1,),"")</f>
        <v>#REF!</v>
      </c>
      <c r="CM36" t="e" cm="1">
        <f t="array" aca="1" ref="CM36" ca="1">IF(BK36,OFFSET(INDIRECT("'"&amp;CM$25&amp;"'!f1"),G36-1,),"")</f>
        <v>#REF!</v>
      </c>
      <c r="CN36" t="e" cm="1">
        <f t="array" aca="1" ref="CN36" ca="1">IF(BL36,OFFSET(INDIRECT("'"&amp;CN$25&amp;"'!f1"),H36-1,),"")</f>
        <v>#REF!</v>
      </c>
      <c r="CO36" t="e" cm="1">
        <f t="array" aca="1" ref="CO36" ca="1">IF(BM36,OFFSET(INDIRECT("'"&amp;CO$25&amp;"'!f1"),I36-1,),"")</f>
        <v>#REF!</v>
      </c>
      <c r="CP36" t="e" cm="1">
        <f t="array" aca="1" ref="CP36" ca="1">IF(BN36,OFFSET(INDIRECT("'"&amp;CP$25&amp;"'!f1"),J36-1,),"")</f>
        <v>#REF!</v>
      </c>
      <c r="CQ36" t="e" cm="1">
        <f t="array" aca="1" ref="CQ36" ca="1">IF(BO36,OFFSET(INDIRECT("'"&amp;CQ$25&amp;"'!f1"),K36-1,),"")</f>
        <v>#REF!</v>
      </c>
      <c r="CR36" t="e" cm="1">
        <f t="array" aca="1" ref="CR36" ca="1">IF(BP36,OFFSET(INDIRECT("'"&amp;CR$25&amp;"'!f1"),L36-1,),"")</f>
        <v>#REF!</v>
      </c>
      <c r="CS36" t="e" cm="1">
        <f t="array" aca="1" ref="CS36" ca="1">IF(BQ36,OFFSET(INDIRECT("'"&amp;CS$25&amp;"'!f1"),M36-1,),"")</f>
        <v>#REF!</v>
      </c>
      <c r="CY36" t="e" cm="1">
        <f t="array" aca="1" ref="CY36" ca="1">IF(ISNA(E36),0,OFFSET(INDIRECT("'"&amp;CY$25&amp;"'!g1"),E36-1,)*BI36)</f>
        <v>#REF!</v>
      </c>
      <c r="CZ36" t="e" cm="1">
        <f t="array" aca="1" ref="CZ36" ca="1">IF(ISNA(F36),0,OFFSET(INDIRECT("'"&amp;CZ$25&amp;"'!g1"),F36-1,)*BJ36)</f>
        <v>#REF!</v>
      </c>
      <c r="DA36" t="e" cm="1">
        <f t="array" aca="1" ref="DA36" ca="1">IF(ISNA(G36),0,OFFSET(INDIRECT("'"&amp;DA$25&amp;"'!g1"),G36-1,)*BK36)</f>
        <v>#REF!</v>
      </c>
      <c r="DB36" t="e" cm="1">
        <f t="array" aca="1" ref="DB36" ca="1">IF(ISNA(H36),0,OFFSET(INDIRECT("'"&amp;DB$25&amp;"'!g1"),H36-1,)*BL36)</f>
        <v>#REF!</v>
      </c>
      <c r="DC36" t="e" cm="1">
        <f t="array" aca="1" ref="DC36" ca="1">IF(ISNA(I36),0,OFFSET(INDIRECT("'"&amp;DC$25&amp;"'!g1"),I36-1,)*BM36)</f>
        <v>#REF!</v>
      </c>
      <c r="DD36" t="e" cm="1">
        <f t="array" aca="1" ref="DD36" ca="1">IF(ISNA(J36),0,OFFSET(INDIRECT("'"&amp;DD$25&amp;"'!g1"),J36-1,)*BN36)</f>
        <v>#REF!</v>
      </c>
      <c r="DE36" t="e" cm="1">
        <f t="array" aca="1" ref="DE36" ca="1">IF(ISNA(K36),0,OFFSET(INDIRECT("'"&amp;DE$25&amp;"'!g1"),K36-1,)*BO36)</f>
        <v>#REF!</v>
      </c>
      <c r="DF36" t="e" cm="1">
        <f t="array" aca="1" ref="DF36" ca="1">IF(ISNA(L36),0,OFFSET(INDIRECT("'"&amp;DF$25&amp;"'!g1"),L36-1,)*BP36)</f>
        <v>#REF!</v>
      </c>
      <c r="DG36" t="e" cm="1">
        <f t="array" aca="1" ref="DG36" ca="1">IF(ISNA(M36),0,OFFSET(INDIRECT("'"&amp;DG$25&amp;"'!g1"),M36-1,)*BQ36)</f>
        <v>#REF!</v>
      </c>
      <c r="DM36" s="10" t="e" cm="1">
        <f t="array" aca="1" ref="DM36" ca="1">IF(ISNA(E36),0,OFFSET(INDIRECT("'"&amp;CY$25&amp;"'!h1"),E36-1,))</f>
        <v>#REF!</v>
      </c>
      <c r="DN36" s="10" t="e" cm="1">
        <f t="array" aca="1" ref="DN36" ca="1">IF(ISNA(F36),0,OFFSET(INDIRECT("'"&amp;CZ$25&amp;"'!h1"),F36-1,))</f>
        <v>#REF!</v>
      </c>
      <c r="DO36" s="10" t="e" cm="1">
        <f t="array" aca="1" ref="DO36" ca="1">IF(ISNA(G36),0,OFFSET(INDIRECT("'"&amp;DA$25&amp;"'!h1"),G36-1,))</f>
        <v>#REF!</v>
      </c>
      <c r="DP36" s="10" t="e" cm="1">
        <f t="array" aca="1" ref="DP36" ca="1">IF(ISNA(H36),0,OFFSET(INDIRECT("'"&amp;DB$25&amp;"'!h1"),H36-1,))</f>
        <v>#REF!</v>
      </c>
      <c r="DQ36" s="10" t="e" cm="1">
        <f t="array" aca="1" ref="DQ36" ca="1">IF(ISNA(I36),0,OFFSET(INDIRECT("'"&amp;DC$25&amp;"'!h1"),I36-1,))</f>
        <v>#REF!</v>
      </c>
      <c r="DR36" s="10" t="e" cm="1">
        <f t="array" aca="1" ref="DR36" ca="1">IF(ISNA(J36),0,OFFSET(INDIRECT("'"&amp;DD$25&amp;"'!h1"),J36-1,))</f>
        <v>#REF!</v>
      </c>
      <c r="DS36" s="10" t="e" cm="1">
        <f t="array" aca="1" ref="DS36" ca="1">IF(ISNA(K36),0,OFFSET(INDIRECT("'"&amp;DE$25&amp;"'!h1"),K36-1,))</f>
        <v>#REF!</v>
      </c>
      <c r="DT36" s="10" t="e" cm="1">
        <f t="array" aca="1" ref="DT36" ca="1">IF(ISNA(L36),0,OFFSET(INDIRECT("'"&amp;DF$25&amp;"'!h1"),L36-1,))</f>
        <v>#REF!</v>
      </c>
      <c r="DU36" s="10" t="e" cm="1">
        <f t="array" aca="1" ref="DU36" ca="1">IF(ISNA(M36),0,OFFSET(INDIRECT("'"&amp;DG$25&amp;"'!h1"),M36-1,))</f>
        <v>#REF!</v>
      </c>
      <c r="DV36" s="10"/>
      <c r="DW36" s="10"/>
      <c r="DX36" s="10"/>
      <c r="DY36" s="10"/>
      <c r="EA36" s="11"/>
      <c r="EB36" s="11"/>
      <c r="EC36" s="11"/>
      <c r="ED36" s="11"/>
      <c r="EE36" s="11"/>
      <c r="EF36" s="11"/>
    </row>
    <row r="37" spans="1:136" x14ac:dyDescent="0.2">
      <c r="A37" t="e">
        <f>#REF!</f>
        <v>#REF!</v>
      </c>
      <c r="B37" t="e">
        <f>#REF!</f>
        <v>#REF!</v>
      </c>
      <c r="C37" t="e">
        <f>#REF!</f>
        <v>#REF!</v>
      </c>
      <c r="E37" t="e">
        <f t="shared" ca="1" si="22"/>
        <v>#REF!</v>
      </c>
      <c r="F37" t="e">
        <f t="shared" ca="1" si="22"/>
        <v>#REF!</v>
      </c>
      <c r="G37" t="e">
        <f t="shared" ca="1" si="22"/>
        <v>#REF!</v>
      </c>
      <c r="H37" t="e">
        <f t="shared" ca="1" si="22"/>
        <v>#REF!</v>
      </c>
      <c r="I37" t="e">
        <f t="shared" ca="1" si="22"/>
        <v>#REF!</v>
      </c>
      <c r="J37" t="e">
        <f t="shared" ca="1" si="22"/>
        <v>#REF!</v>
      </c>
      <c r="K37" t="e">
        <f t="shared" ca="1" si="22"/>
        <v>#REF!</v>
      </c>
      <c r="L37" t="e">
        <f t="shared" ca="1" si="22"/>
        <v>#REF!</v>
      </c>
      <c r="M37" t="e">
        <f t="shared" ca="1" si="22"/>
        <v>#REF!</v>
      </c>
      <c r="S37" t="e" cm="1">
        <f t="array" aca="1" ref="S37" ca="1">IF(ISNA(E37),,OFFSET(INDIRECT("'"&amp;S$25&amp;"'!d1"),E37-1,))</f>
        <v>#REF!</v>
      </c>
      <c r="T37" t="e" cm="1">
        <f t="array" aca="1" ref="T37" ca="1">IF(ISNA(F37),,OFFSET(INDIRECT("'"&amp;T$25&amp;"'!d1"),F37-1,))</f>
        <v>#REF!</v>
      </c>
      <c r="U37" t="e" cm="1">
        <f t="array" aca="1" ref="U37" ca="1">IF(ISNA(G37),,OFFSET(INDIRECT("'"&amp;U$25&amp;"'!d1"),G37-1,))</f>
        <v>#REF!</v>
      </c>
      <c r="V37" t="e" cm="1">
        <f t="array" aca="1" ref="V37" ca="1">IF(ISNA(H37),,OFFSET(INDIRECT("'"&amp;V$25&amp;"'!d1"),H37-1,))</f>
        <v>#REF!</v>
      </c>
      <c r="W37" t="e" cm="1">
        <f t="array" aca="1" ref="W37" ca="1">IF(ISNA(I37),,OFFSET(INDIRECT("'"&amp;W$25&amp;"'!d1"),I37-1,))</f>
        <v>#REF!</v>
      </c>
      <c r="X37" t="e" cm="1">
        <f t="array" aca="1" ref="X37" ca="1">IF(ISNA(J37),,OFFSET(INDIRECT("'"&amp;X$25&amp;"'!d1"),J37-1,))</f>
        <v>#REF!</v>
      </c>
      <c r="Y37" t="e" cm="1">
        <f t="array" aca="1" ref="Y37" ca="1">IF(ISNA(K37),,OFFSET(INDIRECT("'"&amp;Y$25&amp;"'!d1"),K37-1,))</f>
        <v>#REF!</v>
      </c>
      <c r="Z37" t="e" cm="1">
        <f t="array" aca="1" ref="Z37" ca="1">IF(ISNA(L37),,OFFSET(INDIRECT("'"&amp;Z$25&amp;"'!d1"),L37-1,))</f>
        <v>#REF!</v>
      </c>
      <c r="AA37" t="e" cm="1">
        <f t="array" aca="1" ref="AA37" ca="1">IF(ISNA(M37),,OFFSET(INDIRECT("'"&amp;AA$25&amp;"'!d1"),M37-1,))</f>
        <v>#REF!</v>
      </c>
      <c r="AG37" t="e">
        <f t="shared" ca="1" si="19"/>
        <v>#REF!</v>
      </c>
      <c r="AH37" t="e">
        <f t="shared" ca="1" si="16"/>
        <v>#REF!</v>
      </c>
      <c r="AI37" t="e">
        <f t="shared" ca="1" si="16"/>
        <v>#REF!</v>
      </c>
      <c r="AJ37" t="e">
        <f t="shared" ca="1" si="16"/>
        <v>#REF!</v>
      </c>
      <c r="AK37" t="e">
        <f t="shared" ca="1" si="16"/>
        <v>#REF!</v>
      </c>
      <c r="AL37" t="e">
        <f t="shared" ca="1" si="16"/>
        <v>#REF!</v>
      </c>
      <c r="AM37" t="e">
        <f t="shared" ca="1" si="16"/>
        <v>#REF!</v>
      </c>
      <c r="AN37" t="e">
        <f t="shared" ca="1" si="16"/>
        <v>#REF!</v>
      </c>
      <c r="AO37" t="e">
        <f t="shared" ca="1" si="16"/>
        <v>#REF!</v>
      </c>
      <c r="AU37" t="e">
        <f t="shared" ca="1" si="20"/>
        <v>#REF!</v>
      </c>
      <c r="AV37" t="e">
        <f t="shared" ca="1" si="17"/>
        <v>#REF!</v>
      </c>
      <c r="AW37" t="e">
        <f t="shared" ca="1" si="17"/>
        <v>#REF!</v>
      </c>
      <c r="AX37" t="e">
        <f t="shared" ca="1" si="17"/>
        <v>#REF!</v>
      </c>
      <c r="AY37" t="e">
        <f t="shared" ca="1" si="17"/>
        <v>#REF!</v>
      </c>
      <c r="AZ37" t="e">
        <f t="shared" ca="1" si="17"/>
        <v>#REF!</v>
      </c>
      <c r="BA37" t="e">
        <f t="shared" ca="1" si="17"/>
        <v>#REF!</v>
      </c>
      <c r="BB37" t="e">
        <f t="shared" ca="1" si="17"/>
        <v>#REF!</v>
      </c>
      <c r="BC37" t="e">
        <f t="shared" ca="1" si="17"/>
        <v>#REF!</v>
      </c>
      <c r="BI37" t="e">
        <f t="shared" ca="1" si="21"/>
        <v>#REF!</v>
      </c>
      <c r="BJ37" t="e">
        <f t="shared" ca="1" si="18"/>
        <v>#REF!</v>
      </c>
      <c r="BK37" t="e">
        <f t="shared" ca="1" si="18"/>
        <v>#REF!</v>
      </c>
      <c r="BL37" t="e">
        <f t="shared" ca="1" si="18"/>
        <v>#REF!</v>
      </c>
      <c r="BM37" t="e">
        <f t="shared" ca="1" si="18"/>
        <v>#REF!</v>
      </c>
      <c r="BN37" t="e">
        <f t="shared" ca="1" si="18"/>
        <v>#REF!</v>
      </c>
      <c r="BO37" t="e">
        <f t="shared" ca="1" si="18"/>
        <v>#REF!</v>
      </c>
      <c r="BP37" t="e">
        <f t="shared" ca="1" si="18"/>
        <v>#REF!</v>
      </c>
      <c r="BQ37" t="e">
        <f t="shared" ca="1" si="18"/>
        <v>#REF!</v>
      </c>
      <c r="BW37" t="e" cm="1">
        <f t="array" aca="1" ref="BW37" ca="1">IF(AG37,OFFSET(INDIRECT("'"&amp;CK$25&amp;"'!f1"),E37-1,),"")</f>
        <v>#REF!</v>
      </c>
      <c r="BX37" t="e" cm="1">
        <f t="array" aca="1" ref="BX37" ca="1">IF(AH37,OFFSET(INDIRECT("'"&amp;CL$25&amp;"'!f1"),F37-1,),"")</f>
        <v>#REF!</v>
      </c>
      <c r="BY37" t="e" cm="1">
        <f t="array" aca="1" ref="BY37" ca="1">IF(AI37,OFFSET(INDIRECT("'"&amp;CM$25&amp;"'!f1"),G37-1,),"")</f>
        <v>#REF!</v>
      </c>
      <c r="BZ37" t="e" cm="1">
        <f t="array" aca="1" ref="BZ37" ca="1">IF(AJ37,OFFSET(INDIRECT("'"&amp;CN$25&amp;"'!f1"),H37-1,),"")</f>
        <v>#REF!</v>
      </c>
      <c r="CA37" t="e" cm="1">
        <f t="array" aca="1" ref="CA37" ca="1">IF(AK37,OFFSET(INDIRECT("'"&amp;CO$25&amp;"'!f1"),I37-1,),"")</f>
        <v>#REF!</v>
      </c>
      <c r="CB37" t="e" cm="1">
        <f t="array" aca="1" ref="CB37" ca="1">IF(AL37,OFFSET(INDIRECT("'"&amp;CP$25&amp;"'!f1"),J37-1,),"")</f>
        <v>#REF!</v>
      </c>
      <c r="CC37" t="e" cm="1">
        <f t="array" aca="1" ref="CC37" ca="1">IF(AM37,OFFSET(INDIRECT("'"&amp;CQ$25&amp;"'!f1"),K37-1,),"")</f>
        <v>#REF!</v>
      </c>
      <c r="CD37" t="e" cm="1">
        <f t="array" aca="1" ref="CD37" ca="1">IF(AN37,OFFSET(INDIRECT("'"&amp;CR$25&amp;"'!f1"),L37-1,),"")</f>
        <v>#REF!</v>
      </c>
      <c r="CE37" t="e" cm="1">
        <f t="array" aca="1" ref="CE37" ca="1">IF(AO37,OFFSET(INDIRECT("'"&amp;CS$25&amp;"'!f1"),M37-1,),"")</f>
        <v>#REF!</v>
      </c>
      <c r="CK37" t="e" cm="1">
        <f t="array" aca="1" ref="CK37" ca="1">IF(BI37,OFFSET(INDIRECT("'"&amp;CK$25&amp;"'!f1"),E37-1,),"")</f>
        <v>#REF!</v>
      </c>
      <c r="CL37" t="e" cm="1">
        <f t="array" aca="1" ref="CL37" ca="1">IF(BJ37,OFFSET(INDIRECT("'"&amp;CL$25&amp;"'!f1"),F37-1,),"")</f>
        <v>#REF!</v>
      </c>
      <c r="CM37" t="e" cm="1">
        <f t="array" aca="1" ref="CM37" ca="1">IF(BK37,OFFSET(INDIRECT("'"&amp;CM$25&amp;"'!f1"),G37-1,),"")</f>
        <v>#REF!</v>
      </c>
      <c r="CN37" t="e" cm="1">
        <f t="array" aca="1" ref="CN37" ca="1">IF(BL37,OFFSET(INDIRECT("'"&amp;CN$25&amp;"'!f1"),H37-1,),"")</f>
        <v>#REF!</v>
      </c>
      <c r="CO37" t="e" cm="1">
        <f t="array" aca="1" ref="CO37" ca="1">IF(BM37,OFFSET(INDIRECT("'"&amp;CO$25&amp;"'!f1"),I37-1,),"")</f>
        <v>#REF!</v>
      </c>
      <c r="CP37" t="e" cm="1">
        <f t="array" aca="1" ref="CP37" ca="1">IF(BN37,OFFSET(INDIRECT("'"&amp;CP$25&amp;"'!f1"),J37-1,),"")</f>
        <v>#REF!</v>
      </c>
      <c r="CQ37" t="e" cm="1">
        <f t="array" aca="1" ref="CQ37" ca="1">IF(BO37,OFFSET(INDIRECT("'"&amp;CQ$25&amp;"'!f1"),K37-1,),"")</f>
        <v>#REF!</v>
      </c>
      <c r="CR37" t="e" cm="1">
        <f t="array" aca="1" ref="CR37" ca="1">IF(BP37,OFFSET(INDIRECT("'"&amp;CR$25&amp;"'!f1"),L37-1,),"")</f>
        <v>#REF!</v>
      </c>
      <c r="CS37" t="e" cm="1">
        <f t="array" aca="1" ref="CS37" ca="1">IF(BQ37,OFFSET(INDIRECT("'"&amp;CS$25&amp;"'!f1"),M37-1,),"")</f>
        <v>#REF!</v>
      </c>
      <c r="CY37" t="e" cm="1">
        <f t="array" aca="1" ref="CY37" ca="1">IF(ISNA(E37),0,OFFSET(INDIRECT("'"&amp;CY$25&amp;"'!g1"),E37-1,)*BI37)</f>
        <v>#REF!</v>
      </c>
      <c r="CZ37" t="e" cm="1">
        <f t="array" aca="1" ref="CZ37" ca="1">IF(ISNA(F37),0,OFFSET(INDIRECT("'"&amp;CZ$25&amp;"'!g1"),F37-1,)*BJ37)</f>
        <v>#REF!</v>
      </c>
      <c r="DA37" t="e" cm="1">
        <f t="array" aca="1" ref="DA37" ca="1">IF(ISNA(G37),0,OFFSET(INDIRECT("'"&amp;DA$25&amp;"'!g1"),G37-1,)*BK37)</f>
        <v>#REF!</v>
      </c>
      <c r="DB37" t="e" cm="1">
        <f t="array" aca="1" ref="DB37" ca="1">IF(ISNA(H37),0,OFFSET(INDIRECT("'"&amp;DB$25&amp;"'!g1"),H37-1,)*BL37)</f>
        <v>#REF!</v>
      </c>
      <c r="DC37" t="e" cm="1">
        <f t="array" aca="1" ref="DC37" ca="1">IF(ISNA(I37),0,OFFSET(INDIRECT("'"&amp;DC$25&amp;"'!g1"),I37-1,)*BM37)</f>
        <v>#REF!</v>
      </c>
      <c r="DD37" t="e" cm="1">
        <f t="array" aca="1" ref="DD37" ca="1">IF(ISNA(J37),0,OFFSET(INDIRECT("'"&amp;DD$25&amp;"'!g1"),J37-1,)*BN37)</f>
        <v>#REF!</v>
      </c>
      <c r="DE37" t="e" cm="1">
        <f t="array" aca="1" ref="DE37" ca="1">IF(ISNA(K37),0,OFFSET(INDIRECT("'"&amp;DE$25&amp;"'!g1"),K37-1,)*BO37)</f>
        <v>#REF!</v>
      </c>
      <c r="DF37" t="e" cm="1">
        <f t="array" aca="1" ref="DF37" ca="1">IF(ISNA(L37),0,OFFSET(INDIRECT("'"&amp;DF$25&amp;"'!g1"),L37-1,)*BP37)</f>
        <v>#REF!</v>
      </c>
      <c r="DG37" t="e" cm="1">
        <f t="array" aca="1" ref="DG37" ca="1">IF(ISNA(M37),0,OFFSET(INDIRECT("'"&amp;DG$25&amp;"'!g1"),M37-1,)*BQ37)</f>
        <v>#REF!</v>
      </c>
      <c r="DM37" s="10" t="e" cm="1">
        <f t="array" aca="1" ref="DM37" ca="1">IF(ISNA(E37),0,OFFSET(INDIRECT("'"&amp;CY$25&amp;"'!h1"),E37-1,))</f>
        <v>#REF!</v>
      </c>
      <c r="DN37" s="10" t="e" cm="1">
        <f t="array" aca="1" ref="DN37" ca="1">IF(ISNA(F37),0,OFFSET(INDIRECT("'"&amp;CZ$25&amp;"'!h1"),F37-1,))</f>
        <v>#REF!</v>
      </c>
      <c r="DO37" s="10" t="e" cm="1">
        <f t="array" aca="1" ref="DO37" ca="1">IF(ISNA(G37),0,OFFSET(INDIRECT("'"&amp;DA$25&amp;"'!h1"),G37-1,))</f>
        <v>#REF!</v>
      </c>
      <c r="DP37" s="10" t="e" cm="1">
        <f t="array" aca="1" ref="DP37" ca="1">IF(ISNA(H37),0,OFFSET(INDIRECT("'"&amp;DB$25&amp;"'!h1"),H37-1,))</f>
        <v>#REF!</v>
      </c>
      <c r="DQ37" s="10" t="e" cm="1">
        <f t="array" aca="1" ref="DQ37" ca="1">IF(ISNA(I37),0,OFFSET(INDIRECT("'"&amp;DC$25&amp;"'!h1"),I37-1,))</f>
        <v>#REF!</v>
      </c>
      <c r="DR37" s="10" t="e" cm="1">
        <f t="array" aca="1" ref="DR37" ca="1">IF(ISNA(J37),0,OFFSET(INDIRECT("'"&amp;DD$25&amp;"'!h1"),J37-1,))</f>
        <v>#REF!</v>
      </c>
      <c r="DS37" s="10" t="e" cm="1">
        <f t="array" aca="1" ref="DS37" ca="1">IF(ISNA(K37),0,OFFSET(INDIRECT("'"&amp;DE$25&amp;"'!h1"),K37-1,))</f>
        <v>#REF!</v>
      </c>
      <c r="DT37" s="10" t="e" cm="1">
        <f t="array" aca="1" ref="DT37" ca="1">IF(ISNA(L37),0,OFFSET(INDIRECT("'"&amp;DF$25&amp;"'!h1"),L37-1,))</f>
        <v>#REF!</v>
      </c>
      <c r="DU37" s="10" t="e" cm="1">
        <f t="array" aca="1" ref="DU37" ca="1">IF(ISNA(M37),0,OFFSET(INDIRECT("'"&amp;DG$25&amp;"'!h1"),M37-1,))</f>
        <v>#REF!</v>
      </c>
      <c r="DV37" s="10"/>
      <c r="DW37" s="10"/>
      <c r="DX37" s="10"/>
      <c r="DY37" s="10"/>
      <c r="EA37" s="11"/>
      <c r="EB37" s="11"/>
      <c r="EC37" s="11"/>
      <c r="ED37" s="11"/>
      <c r="EE37" s="11"/>
      <c r="EF37" s="11"/>
    </row>
    <row r="38" spans="1:136" x14ac:dyDescent="0.2">
      <c r="A38" t="e">
        <f>#REF!</f>
        <v>#REF!</v>
      </c>
      <c r="B38" t="e">
        <f>#REF!</f>
        <v>#REF!</v>
      </c>
      <c r="C38" t="e">
        <f>#REF!</f>
        <v>#REF!</v>
      </c>
      <c r="E38" t="e">
        <f t="shared" ca="1" si="22"/>
        <v>#REF!</v>
      </c>
      <c r="F38" t="e">
        <f t="shared" ca="1" si="22"/>
        <v>#REF!</v>
      </c>
      <c r="G38" t="e">
        <f t="shared" ca="1" si="22"/>
        <v>#REF!</v>
      </c>
      <c r="H38" t="e">
        <f t="shared" ca="1" si="22"/>
        <v>#REF!</v>
      </c>
      <c r="I38" t="e">
        <f t="shared" ca="1" si="22"/>
        <v>#REF!</v>
      </c>
      <c r="J38" t="e">
        <f t="shared" ca="1" si="22"/>
        <v>#REF!</v>
      </c>
      <c r="K38" t="e">
        <f t="shared" ca="1" si="22"/>
        <v>#REF!</v>
      </c>
      <c r="L38" t="e">
        <f t="shared" ca="1" si="22"/>
        <v>#REF!</v>
      </c>
      <c r="M38" t="e">
        <f t="shared" ca="1" si="22"/>
        <v>#REF!</v>
      </c>
      <c r="S38" t="e" cm="1">
        <f t="array" aca="1" ref="S38" ca="1">IF(ISNA(E38),,OFFSET(INDIRECT("'"&amp;S$25&amp;"'!d1"),E38-1,))</f>
        <v>#REF!</v>
      </c>
      <c r="T38" t="e" cm="1">
        <f t="array" aca="1" ref="T38" ca="1">IF(ISNA(F38),,OFFSET(INDIRECT("'"&amp;T$25&amp;"'!d1"),F38-1,))</f>
        <v>#REF!</v>
      </c>
      <c r="U38" t="e" cm="1">
        <f t="array" aca="1" ref="U38" ca="1">IF(ISNA(G38),,OFFSET(INDIRECT("'"&amp;U$25&amp;"'!d1"),G38-1,))</f>
        <v>#REF!</v>
      </c>
      <c r="V38" t="e" cm="1">
        <f t="array" aca="1" ref="V38" ca="1">IF(ISNA(H38),,OFFSET(INDIRECT("'"&amp;V$25&amp;"'!d1"),H38-1,))</f>
        <v>#REF!</v>
      </c>
      <c r="W38" t="e" cm="1">
        <f t="array" aca="1" ref="W38" ca="1">IF(ISNA(I38),,OFFSET(INDIRECT("'"&amp;W$25&amp;"'!d1"),I38-1,))</f>
        <v>#REF!</v>
      </c>
      <c r="X38" t="e" cm="1">
        <f t="array" aca="1" ref="X38" ca="1">IF(ISNA(J38),,OFFSET(INDIRECT("'"&amp;X$25&amp;"'!d1"),J38-1,))</f>
        <v>#REF!</v>
      </c>
      <c r="Y38" t="e" cm="1">
        <f t="array" aca="1" ref="Y38" ca="1">IF(ISNA(K38),,OFFSET(INDIRECT("'"&amp;Y$25&amp;"'!d1"),K38-1,))</f>
        <v>#REF!</v>
      </c>
      <c r="Z38" t="e" cm="1">
        <f t="array" aca="1" ref="Z38" ca="1">IF(ISNA(L38),,OFFSET(INDIRECT("'"&amp;Z$25&amp;"'!d1"),L38-1,))</f>
        <v>#REF!</v>
      </c>
      <c r="AA38" t="e" cm="1">
        <f t="array" aca="1" ref="AA38" ca="1">IF(ISNA(M38),,OFFSET(INDIRECT("'"&amp;AA$25&amp;"'!d1"),M38-1,))</f>
        <v>#REF!</v>
      </c>
      <c r="AG38" t="e">
        <f t="shared" ca="1" si="19"/>
        <v>#REF!</v>
      </c>
      <c r="AH38" t="e">
        <f t="shared" ca="1" si="16"/>
        <v>#REF!</v>
      </c>
      <c r="AI38" t="e">
        <f t="shared" ca="1" si="16"/>
        <v>#REF!</v>
      </c>
      <c r="AJ38" t="e">
        <f t="shared" ca="1" si="16"/>
        <v>#REF!</v>
      </c>
      <c r="AK38" t="e">
        <f t="shared" ca="1" si="16"/>
        <v>#REF!</v>
      </c>
      <c r="AL38" t="e">
        <f t="shared" ca="1" si="16"/>
        <v>#REF!</v>
      </c>
      <c r="AM38" t="e">
        <f t="shared" ca="1" si="16"/>
        <v>#REF!</v>
      </c>
      <c r="AN38" t="e">
        <f t="shared" ca="1" si="16"/>
        <v>#REF!</v>
      </c>
      <c r="AO38" t="e">
        <f t="shared" ca="1" si="16"/>
        <v>#REF!</v>
      </c>
      <c r="AU38" t="e">
        <f t="shared" ca="1" si="20"/>
        <v>#REF!</v>
      </c>
      <c r="AV38" t="e">
        <f t="shared" ca="1" si="17"/>
        <v>#REF!</v>
      </c>
      <c r="AW38" t="e">
        <f t="shared" ca="1" si="17"/>
        <v>#REF!</v>
      </c>
      <c r="AX38" t="e">
        <f t="shared" ca="1" si="17"/>
        <v>#REF!</v>
      </c>
      <c r="AY38" t="e">
        <f t="shared" ca="1" si="17"/>
        <v>#REF!</v>
      </c>
      <c r="AZ38" t="e">
        <f t="shared" ca="1" si="17"/>
        <v>#REF!</v>
      </c>
      <c r="BA38" t="e">
        <f t="shared" ca="1" si="17"/>
        <v>#REF!</v>
      </c>
      <c r="BB38" t="e">
        <f t="shared" ca="1" si="17"/>
        <v>#REF!</v>
      </c>
      <c r="BC38" t="e">
        <f t="shared" ca="1" si="17"/>
        <v>#REF!</v>
      </c>
      <c r="BI38" t="e">
        <f t="shared" ca="1" si="21"/>
        <v>#REF!</v>
      </c>
      <c r="BJ38" t="e">
        <f t="shared" ca="1" si="18"/>
        <v>#REF!</v>
      </c>
      <c r="BK38" t="e">
        <f t="shared" ca="1" si="18"/>
        <v>#REF!</v>
      </c>
      <c r="BL38" t="e">
        <f t="shared" ca="1" si="18"/>
        <v>#REF!</v>
      </c>
      <c r="BM38" t="e">
        <f t="shared" ca="1" si="18"/>
        <v>#REF!</v>
      </c>
      <c r="BN38" t="e">
        <f t="shared" ca="1" si="18"/>
        <v>#REF!</v>
      </c>
      <c r="BO38" t="e">
        <f t="shared" ca="1" si="18"/>
        <v>#REF!</v>
      </c>
      <c r="BP38" t="e">
        <f t="shared" ca="1" si="18"/>
        <v>#REF!</v>
      </c>
      <c r="BQ38" t="e">
        <f t="shared" ca="1" si="18"/>
        <v>#REF!</v>
      </c>
      <c r="BW38" t="e" cm="1">
        <f t="array" aca="1" ref="BW38" ca="1">IF(AG38,OFFSET(INDIRECT("'"&amp;CK$25&amp;"'!f1"),E38-1,),"")</f>
        <v>#REF!</v>
      </c>
      <c r="BX38" t="e" cm="1">
        <f t="array" aca="1" ref="BX38" ca="1">IF(AH38,OFFSET(INDIRECT("'"&amp;CL$25&amp;"'!f1"),F38-1,),"")</f>
        <v>#REF!</v>
      </c>
      <c r="BY38" t="e" cm="1">
        <f t="array" aca="1" ref="BY38" ca="1">IF(AI38,OFFSET(INDIRECT("'"&amp;CM$25&amp;"'!f1"),G38-1,),"")</f>
        <v>#REF!</v>
      </c>
      <c r="BZ38" t="e" cm="1">
        <f t="array" aca="1" ref="BZ38" ca="1">IF(AJ38,OFFSET(INDIRECT("'"&amp;CN$25&amp;"'!f1"),H38-1,),"")</f>
        <v>#REF!</v>
      </c>
      <c r="CA38" t="e" cm="1">
        <f t="array" aca="1" ref="CA38" ca="1">IF(AK38,OFFSET(INDIRECT("'"&amp;CO$25&amp;"'!f1"),I38-1,),"")</f>
        <v>#REF!</v>
      </c>
      <c r="CB38" t="e" cm="1">
        <f t="array" aca="1" ref="CB38" ca="1">IF(AL38,OFFSET(INDIRECT("'"&amp;CP$25&amp;"'!f1"),J38-1,),"")</f>
        <v>#REF!</v>
      </c>
      <c r="CC38" t="e" cm="1">
        <f t="array" aca="1" ref="CC38" ca="1">IF(AM38,OFFSET(INDIRECT("'"&amp;CQ$25&amp;"'!f1"),K38-1,),"")</f>
        <v>#REF!</v>
      </c>
      <c r="CD38" t="e" cm="1">
        <f t="array" aca="1" ref="CD38" ca="1">IF(AN38,OFFSET(INDIRECT("'"&amp;CR$25&amp;"'!f1"),L38-1,),"")</f>
        <v>#REF!</v>
      </c>
      <c r="CE38" t="e" cm="1">
        <f t="array" aca="1" ref="CE38" ca="1">IF(AO38,OFFSET(INDIRECT("'"&amp;CS$25&amp;"'!f1"),M38-1,),"")</f>
        <v>#REF!</v>
      </c>
      <c r="CK38" t="e" cm="1">
        <f t="array" aca="1" ref="CK38" ca="1">IF(BI38,OFFSET(INDIRECT("'"&amp;CK$25&amp;"'!f1"),E38-1,),"")</f>
        <v>#REF!</v>
      </c>
      <c r="CL38" t="e" cm="1">
        <f t="array" aca="1" ref="CL38" ca="1">IF(BJ38,OFFSET(INDIRECT("'"&amp;CL$25&amp;"'!f1"),F38-1,),"")</f>
        <v>#REF!</v>
      </c>
      <c r="CM38" t="e" cm="1">
        <f t="array" aca="1" ref="CM38" ca="1">IF(BK38,OFFSET(INDIRECT("'"&amp;CM$25&amp;"'!f1"),G38-1,),"")</f>
        <v>#REF!</v>
      </c>
      <c r="CN38" t="e" cm="1">
        <f t="array" aca="1" ref="CN38" ca="1">IF(BL38,OFFSET(INDIRECT("'"&amp;CN$25&amp;"'!f1"),H38-1,),"")</f>
        <v>#REF!</v>
      </c>
      <c r="CO38" t="e" cm="1">
        <f t="array" aca="1" ref="CO38" ca="1">IF(BM38,OFFSET(INDIRECT("'"&amp;CO$25&amp;"'!f1"),I38-1,),"")</f>
        <v>#REF!</v>
      </c>
      <c r="CP38" t="e" cm="1">
        <f t="array" aca="1" ref="CP38" ca="1">IF(BN38,OFFSET(INDIRECT("'"&amp;CP$25&amp;"'!f1"),J38-1,),"")</f>
        <v>#REF!</v>
      </c>
      <c r="CQ38" t="e" cm="1">
        <f t="array" aca="1" ref="CQ38" ca="1">IF(BO38,OFFSET(INDIRECT("'"&amp;CQ$25&amp;"'!f1"),K38-1,),"")</f>
        <v>#REF!</v>
      </c>
      <c r="CR38" t="e" cm="1">
        <f t="array" aca="1" ref="CR38" ca="1">IF(BP38,OFFSET(INDIRECT("'"&amp;CR$25&amp;"'!f1"),L38-1,),"")</f>
        <v>#REF!</v>
      </c>
      <c r="CS38" t="e" cm="1">
        <f t="array" aca="1" ref="CS38" ca="1">IF(BQ38,OFFSET(INDIRECT("'"&amp;CS$25&amp;"'!f1"),M38-1,),"")</f>
        <v>#REF!</v>
      </c>
      <c r="CY38" t="e" cm="1">
        <f t="array" aca="1" ref="CY38" ca="1">IF(ISNA(E38),0,OFFSET(INDIRECT("'"&amp;CY$25&amp;"'!g1"),E38-1,)*BI38)</f>
        <v>#REF!</v>
      </c>
      <c r="CZ38" t="e" cm="1">
        <f t="array" aca="1" ref="CZ38" ca="1">IF(ISNA(F38),0,OFFSET(INDIRECT("'"&amp;CZ$25&amp;"'!g1"),F38-1,)*BJ38)</f>
        <v>#REF!</v>
      </c>
      <c r="DA38" t="e" cm="1">
        <f t="array" aca="1" ref="DA38" ca="1">IF(ISNA(G38),0,OFFSET(INDIRECT("'"&amp;DA$25&amp;"'!g1"),G38-1,)*BK38)</f>
        <v>#REF!</v>
      </c>
      <c r="DB38" t="e" cm="1">
        <f t="array" aca="1" ref="DB38" ca="1">IF(ISNA(H38),0,OFFSET(INDIRECT("'"&amp;DB$25&amp;"'!g1"),H38-1,)*BL38)</f>
        <v>#REF!</v>
      </c>
      <c r="DC38" t="e" cm="1">
        <f t="array" aca="1" ref="DC38" ca="1">IF(ISNA(I38),0,OFFSET(INDIRECT("'"&amp;DC$25&amp;"'!g1"),I38-1,)*BM38)</f>
        <v>#REF!</v>
      </c>
      <c r="DD38" t="e" cm="1">
        <f t="array" aca="1" ref="DD38" ca="1">IF(ISNA(J38),0,OFFSET(INDIRECT("'"&amp;DD$25&amp;"'!g1"),J38-1,)*BN38)</f>
        <v>#REF!</v>
      </c>
      <c r="DE38" t="e" cm="1">
        <f t="array" aca="1" ref="DE38" ca="1">IF(ISNA(K38),0,OFFSET(INDIRECT("'"&amp;DE$25&amp;"'!g1"),K38-1,)*BO38)</f>
        <v>#REF!</v>
      </c>
      <c r="DF38" t="e" cm="1">
        <f t="array" aca="1" ref="DF38" ca="1">IF(ISNA(L38),0,OFFSET(INDIRECT("'"&amp;DF$25&amp;"'!g1"),L38-1,)*BP38)</f>
        <v>#REF!</v>
      </c>
      <c r="DG38" t="e" cm="1">
        <f t="array" aca="1" ref="DG38" ca="1">IF(ISNA(M38),0,OFFSET(INDIRECT("'"&amp;DG$25&amp;"'!g1"),M38-1,)*BQ38)</f>
        <v>#REF!</v>
      </c>
      <c r="DM38" s="10" t="e" cm="1">
        <f t="array" aca="1" ref="DM38" ca="1">IF(ISNA(E38),0,OFFSET(INDIRECT("'"&amp;CY$25&amp;"'!h1"),E38-1,))</f>
        <v>#REF!</v>
      </c>
      <c r="DN38" s="10" t="e" cm="1">
        <f t="array" aca="1" ref="DN38" ca="1">IF(ISNA(F38),0,OFFSET(INDIRECT("'"&amp;CZ$25&amp;"'!h1"),F38-1,))</f>
        <v>#REF!</v>
      </c>
      <c r="DO38" s="10" t="e" cm="1">
        <f t="array" aca="1" ref="DO38" ca="1">IF(ISNA(G38),0,OFFSET(INDIRECT("'"&amp;DA$25&amp;"'!h1"),G38-1,))</f>
        <v>#REF!</v>
      </c>
      <c r="DP38" s="10" t="e" cm="1">
        <f t="array" aca="1" ref="DP38" ca="1">IF(ISNA(H38),0,OFFSET(INDIRECT("'"&amp;DB$25&amp;"'!h1"),H38-1,))</f>
        <v>#REF!</v>
      </c>
      <c r="DQ38" s="10" t="e" cm="1">
        <f t="array" aca="1" ref="DQ38" ca="1">IF(ISNA(I38),0,OFFSET(INDIRECT("'"&amp;DC$25&amp;"'!h1"),I38-1,))</f>
        <v>#REF!</v>
      </c>
      <c r="DR38" s="10" t="e" cm="1">
        <f t="array" aca="1" ref="DR38" ca="1">IF(ISNA(J38),0,OFFSET(INDIRECT("'"&amp;DD$25&amp;"'!h1"),J38-1,))</f>
        <v>#REF!</v>
      </c>
      <c r="DS38" s="10" t="e" cm="1">
        <f t="array" aca="1" ref="DS38" ca="1">IF(ISNA(K38),0,OFFSET(INDIRECT("'"&amp;DE$25&amp;"'!h1"),K38-1,))</f>
        <v>#REF!</v>
      </c>
      <c r="DT38" s="10" t="e" cm="1">
        <f t="array" aca="1" ref="DT38" ca="1">IF(ISNA(L38),0,OFFSET(INDIRECT("'"&amp;DF$25&amp;"'!h1"),L38-1,))</f>
        <v>#REF!</v>
      </c>
      <c r="DU38" s="10" t="e" cm="1">
        <f t="array" aca="1" ref="DU38" ca="1">IF(ISNA(M38),0,OFFSET(INDIRECT("'"&amp;DG$25&amp;"'!h1"),M38-1,))</f>
        <v>#REF!</v>
      </c>
      <c r="DV38" s="10"/>
      <c r="DW38" s="10"/>
      <c r="DX38" s="10"/>
      <c r="DY38" s="10"/>
      <c r="EA38" s="11"/>
      <c r="EB38" s="11"/>
      <c r="EC38" s="11"/>
      <c r="ED38" s="11"/>
      <c r="EE38" s="11"/>
      <c r="EF38" s="11"/>
    </row>
    <row r="39" spans="1:136" x14ac:dyDescent="0.2">
      <c r="A39" t="e">
        <f>#REF!</f>
        <v>#REF!</v>
      </c>
      <c r="B39" t="e">
        <f>#REF!</f>
        <v>#REF!</v>
      </c>
      <c r="C39" t="e">
        <f>#REF!</f>
        <v>#REF!</v>
      </c>
      <c r="E39" t="e">
        <f t="shared" ca="1" si="22"/>
        <v>#REF!</v>
      </c>
      <c r="F39" t="e">
        <f t="shared" ca="1" si="22"/>
        <v>#REF!</v>
      </c>
      <c r="G39" t="e">
        <f t="shared" ca="1" si="22"/>
        <v>#REF!</v>
      </c>
      <c r="H39" t="e">
        <f t="shared" ca="1" si="22"/>
        <v>#REF!</v>
      </c>
      <c r="I39" t="e">
        <f t="shared" ca="1" si="22"/>
        <v>#REF!</v>
      </c>
      <c r="J39" t="e">
        <f t="shared" ca="1" si="22"/>
        <v>#REF!</v>
      </c>
      <c r="K39" t="e">
        <f t="shared" ca="1" si="22"/>
        <v>#REF!</v>
      </c>
      <c r="L39" t="e">
        <f t="shared" ca="1" si="22"/>
        <v>#REF!</v>
      </c>
      <c r="M39" t="e">
        <f t="shared" ca="1" si="22"/>
        <v>#REF!</v>
      </c>
      <c r="S39" t="e" cm="1">
        <f t="array" aca="1" ref="S39" ca="1">IF(ISNA(E39),,OFFSET(INDIRECT("'"&amp;S$25&amp;"'!d1"),E39-1,))</f>
        <v>#REF!</v>
      </c>
      <c r="T39" t="e" cm="1">
        <f t="array" aca="1" ref="T39" ca="1">IF(ISNA(F39),,OFFSET(INDIRECT("'"&amp;T$25&amp;"'!d1"),F39-1,))</f>
        <v>#REF!</v>
      </c>
      <c r="U39" t="e" cm="1">
        <f t="array" aca="1" ref="U39" ca="1">IF(ISNA(G39),,OFFSET(INDIRECT("'"&amp;U$25&amp;"'!d1"),G39-1,))</f>
        <v>#REF!</v>
      </c>
      <c r="V39" t="e" cm="1">
        <f t="array" aca="1" ref="V39" ca="1">IF(ISNA(H39),,OFFSET(INDIRECT("'"&amp;V$25&amp;"'!d1"),H39-1,))</f>
        <v>#REF!</v>
      </c>
      <c r="W39" t="e" cm="1">
        <f t="array" aca="1" ref="W39" ca="1">IF(ISNA(I39),,OFFSET(INDIRECT("'"&amp;W$25&amp;"'!d1"),I39-1,))</f>
        <v>#REF!</v>
      </c>
      <c r="X39" t="e" cm="1">
        <f t="array" aca="1" ref="X39" ca="1">IF(ISNA(J39),,OFFSET(INDIRECT("'"&amp;X$25&amp;"'!d1"),J39-1,))</f>
        <v>#REF!</v>
      </c>
      <c r="Y39" t="e" cm="1">
        <f t="array" aca="1" ref="Y39" ca="1">IF(ISNA(K39),,OFFSET(INDIRECT("'"&amp;Y$25&amp;"'!d1"),K39-1,))</f>
        <v>#REF!</v>
      </c>
      <c r="Z39" t="e" cm="1">
        <f t="array" aca="1" ref="Z39" ca="1">IF(ISNA(L39),,OFFSET(INDIRECT("'"&amp;Z$25&amp;"'!d1"),L39-1,))</f>
        <v>#REF!</v>
      </c>
      <c r="AA39" t="e" cm="1">
        <f t="array" aca="1" ref="AA39" ca="1">IF(ISNA(M39),,OFFSET(INDIRECT("'"&amp;AA$25&amp;"'!d1"),M39-1,))</f>
        <v>#REF!</v>
      </c>
      <c r="AG39" t="e">
        <f t="shared" ca="1" si="19"/>
        <v>#REF!</v>
      </c>
      <c r="AH39" t="e">
        <f t="shared" ca="1" si="16"/>
        <v>#REF!</v>
      </c>
      <c r="AI39" t="e">
        <f t="shared" ca="1" si="16"/>
        <v>#REF!</v>
      </c>
      <c r="AJ39" t="e">
        <f t="shared" ca="1" si="16"/>
        <v>#REF!</v>
      </c>
      <c r="AK39" t="e">
        <f t="shared" ca="1" si="16"/>
        <v>#REF!</v>
      </c>
      <c r="AL39" t="e">
        <f t="shared" ca="1" si="16"/>
        <v>#REF!</v>
      </c>
      <c r="AM39" t="e">
        <f t="shared" ca="1" si="16"/>
        <v>#REF!</v>
      </c>
      <c r="AN39" t="e">
        <f t="shared" ca="1" si="16"/>
        <v>#REF!</v>
      </c>
      <c r="AO39" t="e">
        <f t="shared" ca="1" si="16"/>
        <v>#REF!</v>
      </c>
      <c r="AU39" t="e">
        <f t="shared" ca="1" si="20"/>
        <v>#REF!</v>
      </c>
      <c r="AV39" t="e">
        <f t="shared" ca="1" si="17"/>
        <v>#REF!</v>
      </c>
      <c r="AW39" t="e">
        <f t="shared" ca="1" si="17"/>
        <v>#REF!</v>
      </c>
      <c r="AX39" t="e">
        <f t="shared" ca="1" si="17"/>
        <v>#REF!</v>
      </c>
      <c r="AY39" t="e">
        <f t="shared" ca="1" si="17"/>
        <v>#REF!</v>
      </c>
      <c r="AZ39" t="e">
        <f t="shared" ca="1" si="17"/>
        <v>#REF!</v>
      </c>
      <c r="BA39" t="e">
        <f t="shared" ca="1" si="17"/>
        <v>#REF!</v>
      </c>
      <c r="BB39" t="e">
        <f t="shared" ca="1" si="17"/>
        <v>#REF!</v>
      </c>
      <c r="BC39" t="e">
        <f t="shared" ca="1" si="17"/>
        <v>#REF!</v>
      </c>
      <c r="BI39" t="e">
        <f t="shared" ca="1" si="21"/>
        <v>#REF!</v>
      </c>
      <c r="BJ39" t="e">
        <f t="shared" ca="1" si="18"/>
        <v>#REF!</v>
      </c>
      <c r="BK39" t="e">
        <f t="shared" ca="1" si="18"/>
        <v>#REF!</v>
      </c>
      <c r="BL39" t="e">
        <f t="shared" ca="1" si="18"/>
        <v>#REF!</v>
      </c>
      <c r="BM39" t="e">
        <f t="shared" ca="1" si="18"/>
        <v>#REF!</v>
      </c>
      <c r="BN39" t="e">
        <f t="shared" ca="1" si="18"/>
        <v>#REF!</v>
      </c>
      <c r="BO39" t="e">
        <f t="shared" ca="1" si="18"/>
        <v>#REF!</v>
      </c>
      <c r="BP39" t="e">
        <f t="shared" ca="1" si="18"/>
        <v>#REF!</v>
      </c>
      <c r="BQ39" t="e">
        <f t="shared" ca="1" si="18"/>
        <v>#REF!</v>
      </c>
      <c r="BW39" t="e" cm="1">
        <f t="array" aca="1" ref="BW39" ca="1">IF(AG39,OFFSET(INDIRECT("'"&amp;CK$25&amp;"'!f1"),E39-1,),"")</f>
        <v>#REF!</v>
      </c>
      <c r="BX39" t="e" cm="1">
        <f t="array" aca="1" ref="BX39" ca="1">IF(AH39,OFFSET(INDIRECT("'"&amp;CL$25&amp;"'!f1"),F39-1,),"")</f>
        <v>#REF!</v>
      </c>
      <c r="BY39" t="e" cm="1">
        <f t="array" aca="1" ref="BY39" ca="1">IF(AI39,OFFSET(INDIRECT("'"&amp;CM$25&amp;"'!f1"),G39-1,),"")</f>
        <v>#REF!</v>
      </c>
      <c r="BZ39" t="e" cm="1">
        <f t="array" aca="1" ref="BZ39" ca="1">IF(AJ39,OFFSET(INDIRECT("'"&amp;CN$25&amp;"'!f1"),H39-1,),"")</f>
        <v>#REF!</v>
      </c>
      <c r="CA39" t="e" cm="1">
        <f t="array" aca="1" ref="CA39" ca="1">IF(AK39,OFFSET(INDIRECT("'"&amp;CO$25&amp;"'!f1"),I39-1,),"")</f>
        <v>#REF!</v>
      </c>
      <c r="CB39" t="e" cm="1">
        <f t="array" aca="1" ref="CB39" ca="1">IF(AL39,OFFSET(INDIRECT("'"&amp;CP$25&amp;"'!f1"),J39-1,),"")</f>
        <v>#REF!</v>
      </c>
      <c r="CC39" t="e" cm="1">
        <f t="array" aca="1" ref="CC39" ca="1">IF(AM39,OFFSET(INDIRECT("'"&amp;CQ$25&amp;"'!f1"),K39-1,),"")</f>
        <v>#REF!</v>
      </c>
      <c r="CD39" t="e" cm="1">
        <f t="array" aca="1" ref="CD39" ca="1">IF(AN39,OFFSET(INDIRECT("'"&amp;CR$25&amp;"'!f1"),L39-1,),"")</f>
        <v>#REF!</v>
      </c>
      <c r="CE39" t="e" cm="1">
        <f t="array" aca="1" ref="CE39" ca="1">IF(AO39,OFFSET(INDIRECT("'"&amp;CS$25&amp;"'!f1"),M39-1,),"")</f>
        <v>#REF!</v>
      </c>
      <c r="CK39" t="e" cm="1">
        <f t="array" aca="1" ref="CK39" ca="1">IF(BI39,OFFSET(INDIRECT("'"&amp;CK$25&amp;"'!f1"),E39-1,),"")</f>
        <v>#REF!</v>
      </c>
      <c r="CL39" t="e" cm="1">
        <f t="array" aca="1" ref="CL39" ca="1">IF(BJ39,OFFSET(INDIRECT("'"&amp;CL$25&amp;"'!f1"),F39-1,),"")</f>
        <v>#REF!</v>
      </c>
      <c r="CM39" t="e" cm="1">
        <f t="array" aca="1" ref="CM39" ca="1">IF(BK39,OFFSET(INDIRECT("'"&amp;CM$25&amp;"'!f1"),G39-1,),"")</f>
        <v>#REF!</v>
      </c>
      <c r="CN39" t="e" cm="1">
        <f t="array" aca="1" ref="CN39" ca="1">IF(BL39,OFFSET(INDIRECT("'"&amp;CN$25&amp;"'!f1"),H39-1,),"")</f>
        <v>#REF!</v>
      </c>
      <c r="CO39" t="e" cm="1">
        <f t="array" aca="1" ref="CO39" ca="1">IF(BM39,OFFSET(INDIRECT("'"&amp;CO$25&amp;"'!f1"),I39-1,),"")</f>
        <v>#REF!</v>
      </c>
      <c r="CP39" t="e" cm="1">
        <f t="array" aca="1" ref="CP39" ca="1">IF(BN39,OFFSET(INDIRECT("'"&amp;CP$25&amp;"'!f1"),J39-1,),"")</f>
        <v>#REF!</v>
      </c>
      <c r="CQ39" t="e" cm="1">
        <f t="array" aca="1" ref="CQ39" ca="1">IF(BO39,OFFSET(INDIRECT("'"&amp;CQ$25&amp;"'!f1"),K39-1,),"")</f>
        <v>#REF!</v>
      </c>
      <c r="CR39" t="e" cm="1">
        <f t="array" aca="1" ref="CR39" ca="1">IF(BP39,OFFSET(INDIRECT("'"&amp;CR$25&amp;"'!f1"),L39-1,),"")</f>
        <v>#REF!</v>
      </c>
      <c r="CS39" t="e" cm="1">
        <f t="array" aca="1" ref="CS39" ca="1">IF(BQ39,OFFSET(INDIRECT("'"&amp;CS$25&amp;"'!f1"),M39-1,),"")</f>
        <v>#REF!</v>
      </c>
      <c r="CY39" t="e" cm="1">
        <f t="array" aca="1" ref="CY39" ca="1">IF(ISNA(E39),0,OFFSET(INDIRECT("'"&amp;CY$25&amp;"'!g1"),E39-1,)*BI39)</f>
        <v>#REF!</v>
      </c>
      <c r="CZ39" t="e" cm="1">
        <f t="array" aca="1" ref="CZ39" ca="1">IF(ISNA(F39),0,OFFSET(INDIRECT("'"&amp;CZ$25&amp;"'!g1"),F39-1,)*BJ39)</f>
        <v>#REF!</v>
      </c>
      <c r="DA39" t="e" cm="1">
        <f t="array" aca="1" ref="DA39" ca="1">IF(ISNA(G39),0,OFFSET(INDIRECT("'"&amp;DA$25&amp;"'!g1"),G39-1,)*BK39)</f>
        <v>#REF!</v>
      </c>
      <c r="DB39" t="e" cm="1">
        <f t="array" aca="1" ref="DB39" ca="1">IF(ISNA(H39),0,OFFSET(INDIRECT("'"&amp;DB$25&amp;"'!g1"),H39-1,)*BL39)</f>
        <v>#REF!</v>
      </c>
      <c r="DC39" t="e" cm="1">
        <f t="array" aca="1" ref="DC39" ca="1">IF(ISNA(I39),0,OFFSET(INDIRECT("'"&amp;DC$25&amp;"'!g1"),I39-1,)*BM39)</f>
        <v>#REF!</v>
      </c>
      <c r="DD39" t="e" cm="1">
        <f t="array" aca="1" ref="DD39" ca="1">IF(ISNA(J39),0,OFFSET(INDIRECT("'"&amp;DD$25&amp;"'!g1"),J39-1,)*BN39)</f>
        <v>#REF!</v>
      </c>
      <c r="DE39" t="e" cm="1">
        <f t="array" aca="1" ref="DE39" ca="1">IF(ISNA(K39),0,OFFSET(INDIRECT("'"&amp;DE$25&amp;"'!g1"),K39-1,)*BO39)</f>
        <v>#REF!</v>
      </c>
      <c r="DF39" t="e" cm="1">
        <f t="array" aca="1" ref="DF39" ca="1">IF(ISNA(L39),0,OFFSET(INDIRECT("'"&amp;DF$25&amp;"'!g1"),L39-1,)*BP39)</f>
        <v>#REF!</v>
      </c>
      <c r="DG39" t="e" cm="1">
        <f t="array" aca="1" ref="DG39" ca="1">IF(ISNA(M39),0,OFFSET(INDIRECT("'"&amp;DG$25&amp;"'!g1"),M39-1,)*BQ39)</f>
        <v>#REF!</v>
      </c>
      <c r="DM39" s="10" t="e" cm="1">
        <f t="array" aca="1" ref="DM39" ca="1">IF(ISNA(E39),0,OFFSET(INDIRECT("'"&amp;CY$25&amp;"'!h1"),E39-1,))</f>
        <v>#REF!</v>
      </c>
      <c r="DN39" s="10" t="e" cm="1">
        <f t="array" aca="1" ref="DN39" ca="1">IF(ISNA(F39),0,OFFSET(INDIRECT("'"&amp;CZ$25&amp;"'!h1"),F39-1,))</f>
        <v>#REF!</v>
      </c>
      <c r="DO39" s="10" t="e" cm="1">
        <f t="array" aca="1" ref="DO39" ca="1">IF(ISNA(G39),0,OFFSET(INDIRECT("'"&amp;DA$25&amp;"'!h1"),G39-1,))</f>
        <v>#REF!</v>
      </c>
      <c r="DP39" s="10" t="e" cm="1">
        <f t="array" aca="1" ref="DP39" ca="1">IF(ISNA(H39),0,OFFSET(INDIRECT("'"&amp;DB$25&amp;"'!h1"),H39-1,))</f>
        <v>#REF!</v>
      </c>
      <c r="DQ39" s="10" t="e" cm="1">
        <f t="array" aca="1" ref="DQ39" ca="1">IF(ISNA(I39),0,OFFSET(INDIRECT("'"&amp;DC$25&amp;"'!h1"),I39-1,))</f>
        <v>#REF!</v>
      </c>
      <c r="DR39" s="10" t="e" cm="1">
        <f t="array" aca="1" ref="DR39" ca="1">IF(ISNA(J39),0,OFFSET(INDIRECT("'"&amp;DD$25&amp;"'!h1"),J39-1,))</f>
        <v>#REF!</v>
      </c>
      <c r="DS39" s="10" t="e" cm="1">
        <f t="array" aca="1" ref="DS39" ca="1">IF(ISNA(K39),0,OFFSET(INDIRECT("'"&amp;DE$25&amp;"'!h1"),K39-1,))</f>
        <v>#REF!</v>
      </c>
      <c r="DT39" s="10" t="e" cm="1">
        <f t="array" aca="1" ref="DT39" ca="1">IF(ISNA(L39),0,OFFSET(INDIRECT("'"&amp;DF$25&amp;"'!h1"),L39-1,))</f>
        <v>#REF!</v>
      </c>
      <c r="DU39" s="10" t="e" cm="1">
        <f t="array" aca="1" ref="DU39" ca="1">IF(ISNA(M39),0,OFFSET(INDIRECT("'"&amp;DG$25&amp;"'!h1"),M39-1,))</f>
        <v>#REF!</v>
      </c>
      <c r="DV39" s="10"/>
      <c r="DW39" s="10"/>
      <c r="DX39" s="10"/>
      <c r="DY39" s="10"/>
      <c r="EA39" s="11"/>
      <c r="EB39" s="11"/>
      <c r="EC39" s="11"/>
      <c r="ED39" s="11"/>
      <c r="EE39" s="11"/>
      <c r="EF39" s="11"/>
    </row>
    <row r="40" spans="1:136" x14ac:dyDescent="0.2">
      <c r="A40" t="e">
        <f>#REF!</f>
        <v>#REF!</v>
      </c>
      <c r="B40" t="e">
        <f>#REF!</f>
        <v>#REF!</v>
      </c>
      <c r="C40" t="e">
        <f>#REF!</f>
        <v>#REF!</v>
      </c>
      <c r="E40" t="e">
        <f t="shared" ca="1" si="22"/>
        <v>#REF!</v>
      </c>
      <c r="F40" t="e">
        <f t="shared" ca="1" si="22"/>
        <v>#REF!</v>
      </c>
      <c r="G40" t="e">
        <f t="shared" ca="1" si="22"/>
        <v>#REF!</v>
      </c>
      <c r="H40" t="e">
        <f t="shared" ca="1" si="22"/>
        <v>#REF!</v>
      </c>
      <c r="I40" t="e">
        <f t="shared" ca="1" si="22"/>
        <v>#REF!</v>
      </c>
      <c r="J40" t="e">
        <f t="shared" ca="1" si="22"/>
        <v>#REF!</v>
      </c>
      <c r="K40" t="e">
        <f t="shared" ca="1" si="22"/>
        <v>#REF!</v>
      </c>
      <c r="L40" t="e">
        <f t="shared" ca="1" si="22"/>
        <v>#REF!</v>
      </c>
      <c r="M40" t="e">
        <f t="shared" ca="1" si="22"/>
        <v>#REF!</v>
      </c>
      <c r="S40" t="e" cm="1">
        <f t="array" aca="1" ref="S40" ca="1">IF(ISNA(E40),,OFFSET(INDIRECT("'"&amp;S$25&amp;"'!d1"),E40-1,))</f>
        <v>#REF!</v>
      </c>
      <c r="T40" t="e" cm="1">
        <f t="array" aca="1" ref="T40" ca="1">IF(ISNA(F40),,OFFSET(INDIRECT("'"&amp;T$25&amp;"'!d1"),F40-1,))</f>
        <v>#REF!</v>
      </c>
      <c r="U40" t="e" cm="1">
        <f t="array" aca="1" ref="U40" ca="1">IF(ISNA(G40),,OFFSET(INDIRECT("'"&amp;U$25&amp;"'!d1"),G40-1,))</f>
        <v>#REF!</v>
      </c>
      <c r="V40" t="e" cm="1">
        <f t="array" aca="1" ref="V40" ca="1">IF(ISNA(H40),,OFFSET(INDIRECT("'"&amp;V$25&amp;"'!d1"),H40-1,))</f>
        <v>#REF!</v>
      </c>
      <c r="W40" t="e" cm="1">
        <f t="array" aca="1" ref="W40" ca="1">IF(ISNA(I40),,OFFSET(INDIRECT("'"&amp;W$25&amp;"'!d1"),I40-1,))</f>
        <v>#REF!</v>
      </c>
      <c r="X40" t="e" cm="1">
        <f t="array" aca="1" ref="X40" ca="1">IF(ISNA(J40),,OFFSET(INDIRECT("'"&amp;X$25&amp;"'!d1"),J40-1,))</f>
        <v>#REF!</v>
      </c>
      <c r="Y40" t="e" cm="1">
        <f t="array" aca="1" ref="Y40" ca="1">IF(ISNA(K40),,OFFSET(INDIRECT("'"&amp;Y$25&amp;"'!d1"),K40-1,))</f>
        <v>#REF!</v>
      </c>
      <c r="Z40" t="e" cm="1">
        <f t="array" aca="1" ref="Z40" ca="1">IF(ISNA(L40),,OFFSET(INDIRECT("'"&amp;Z$25&amp;"'!d1"),L40-1,))</f>
        <v>#REF!</v>
      </c>
      <c r="AA40" t="e" cm="1">
        <f t="array" aca="1" ref="AA40" ca="1">IF(ISNA(M40),,OFFSET(INDIRECT("'"&amp;AA$25&amp;"'!d1"),M40-1,))</f>
        <v>#REF!</v>
      </c>
      <c r="AG40" t="e">
        <f t="shared" ca="1" si="19"/>
        <v>#REF!</v>
      </c>
      <c r="AH40" t="e">
        <f t="shared" ca="1" si="16"/>
        <v>#REF!</v>
      </c>
      <c r="AI40" t="e">
        <f t="shared" ca="1" si="16"/>
        <v>#REF!</v>
      </c>
      <c r="AJ40" t="e">
        <f t="shared" ca="1" si="16"/>
        <v>#REF!</v>
      </c>
      <c r="AK40" t="e">
        <f t="shared" ca="1" si="16"/>
        <v>#REF!</v>
      </c>
      <c r="AL40" t="e">
        <f t="shared" ca="1" si="16"/>
        <v>#REF!</v>
      </c>
      <c r="AM40" t="e">
        <f t="shared" ca="1" si="16"/>
        <v>#REF!</v>
      </c>
      <c r="AN40" t="e">
        <f t="shared" ca="1" si="16"/>
        <v>#REF!</v>
      </c>
      <c r="AO40" t="e">
        <f t="shared" ca="1" si="16"/>
        <v>#REF!</v>
      </c>
      <c r="AU40" t="e">
        <f t="shared" ca="1" si="20"/>
        <v>#REF!</v>
      </c>
      <c r="AV40" t="e">
        <f t="shared" ca="1" si="17"/>
        <v>#REF!</v>
      </c>
      <c r="AW40" t="e">
        <f t="shared" ca="1" si="17"/>
        <v>#REF!</v>
      </c>
      <c r="AX40" t="e">
        <f t="shared" ca="1" si="17"/>
        <v>#REF!</v>
      </c>
      <c r="AY40" t="e">
        <f t="shared" ca="1" si="17"/>
        <v>#REF!</v>
      </c>
      <c r="AZ40" t="e">
        <f t="shared" ca="1" si="17"/>
        <v>#REF!</v>
      </c>
      <c r="BA40" t="e">
        <f t="shared" ca="1" si="17"/>
        <v>#REF!</v>
      </c>
      <c r="BB40" t="e">
        <f t="shared" ca="1" si="17"/>
        <v>#REF!</v>
      </c>
      <c r="BC40" t="e">
        <f t="shared" ca="1" si="17"/>
        <v>#REF!</v>
      </c>
      <c r="BI40" t="e">
        <f t="shared" ca="1" si="21"/>
        <v>#REF!</v>
      </c>
      <c r="BJ40" t="e">
        <f t="shared" ca="1" si="18"/>
        <v>#REF!</v>
      </c>
      <c r="BK40" t="e">
        <f t="shared" ca="1" si="18"/>
        <v>#REF!</v>
      </c>
      <c r="BL40" t="e">
        <f t="shared" ca="1" si="18"/>
        <v>#REF!</v>
      </c>
      <c r="BM40" t="e">
        <f t="shared" ca="1" si="18"/>
        <v>#REF!</v>
      </c>
      <c r="BN40" t="e">
        <f t="shared" ca="1" si="18"/>
        <v>#REF!</v>
      </c>
      <c r="BO40" t="e">
        <f t="shared" ca="1" si="18"/>
        <v>#REF!</v>
      </c>
      <c r="BP40" t="e">
        <f t="shared" ca="1" si="18"/>
        <v>#REF!</v>
      </c>
      <c r="BQ40" t="e">
        <f t="shared" ca="1" si="18"/>
        <v>#REF!</v>
      </c>
      <c r="BW40" t="e" cm="1">
        <f t="array" aca="1" ref="BW40" ca="1">IF(AG40,OFFSET(INDIRECT("'"&amp;CK$25&amp;"'!f1"),E40-1,),"")</f>
        <v>#REF!</v>
      </c>
      <c r="BX40" t="e" cm="1">
        <f t="array" aca="1" ref="BX40" ca="1">IF(AH40,OFFSET(INDIRECT("'"&amp;CL$25&amp;"'!f1"),F40-1,),"")</f>
        <v>#REF!</v>
      </c>
      <c r="BY40" t="e" cm="1">
        <f t="array" aca="1" ref="BY40" ca="1">IF(AI40,OFFSET(INDIRECT("'"&amp;CM$25&amp;"'!f1"),G40-1,),"")</f>
        <v>#REF!</v>
      </c>
      <c r="BZ40" t="e" cm="1">
        <f t="array" aca="1" ref="BZ40" ca="1">IF(AJ40,OFFSET(INDIRECT("'"&amp;CN$25&amp;"'!f1"),H40-1,),"")</f>
        <v>#REF!</v>
      </c>
      <c r="CA40" t="e" cm="1">
        <f t="array" aca="1" ref="CA40" ca="1">IF(AK40,OFFSET(INDIRECT("'"&amp;CO$25&amp;"'!f1"),I40-1,),"")</f>
        <v>#REF!</v>
      </c>
      <c r="CB40" t="e" cm="1">
        <f t="array" aca="1" ref="CB40" ca="1">IF(AL40,OFFSET(INDIRECT("'"&amp;CP$25&amp;"'!f1"),J40-1,),"")</f>
        <v>#REF!</v>
      </c>
      <c r="CC40" t="e" cm="1">
        <f t="array" aca="1" ref="CC40" ca="1">IF(AM40,OFFSET(INDIRECT("'"&amp;CQ$25&amp;"'!f1"),K40-1,),"")</f>
        <v>#REF!</v>
      </c>
      <c r="CD40" t="e" cm="1">
        <f t="array" aca="1" ref="CD40" ca="1">IF(AN40,OFFSET(INDIRECT("'"&amp;CR$25&amp;"'!f1"),L40-1,),"")</f>
        <v>#REF!</v>
      </c>
      <c r="CE40" t="e" cm="1">
        <f t="array" aca="1" ref="CE40" ca="1">IF(AO40,OFFSET(INDIRECT("'"&amp;CS$25&amp;"'!f1"),M40-1,),"")</f>
        <v>#REF!</v>
      </c>
      <c r="CK40" t="e" cm="1">
        <f t="array" aca="1" ref="CK40" ca="1">IF(BI40,OFFSET(INDIRECT("'"&amp;CK$25&amp;"'!f1"),E40-1,),"")</f>
        <v>#REF!</v>
      </c>
      <c r="CL40" t="e" cm="1">
        <f t="array" aca="1" ref="CL40" ca="1">IF(BJ40,OFFSET(INDIRECT("'"&amp;CL$25&amp;"'!f1"),F40-1,),"")</f>
        <v>#REF!</v>
      </c>
      <c r="CM40" t="e" cm="1">
        <f t="array" aca="1" ref="CM40" ca="1">IF(BK40,OFFSET(INDIRECT("'"&amp;CM$25&amp;"'!f1"),G40-1,),"")</f>
        <v>#REF!</v>
      </c>
      <c r="CN40" t="e" cm="1">
        <f t="array" aca="1" ref="CN40" ca="1">IF(BL40,OFFSET(INDIRECT("'"&amp;CN$25&amp;"'!f1"),H40-1,),"")</f>
        <v>#REF!</v>
      </c>
      <c r="CO40" t="e" cm="1">
        <f t="array" aca="1" ref="CO40" ca="1">IF(BM40,OFFSET(INDIRECT("'"&amp;CO$25&amp;"'!f1"),I40-1,),"")</f>
        <v>#REF!</v>
      </c>
      <c r="CP40" t="e" cm="1">
        <f t="array" aca="1" ref="CP40" ca="1">IF(BN40,OFFSET(INDIRECT("'"&amp;CP$25&amp;"'!f1"),J40-1,),"")</f>
        <v>#REF!</v>
      </c>
      <c r="CQ40" t="e" cm="1">
        <f t="array" aca="1" ref="CQ40" ca="1">IF(BO40,OFFSET(INDIRECT("'"&amp;CQ$25&amp;"'!f1"),K40-1,),"")</f>
        <v>#REF!</v>
      </c>
      <c r="CR40" t="e" cm="1">
        <f t="array" aca="1" ref="CR40" ca="1">IF(BP40,OFFSET(INDIRECT("'"&amp;CR$25&amp;"'!f1"),L40-1,),"")</f>
        <v>#REF!</v>
      </c>
      <c r="CS40" t="e" cm="1">
        <f t="array" aca="1" ref="CS40" ca="1">IF(BQ40,OFFSET(INDIRECT("'"&amp;CS$25&amp;"'!f1"),M40-1,),"")</f>
        <v>#REF!</v>
      </c>
      <c r="CY40" t="e" cm="1">
        <f t="array" aca="1" ref="CY40" ca="1">IF(ISNA(E40),0,OFFSET(INDIRECT("'"&amp;CY$25&amp;"'!g1"),E40-1,)*BI40)</f>
        <v>#REF!</v>
      </c>
      <c r="CZ40" t="e" cm="1">
        <f t="array" aca="1" ref="CZ40" ca="1">IF(ISNA(F40),0,OFFSET(INDIRECT("'"&amp;CZ$25&amp;"'!g1"),F40-1,)*BJ40)</f>
        <v>#REF!</v>
      </c>
      <c r="DA40" t="e" cm="1">
        <f t="array" aca="1" ref="DA40" ca="1">IF(ISNA(G40),0,OFFSET(INDIRECT("'"&amp;DA$25&amp;"'!g1"),G40-1,)*BK40)</f>
        <v>#REF!</v>
      </c>
      <c r="DB40" t="e" cm="1">
        <f t="array" aca="1" ref="DB40" ca="1">IF(ISNA(H40),0,OFFSET(INDIRECT("'"&amp;DB$25&amp;"'!g1"),H40-1,)*BL40)</f>
        <v>#REF!</v>
      </c>
      <c r="DC40" t="e" cm="1">
        <f t="array" aca="1" ref="DC40" ca="1">IF(ISNA(I40),0,OFFSET(INDIRECT("'"&amp;DC$25&amp;"'!g1"),I40-1,)*BM40)</f>
        <v>#REF!</v>
      </c>
      <c r="DD40" t="e" cm="1">
        <f t="array" aca="1" ref="DD40" ca="1">IF(ISNA(J40),0,OFFSET(INDIRECT("'"&amp;DD$25&amp;"'!g1"),J40-1,)*BN40)</f>
        <v>#REF!</v>
      </c>
      <c r="DE40" t="e" cm="1">
        <f t="array" aca="1" ref="DE40" ca="1">IF(ISNA(K40),0,OFFSET(INDIRECT("'"&amp;DE$25&amp;"'!g1"),K40-1,)*BO40)</f>
        <v>#REF!</v>
      </c>
      <c r="DF40" t="e" cm="1">
        <f t="array" aca="1" ref="DF40" ca="1">IF(ISNA(L40),0,OFFSET(INDIRECT("'"&amp;DF$25&amp;"'!g1"),L40-1,)*BP40)</f>
        <v>#REF!</v>
      </c>
      <c r="DG40" t="e" cm="1">
        <f t="array" aca="1" ref="DG40" ca="1">IF(ISNA(M40),0,OFFSET(INDIRECT("'"&amp;DG$25&amp;"'!g1"),M40-1,)*BQ40)</f>
        <v>#REF!</v>
      </c>
      <c r="DM40" s="10" t="e" cm="1">
        <f t="array" aca="1" ref="DM40" ca="1">IF(ISNA(E40),0,OFFSET(INDIRECT("'"&amp;CY$25&amp;"'!h1"),E40-1,))</f>
        <v>#REF!</v>
      </c>
      <c r="DN40" s="10" t="e" cm="1">
        <f t="array" aca="1" ref="DN40" ca="1">IF(ISNA(F40),0,OFFSET(INDIRECT("'"&amp;CZ$25&amp;"'!h1"),F40-1,))</f>
        <v>#REF!</v>
      </c>
      <c r="DO40" s="10" t="e" cm="1">
        <f t="array" aca="1" ref="DO40" ca="1">IF(ISNA(G40),0,OFFSET(INDIRECT("'"&amp;DA$25&amp;"'!h1"),G40-1,))</f>
        <v>#REF!</v>
      </c>
      <c r="DP40" s="10" t="e" cm="1">
        <f t="array" aca="1" ref="DP40" ca="1">IF(ISNA(H40),0,OFFSET(INDIRECT("'"&amp;DB$25&amp;"'!h1"),H40-1,))</f>
        <v>#REF!</v>
      </c>
      <c r="DQ40" s="10" t="e" cm="1">
        <f t="array" aca="1" ref="DQ40" ca="1">IF(ISNA(I40),0,OFFSET(INDIRECT("'"&amp;DC$25&amp;"'!h1"),I40-1,))</f>
        <v>#REF!</v>
      </c>
      <c r="DR40" s="10" t="e" cm="1">
        <f t="array" aca="1" ref="DR40" ca="1">IF(ISNA(J40),0,OFFSET(INDIRECT("'"&amp;DD$25&amp;"'!h1"),J40-1,))</f>
        <v>#REF!</v>
      </c>
      <c r="DS40" s="10" t="e" cm="1">
        <f t="array" aca="1" ref="DS40" ca="1">IF(ISNA(K40),0,OFFSET(INDIRECT("'"&amp;DE$25&amp;"'!h1"),K40-1,))</f>
        <v>#REF!</v>
      </c>
      <c r="DT40" s="10" t="e" cm="1">
        <f t="array" aca="1" ref="DT40" ca="1">IF(ISNA(L40),0,OFFSET(INDIRECT("'"&amp;DF$25&amp;"'!h1"),L40-1,))</f>
        <v>#REF!</v>
      </c>
      <c r="DU40" s="10" t="e" cm="1">
        <f t="array" aca="1" ref="DU40" ca="1">IF(ISNA(M40),0,OFFSET(INDIRECT("'"&amp;DG$25&amp;"'!h1"),M40-1,))</f>
        <v>#REF!</v>
      </c>
      <c r="DV40" s="10"/>
      <c r="DW40" s="10"/>
      <c r="DX40" s="10"/>
      <c r="DY40" s="10"/>
      <c r="EA40" s="11"/>
      <c r="EB40" s="11"/>
      <c r="EC40" s="11"/>
      <c r="ED40" s="11"/>
      <c r="EE40" s="11"/>
      <c r="EF40" s="11"/>
    </row>
    <row r="41" spans="1:136" x14ac:dyDescent="0.2">
      <c r="A41" t="e">
        <f>#REF!</f>
        <v>#REF!</v>
      </c>
      <c r="B41" t="e">
        <f>#REF!</f>
        <v>#REF!</v>
      </c>
      <c r="C41" t="e">
        <f>#REF!</f>
        <v>#REF!</v>
      </c>
      <c r="E41" t="e">
        <f t="shared" ca="1" si="22"/>
        <v>#REF!</v>
      </c>
      <c r="F41" t="e">
        <f t="shared" ca="1" si="22"/>
        <v>#REF!</v>
      </c>
      <c r="G41" t="e">
        <f t="shared" ca="1" si="22"/>
        <v>#REF!</v>
      </c>
      <c r="H41" t="e">
        <f t="shared" ca="1" si="22"/>
        <v>#REF!</v>
      </c>
      <c r="I41" t="e">
        <f t="shared" ca="1" si="22"/>
        <v>#REF!</v>
      </c>
      <c r="J41" t="e">
        <f t="shared" ca="1" si="22"/>
        <v>#REF!</v>
      </c>
      <c r="K41" t="e">
        <f t="shared" ca="1" si="22"/>
        <v>#REF!</v>
      </c>
      <c r="L41" t="e">
        <f t="shared" ca="1" si="22"/>
        <v>#REF!</v>
      </c>
      <c r="M41" t="e">
        <f t="shared" ca="1" si="22"/>
        <v>#REF!</v>
      </c>
      <c r="S41" t="e" cm="1">
        <f t="array" aca="1" ref="S41" ca="1">IF(ISNA(E41),,OFFSET(INDIRECT("'"&amp;S$25&amp;"'!d1"),E41-1,))</f>
        <v>#REF!</v>
      </c>
      <c r="T41" t="e" cm="1">
        <f t="array" aca="1" ref="T41" ca="1">IF(ISNA(F41),,OFFSET(INDIRECT("'"&amp;T$25&amp;"'!d1"),F41-1,))</f>
        <v>#REF!</v>
      </c>
      <c r="U41" t="e" cm="1">
        <f t="array" aca="1" ref="U41" ca="1">IF(ISNA(G41),,OFFSET(INDIRECT("'"&amp;U$25&amp;"'!d1"),G41-1,))</f>
        <v>#REF!</v>
      </c>
      <c r="V41" t="e" cm="1">
        <f t="array" aca="1" ref="V41" ca="1">IF(ISNA(H41),,OFFSET(INDIRECT("'"&amp;V$25&amp;"'!d1"),H41-1,))</f>
        <v>#REF!</v>
      </c>
      <c r="W41" t="e" cm="1">
        <f t="array" aca="1" ref="W41" ca="1">IF(ISNA(I41),,OFFSET(INDIRECT("'"&amp;W$25&amp;"'!d1"),I41-1,))</f>
        <v>#REF!</v>
      </c>
      <c r="X41" t="e" cm="1">
        <f t="array" aca="1" ref="X41" ca="1">IF(ISNA(J41),,OFFSET(INDIRECT("'"&amp;X$25&amp;"'!d1"),J41-1,))</f>
        <v>#REF!</v>
      </c>
      <c r="Y41" t="e" cm="1">
        <f t="array" aca="1" ref="Y41" ca="1">IF(ISNA(K41),,OFFSET(INDIRECT("'"&amp;Y$25&amp;"'!d1"),K41-1,))</f>
        <v>#REF!</v>
      </c>
      <c r="Z41" t="e" cm="1">
        <f t="array" aca="1" ref="Z41" ca="1">IF(ISNA(L41),,OFFSET(INDIRECT("'"&amp;Z$25&amp;"'!d1"),L41-1,))</f>
        <v>#REF!</v>
      </c>
      <c r="AA41" t="e" cm="1">
        <f t="array" aca="1" ref="AA41" ca="1">IF(ISNA(M41),,OFFSET(INDIRECT("'"&amp;AA$25&amp;"'!d1"),M41-1,))</f>
        <v>#REF!</v>
      </c>
      <c r="AG41" t="e">
        <f t="shared" ca="1" si="19"/>
        <v>#REF!</v>
      </c>
      <c r="AH41" t="e">
        <f t="shared" ca="1" si="16"/>
        <v>#REF!</v>
      </c>
      <c r="AI41" t="e">
        <f t="shared" ca="1" si="16"/>
        <v>#REF!</v>
      </c>
      <c r="AJ41" t="e">
        <f t="shared" ca="1" si="16"/>
        <v>#REF!</v>
      </c>
      <c r="AK41" t="e">
        <f t="shared" ca="1" si="16"/>
        <v>#REF!</v>
      </c>
      <c r="AL41" t="e">
        <f t="shared" ca="1" si="16"/>
        <v>#REF!</v>
      </c>
      <c r="AM41" t="e">
        <f t="shared" ca="1" si="16"/>
        <v>#REF!</v>
      </c>
      <c r="AN41" t="e">
        <f t="shared" ca="1" si="16"/>
        <v>#REF!</v>
      </c>
      <c r="AO41" t="e">
        <f t="shared" ca="1" si="16"/>
        <v>#REF!</v>
      </c>
      <c r="AU41" t="e">
        <f t="shared" ca="1" si="20"/>
        <v>#REF!</v>
      </c>
      <c r="AV41" t="e">
        <f t="shared" ca="1" si="17"/>
        <v>#REF!</v>
      </c>
      <c r="AW41" t="e">
        <f t="shared" ca="1" si="17"/>
        <v>#REF!</v>
      </c>
      <c r="AX41" t="e">
        <f t="shared" ca="1" si="17"/>
        <v>#REF!</v>
      </c>
      <c r="AY41" t="e">
        <f t="shared" ca="1" si="17"/>
        <v>#REF!</v>
      </c>
      <c r="AZ41" t="e">
        <f t="shared" ca="1" si="17"/>
        <v>#REF!</v>
      </c>
      <c r="BA41" t="e">
        <f t="shared" ca="1" si="17"/>
        <v>#REF!</v>
      </c>
      <c r="BB41" t="e">
        <f t="shared" ca="1" si="17"/>
        <v>#REF!</v>
      </c>
      <c r="BC41" t="e">
        <f t="shared" ca="1" si="17"/>
        <v>#REF!</v>
      </c>
      <c r="BI41" t="e">
        <f t="shared" ca="1" si="21"/>
        <v>#REF!</v>
      </c>
      <c r="BJ41" t="e">
        <f t="shared" ca="1" si="18"/>
        <v>#REF!</v>
      </c>
      <c r="BK41" t="e">
        <f t="shared" ca="1" si="18"/>
        <v>#REF!</v>
      </c>
      <c r="BL41" t="e">
        <f t="shared" ca="1" si="18"/>
        <v>#REF!</v>
      </c>
      <c r="BM41" t="e">
        <f t="shared" ca="1" si="18"/>
        <v>#REF!</v>
      </c>
      <c r="BN41" t="e">
        <f t="shared" ca="1" si="18"/>
        <v>#REF!</v>
      </c>
      <c r="BO41" t="e">
        <f t="shared" ca="1" si="18"/>
        <v>#REF!</v>
      </c>
      <c r="BP41" t="e">
        <f t="shared" ca="1" si="18"/>
        <v>#REF!</v>
      </c>
      <c r="BQ41" t="e">
        <f t="shared" ca="1" si="18"/>
        <v>#REF!</v>
      </c>
      <c r="BW41" t="e" cm="1">
        <f t="array" aca="1" ref="BW41" ca="1">IF(AG41,OFFSET(INDIRECT("'"&amp;CK$25&amp;"'!f1"),E41-1,),"")</f>
        <v>#REF!</v>
      </c>
      <c r="BX41" t="e" cm="1">
        <f t="array" aca="1" ref="BX41" ca="1">IF(AH41,OFFSET(INDIRECT("'"&amp;CL$25&amp;"'!f1"),F41-1,),"")</f>
        <v>#REF!</v>
      </c>
      <c r="BY41" t="e" cm="1">
        <f t="array" aca="1" ref="BY41" ca="1">IF(AI41,OFFSET(INDIRECT("'"&amp;CM$25&amp;"'!f1"),G41-1,),"")</f>
        <v>#REF!</v>
      </c>
      <c r="BZ41" t="e" cm="1">
        <f t="array" aca="1" ref="BZ41" ca="1">IF(AJ41,OFFSET(INDIRECT("'"&amp;CN$25&amp;"'!f1"),H41-1,),"")</f>
        <v>#REF!</v>
      </c>
      <c r="CA41" t="e" cm="1">
        <f t="array" aca="1" ref="CA41" ca="1">IF(AK41,OFFSET(INDIRECT("'"&amp;CO$25&amp;"'!f1"),I41-1,),"")</f>
        <v>#REF!</v>
      </c>
      <c r="CB41" t="e" cm="1">
        <f t="array" aca="1" ref="CB41" ca="1">IF(AL41,OFFSET(INDIRECT("'"&amp;CP$25&amp;"'!f1"),J41-1,),"")</f>
        <v>#REF!</v>
      </c>
      <c r="CC41" t="e" cm="1">
        <f t="array" aca="1" ref="CC41" ca="1">IF(AM41,OFFSET(INDIRECT("'"&amp;CQ$25&amp;"'!f1"),K41-1,),"")</f>
        <v>#REF!</v>
      </c>
      <c r="CD41" t="e" cm="1">
        <f t="array" aca="1" ref="CD41" ca="1">IF(AN41,OFFSET(INDIRECT("'"&amp;CR$25&amp;"'!f1"),L41-1,),"")</f>
        <v>#REF!</v>
      </c>
      <c r="CE41" t="e" cm="1">
        <f t="array" aca="1" ref="CE41" ca="1">IF(AO41,OFFSET(INDIRECT("'"&amp;CS$25&amp;"'!f1"),M41-1,),"")</f>
        <v>#REF!</v>
      </c>
      <c r="CK41" t="e" cm="1">
        <f t="array" aca="1" ref="CK41" ca="1">IF(BI41,OFFSET(INDIRECT("'"&amp;CK$25&amp;"'!f1"),E41-1,),"")</f>
        <v>#REF!</v>
      </c>
      <c r="CL41" t="e" cm="1">
        <f t="array" aca="1" ref="CL41" ca="1">IF(BJ41,OFFSET(INDIRECT("'"&amp;CL$25&amp;"'!f1"),F41-1,),"")</f>
        <v>#REF!</v>
      </c>
      <c r="CM41" t="e" cm="1">
        <f t="array" aca="1" ref="CM41" ca="1">IF(BK41,OFFSET(INDIRECT("'"&amp;CM$25&amp;"'!f1"),G41-1,),"")</f>
        <v>#REF!</v>
      </c>
      <c r="CN41" t="e" cm="1">
        <f t="array" aca="1" ref="CN41" ca="1">IF(BL41,OFFSET(INDIRECT("'"&amp;CN$25&amp;"'!f1"),H41-1,),"")</f>
        <v>#REF!</v>
      </c>
      <c r="CO41" t="e" cm="1">
        <f t="array" aca="1" ref="CO41" ca="1">IF(BM41,OFFSET(INDIRECT("'"&amp;CO$25&amp;"'!f1"),I41-1,),"")</f>
        <v>#REF!</v>
      </c>
      <c r="CP41" t="e" cm="1">
        <f t="array" aca="1" ref="CP41" ca="1">IF(BN41,OFFSET(INDIRECT("'"&amp;CP$25&amp;"'!f1"),J41-1,),"")</f>
        <v>#REF!</v>
      </c>
      <c r="CQ41" t="e" cm="1">
        <f t="array" aca="1" ref="CQ41" ca="1">IF(BO41,OFFSET(INDIRECT("'"&amp;CQ$25&amp;"'!f1"),K41-1,),"")</f>
        <v>#REF!</v>
      </c>
      <c r="CR41" t="e" cm="1">
        <f t="array" aca="1" ref="CR41" ca="1">IF(BP41,OFFSET(INDIRECT("'"&amp;CR$25&amp;"'!f1"),L41-1,),"")</f>
        <v>#REF!</v>
      </c>
      <c r="CS41" t="e" cm="1">
        <f t="array" aca="1" ref="CS41" ca="1">IF(BQ41,OFFSET(INDIRECT("'"&amp;CS$25&amp;"'!f1"),M41-1,),"")</f>
        <v>#REF!</v>
      </c>
      <c r="CY41" t="e" cm="1">
        <f t="array" aca="1" ref="CY41" ca="1">IF(ISNA(E41),0,OFFSET(INDIRECT("'"&amp;CY$25&amp;"'!g1"),E41-1,)*BI41)</f>
        <v>#REF!</v>
      </c>
      <c r="CZ41" t="e" cm="1">
        <f t="array" aca="1" ref="CZ41" ca="1">IF(ISNA(F41),0,OFFSET(INDIRECT("'"&amp;CZ$25&amp;"'!g1"),F41-1,)*BJ41)</f>
        <v>#REF!</v>
      </c>
      <c r="DA41" t="e" cm="1">
        <f t="array" aca="1" ref="DA41" ca="1">IF(ISNA(G41),0,OFFSET(INDIRECT("'"&amp;DA$25&amp;"'!g1"),G41-1,)*BK41)</f>
        <v>#REF!</v>
      </c>
      <c r="DB41" t="e" cm="1">
        <f t="array" aca="1" ref="DB41" ca="1">IF(ISNA(H41),0,OFFSET(INDIRECT("'"&amp;DB$25&amp;"'!g1"),H41-1,)*BL41)</f>
        <v>#REF!</v>
      </c>
      <c r="DC41" t="e" cm="1">
        <f t="array" aca="1" ref="DC41" ca="1">IF(ISNA(I41),0,OFFSET(INDIRECT("'"&amp;DC$25&amp;"'!g1"),I41-1,)*BM41)</f>
        <v>#REF!</v>
      </c>
      <c r="DD41" t="e" cm="1">
        <f t="array" aca="1" ref="DD41" ca="1">IF(ISNA(J41),0,OFFSET(INDIRECT("'"&amp;DD$25&amp;"'!g1"),J41-1,)*BN41)</f>
        <v>#REF!</v>
      </c>
      <c r="DE41" t="e" cm="1">
        <f t="array" aca="1" ref="DE41" ca="1">IF(ISNA(K41),0,OFFSET(INDIRECT("'"&amp;DE$25&amp;"'!g1"),K41-1,)*BO41)</f>
        <v>#REF!</v>
      </c>
      <c r="DF41" t="e" cm="1">
        <f t="array" aca="1" ref="DF41" ca="1">IF(ISNA(L41),0,OFFSET(INDIRECT("'"&amp;DF$25&amp;"'!g1"),L41-1,)*BP41)</f>
        <v>#REF!</v>
      </c>
      <c r="DG41" t="e" cm="1">
        <f t="array" aca="1" ref="DG41" ca="1">IF(ISNA(M41),0,OFFSET(INDIRECT("'"&amp;DG$25&amp;"'!g1"),M41-1,)*BQ41)</f>
        <v>#REF!</v>
      </c>
      <c r="DM41" s="10" t="e" cm="1">
        <f t="array" aca="1" ref="DM41" ca="1">IF(ISNA(E41),0,OFFSET(INDIRECT("'"&amp;CY$25&amp;"'!h1"),E41-1,))</f>
        <v>#REF!</v>
      </c>
      <c r="DN41" s="10" t="e" cm="1">
        <f t="array" aca="1" ref="DN41" ca="1">IF(ISNA(F41),0,OFFSET(INDIRECT("'"&amp;CZ$25&amp;"'!h1"),F41-1,))</f>
        <v>#REF!</v>
      </c>
      <c r="DO41" s="10" t="e" cm="1">
        <f t="array" aca="1" ref="DO41" ca="1">IF(ISNA(G41),0,OFFSET(INDIRECT("'"&amp;DA$25&amp;"'!h1"),G41-1,))</f>
        <v>#REF!</v>
      </c>
      <c r="DP41" s="10" t="e" cm="1">
        <f t="array" aca="1" ref="DP41" ca="1">IF(ISNA(H41),0,OFFSET(INDIRECT("'"&amp;DB$25&amp;"'!h1"),H41-1,))</f>
        <v>#REF!</v>
      </c>
      <c r="DQ41" s="10" t="e" cm="1">
        <f t="array" aca="1" ref="DQ41" ca="1">IF(ISNA(I41),0,OFFSET(INDIRECT("'"&amp;DC$25&amp;"'!h1"),I41-1,))</f>
        <v>#REF!</v>
      </c>
      <c r="DR41" s="10" t="e" cm="1">
        <f t="array" aca="1" ref="DR41" ca="1">IF(ISNA(J41),0,OFFSET(INDIRECT("'"&amp;DD$25&amp;"'!h1"),J41-1,))</f>
        <v>#REF!</v>
      </c>
      <c r="DS41" s="10" t="e" cm="1">
        <f t="array" aca="1" ref="DS41" ca="1">IF(ISNA(K41),0,OFFSET(INDIRECT("'"&amp;DE$25&amp;"'!h1"),K41-1,))</f>
        <v>#REF!</v>
      </c>
      <c r="DT41" s="10" t="e" cm="1">
        <f t="array" aca="1" ref="DT41" ca="1">IF(ISNA(L41),0,OFFSET(INDIRECT("'"&amp;DF$25&amp;"'!h1"),L41-1,))</f>
        <v>#REF!</v>
      </c>
      <c r="DU41" s="10" t="e" cm="1">
        <f t="array" aca="1" ref="DU41" ca="1">IF(ISNA(M41),0,OFFSET(INDIRECT("'"&amp;DG$25&amp;"'!h1"),M41-1,))</f>
        <v>#REF!</v>
      </c>
      <c r="DV41" s="10"/>
      <c r="DW41" s="10"/>
      <c r="DX41" s="10"/>
      <c r="DY41" s="10"/>
      <c r="EA41" s="11"/>
      <c r="EB41" s="11"/>
      <c r="EC41" s="11"/>
      <c r="ED41" s="11"/>
      <c r="EE41" s="11"/>
      <c r="EF41" s="11"/>
    </row>
    <row r="42" spans="1:136" x14ac:dyDescent="0.2">
      <c r="A42" t="e">
        <f>#REF!</f>
        <v>#REF!</v>
      </c>
      <c r="B42" t="e">
        <f>#REF!</f>
        <v>#REF!</v>
      </c>
      <c r="C42" t="e">
        <f>#REF!</f>
        <v>#REF!</v>
      </c>
      <c r="E42" t="e">
        <f t="shared" ca="1" si="22"/>
        <v>#REF!</v>
      </c>
      <c r="F42" t="e">
        <f t="shared" ca="1" si="22"/>
        <v>#REF!</v>
      </c>
      <c r="G42" t="e">
        <f t="shared" ca="1" si="22"/>
        <v>#REF!</v>
      </c>
      <c r="H42" t="e">
        <f t="shared" ca="1" si="22"/>
        <v>#REF!</v>
      </c>
      <c r="I42" t="e">
        <f t="shared" ca="1" si="22"/>
        <v>#REF!</v>
      </c>
      <c r="J42" t="e">
        <f t="shared" ca="1" si="22"/>
        <v>#REF!</v>
      </c>
      <c r="K42" t="e">
        <f t="shared" ca="1" si="22"/>
        <v>#REF!</v>
      </c>
      <c r="L42" t="e">
        <f t="shared" ca="1" si="22"/>
        <v>#REF!</v>
      </c>
      <c r="M42" t="e">
        <f t="shared" ca="1" si="22"/>
        <v>#REF!</v>
      </c>
      <c r="S42" t="e" cm="1">
        <f t="array" aca="1" ref="S42" ca="1">IF(ISNA(E42),,OFFSET(INDIRECT("'"&amp;S$25&amp;"'!d1"),E42-1,))</f>
        <v>#REF!</v>
      </c>
      <c r="T42" t="e" cm="1">
        <f t="array" aca="1" ref="T42" ca="1">IF(ISNA(F42),,OFFSET(INDIRECT("'"&amp;T$25&amp;"'!d1"),F42-1,))</f>
        <v>#REF!</v>
      </c>
      <c r="U42" t="e" cm="1">
        <f t="array" aca="1" ref="U42" ca="1">IF(ISNA(G42),,OFFSET(INDIRECT("'"&amp;U$25&amp;"'!d1"),G42-1,))</f>
        <v>#REF!</v>
      </c>
      <c r="V42" t="e" cm="1">
        <f t="array" aca="1" ref="V42" ca="1">IF(ISNA(H42),,OFFSET(INDIRECT("'"&amp;V$25&amp;"'!d1"),H42-1,))</f>
        <v>#REF!</v>
      </c>
      <c r="W42" t="e" cm="1">
        <f t="array" aca="1" ref="W42" ca="1">IF(ISNA(I42),,OFFSET(INDIRECT("'"&amp;W$25&amp;"'!d1"),I42-1,))</f>
        <v>#REF!</v>
      </c>
      <c r="X42" t="e" cm="1">
        <f t="array" aca="1" ref="X42" ca="1">IF(ISNA(J42),,OFFSET(INDIRECT("'"&amp;X$25&amp;"'!d1"),J42-1,))</f>
        <v>#REF!</v>
      </c>
      <c r="Y42" t="e" cm="1">
        <f t="array" aca="1" ref="Y42" ca="1">IF(ISNA(K42),,OFFSET(INDIRECT("'"&amp;Y$25&amp;"'!d1"),K42-1,))</f>
        <v>#REF!</v>
      </c>
      <c r="Z42" t="e" cm="1">
        <f t="array" aca="1" ref="Z42" ca="1">IF(ISNA(L42),,OFFSET(INDIRECT("'"&amp;Z$25&amp;"'!d1"),L42-1,))</f>
        <v>#REF!</v>
      </c>
      <c r="AA42" t="e" cm="1">
        <f t="array" aca="1" ref="AA42" ca="1">IF(ISNA(M42),,OFFSET(INDIRECT("'"&amp;AA$25&amp;"'!d1"),M42-1,))</f>
        <v>#REF!</v>
      </c>
      <c r="AG42" t="e">
        <f t="shared" ca="1" si="19"/>
        <v>#REF!</v>
      </c>
      <c r="AH42" t="e">
        <f t="shared" ca="1" si="19"/>
        <v>#REF!</v>
      </c>
      <c r="AI42" t="e">
        <f t="shared" ca="1" si="19"/>
        <v>#REF!</v>
      </c>
      <c r="AJ42" t="e">
        <f t="shared" ca="1" si="19"/>
        <v>#REF!</v>
      </c>
      <c r="AK42" t="e">
        <f t="shared" ca="1" si="19"/>
        <v>#REF!</v>
      </c>
      <c r="AL42" t="e">
        <f t="shared" ca="1" si="19"/>
        <v>#REF!</v>
      </c>
      <c r="AM42" t="e">
        <f t="shared" ca="1" si="19"/>
        <v>#REF!</v>
      </c>
      <c r="AN42" t="e">
        <f t="shared" ca="1" si="19"/>
        <v>#REF!</v>
      </c>
      <c r="AO42" t="e">
        <f t="shared" ca="1" si="19"/>
        <v>#REF!</v>
      </c>
      <c r="AU42" t="e">
        <f t="shared" ca="1" si="20"/>
        <v>#REF!</v>
      </c>
      <c r="AV42" t="e">
        <f t="shared" ca="1" si="20"/>
        <v>#REF!</v>
      </c>
      <c r="AW42" t="e">
        <f t="shared" ca="1" si="20"/>
        <v>#REF!</v>
      </c>
      <c r="AX42" t="e">
        <f t="shared" ca="1" si="20"/>
        <v>#REF!</v>
      </c>
      <c r="AY42" t="e">
        <f t="shared" ca="1" si="20"/>
        <v>#REF!</v>
      </c>
      <c r="AZ42" t="e">
        <f t="shared" ca="1" si="20"/>
        <v>#REF!</v>
      </c>
      <c r="BA42" t="e">
        <f t="shared" ca="1" si="20"/>
        <v>#REF!</v>
      </c>
      <c r="BB42" t="e">
        <f t="shared" ca="1" si="20"/>
        <v>#REF!</v>
      </c>
      <c r="BC42" t="e">
        <f t="shared" ca="1" si="20"/>
        <v>#REF!</v>
      </c>
      <c r="BI42" t="e">
        <f t="shared" ca="1" si="21"/>
        <v>#REF!</v>
      </c>
      <c r="BJ42" t="e">
        <f t="shared" ca="1" si="21"/>
        <v>#REF!</v>
      </c>
      <c r="BK42" t="e">
        <f t="shared" ca="1" si="21"/>
        <v>#REF!</v>
      </c>
      <c r="BL42" t="e">
        <f t="shared" ca="1" si="21"/>
        <v>#REF!</v>
      </c>
      <c r="BM42" t="e">
        <f t="shared" ca="1" si="21"/>
        <v>#REF!</v>
      </c>
      <c r="BN42" t="e">
        <f t="shared" ca="1" si="21"/>
        <v>#REF!</v>
      </c>
      <c r="BO42" t="e">
        <f t="shared" ca="1" si="21"/>
        <v>#REF!</v>
      </c>
      <c r="BP42" t="e">
        <f t="shared" ca="1" si="21"/>
        <v>#REF!</v>
      </c>
      <c r="BQ42" t="e">
        <f t="shared" ca="1" si="21"/>
        <v>#REF!</v>
      </c>
      <c r="BW42" t="e" cm="1">
        <f t="array" aca="1" ref="BW42" ca="1">IF(AG42,OFFSET(INDIRECT("'"&amp;CK$25&amp;"'!f1"),E42-1,),"")</f>
        <v>#REF!</v>
      </c>
      <c r="BX42" t="e" cm="1">
        <f t="array" aca="1" ref="BX42" ca="1">IF(AH42,OFFSET(INDIRECT("'"&amp;CL$25&amp;"'!f1"),F42-1,),"")</f>
        <v>#REF!</v>
      </c>
      <c r="BY42" t="e" cm="1">
        <f t="array" aca="1" ref="BY42" ca="1">IF(AI42,OFFSET(INDIRECT("'"&amp;CM$25&amp;"'!f1"),G42-1,),"")</f>
        <v>#REF!</v>
      </c>
      <c r="BZ42" t="e" cm="1">
        <f t="array" aca="1" ref="BZ42" ca="1">IF(AJ42,OFFSET(INDIRECT("'"&amp;CN$25&amp;"'!f1"),H42-1,),"")</f>
        <v>#REF!</v>
      </c>
      <c r="CA42" t="e" cm="1">
        <f t="array" aca="1" ref="CA42" ca="1">IF(AK42,OFFSET(INDIRECT("'"&amp;CO$25&amp;"'!f1"),I42-1,),"")</f>
        <v>#REF!</v>
      </c>
      <c r="CB42" t="e" cm="1">
        <f t="array" aca="1" ref="CB42" ca="1">IF(AL42,OFFSET(INDIRECT("'"&amp;CP$25&amp;"'!f1"),J42-1,),"")</f>
        <v>#REF!</v>
      </c>
      <c r="CC42" t="e" cm="1">
        <f t="array" aca="1" ref="CC42" ca="1">IF(AM42,OFFSET(INDIRECT("'"&amp;CQ$25&amp;"'!f1"),K42-1,),"")</f>
        <v>#REF!</v>
      </c>
      <c r="CD42" t="e" cm="1">
        <f t="array" aca="1" ref="CD42" ca="1">IF(AN42,OFFSET(INDIRECT("'"&amp;CR$25&amp;"'!f1"),L42-1,),"")</f>
        <v>#REF!</v>
      </c>
      <c r="CE42" t="e" cm="1">
        <f t="array" aca="1" ref="CE42" ca="1">IF(AO42,OFFSET(INDIRECT("'"&amp;CS$25&amp;"'!f1"),M42-1,),"")</f>
        <v>#REF!</v>
      </c>
      <c r="CK42" t="e" cm="1">
        <f t="array" aca="1" ref="CK42" ca="1">IF(BI42,OFFSET(INDIRECT("'"&amp;CK$25&amp;"'!f1"),E42-1,),"")</f>
        <v>#REF!</v>
      </c>
      <c r="CL42" t="e" cm="1">
        <f t="array" aca="1" ref="CL42" ca="1">IF(BJ42,OFFSET(INDIRECT("'"&amp;CL$25&amp;"'!f1"),F42-1,),"")</f>
        <v>#REF!</v>
      </c>
      <c r="CM42" t="e" cm="1">
        <f t="array" aca="1" ref="CM42" ca="1">IF(BK42,OFFSET(INDIRECT("'"&amp;CM$25&amp;"'!f1"),G42-1,),"")</f>
        <v>#REF!</v>
      </c>
      <c r="CN42" t="e" cm="1">
        <f t="array" aca="1" ref="CN42" ca="1">IF(BL42,OFFSET(INDIRECT("'"&amp;CN$25&amp;"'!f1"),H42-1,),"")</f>
        <v>#REF!</v>
      </c>
      <c r="CO42" t="e" cm="1">
        <f t="array" aca="1" ref="CO42" ca="1">IF(BM42,OFFSET(INDIRECT("'"&amp;CO$25&amp;"'!f1"),I42-1,),"")</f>
        <v>#REF!</v>
      </c>
      <c r="CP42" t="e" cm="1">
        <f t="array" aca="1" ref="CP42" ca="1">IF(BN42,OFFSET(INDIRECT("'"&amp;CP$25&amp;"'!f1"),J42-1,),"")</f>
        <v>#REF!</v>
      </c>
      <c r="CQ42" t="e" cm="1">
        <f t="array" aca="1" ref="CQ42" ca="1">IF(BO42,OFFSET(INDIRECT("'"&amp;CQ$25&amp;"'!f1"),K42-1,),"")</f>
        <v>#REF!</v>
      </c>
      <c r="CR42" t="e" cm="1">
        <f t="array" aca="1" ref="CR42" ca="1">IF(BP42,OFFSET(INDIRECT("'"&amp;CR$25&amp;"'!f1"),L42-1,),"")</f>
        <v>#REF!</v>
      </c>
      <c r="CS42" t="e" cm="1">
        <f t="array" aca="1" ref="CS42" ca="1">IF(BQ42,OFFSET(INDIRECT("'"&amp;CS$25&amp;"'!f1"),M42-1,),"")</f>
        <v>#REF!</v>
      </c>
      <c r="CY42" t="e" cm="1">
        <f t="array" aca="1" ref="CY42" ca="1">IF(ISNA(E42),0,OFFSET(INDIRECT("'"&amp;CY$25&amp;"'!g1"),E42-1,)*BI42)</f>
        <v>#REF!</v>
      </c>
      <c r="CZ42" t="e" cm="1">
        <f t="array" aca="1" ref="CZ42" ca="1">IF(ISNA(F42),0,OFFSET(INDIRECT("'"&amp;CZ$25&amp;"'!g1"),F42-1,)*BJ42)</f>
        <v>#REF!</v>
      </c>
      <c r="DA42" t="e" cm="1">
        <f t="array" aca="1" ref="DA42" ca="1">IF(ISNA(G42),0,OFFSET(INDIRECT("'"&amp;DA$25&amp;"'!g1"),G42-1,)*BK42)</f>
        <v>#REF!</v>
      </c>
      <c r="DB42" t="e" cm="1">
        <f t="array" aca="1" ref="DB42" ca="1">IF(ISNA(H42),0,OFFSET(INDIRECT("'"&amp;DB$25&amp;"'!g1"),H42-1,)*BL42)</f>
        <v>#REF!</v>
      </c>
      <c r="DC42" t="e" cm="1">
        <f t="array" aca="1" ref="DC42" ca="1">IF(ISNA(I42),0,OFFSET(INDIRECT("'"&amp;DC$25&amp;"'!g1"),I42-1,)*BM42)</f>
        <v>#REF!</v>
      </c>
      <c r="DD42" t="e" cm="1">
        <f t="array" aca="1" ref="DD42" ca="1">IF(ISNA(J42),0,OFFSET(INDIRECT("'"&amp;DD$25&amp;"'!g1"),J42-1,)*BN42)</f>
        <v>#REF!</v>
      </c>
      <c r="DE42" t="e" cm="1">
        <f t="array" aca="1" ref="DE42" ca="1">IF(ISNA(K42),0,OFFSET(INDIRECT("'"&amp;DE$25&amp;"'!g1"),K42-1,)*BO42)</f>
        <v>#REF!</v>
      </c>
      <c r="DF42" t="e" cm="1">
        <f t="array" aca="1" ref="DF42" ca="1">IF(ISNA(L42),0,OFFSET(INDIRECT("'"&amp;DF$25&amp;"'!g1"),L42-1,)*BP42)</f>
        <v>#REF!</v>
      </c>
      <c r="DG42" t="e" cm="1">
        <f t="array" aca="1" ref="DG42" ca="1">IF(ISNA(M42),0,OFFSET(INDIRECT("'"&amp;DG$25&amp;"'!g1"),M42-1,)*BQ42)</f>
        <v>#REF!</v>
      </c>
      <c r="DM42" s="10" t="e" cm="1">
        <f t="array" aca="1" ref="DM42" ca="1">IF(ISNA(E42),0,OFFSET(INDIRECT("'"&amp;CY$25&amp;"'!h1"),E42-1,))</f>
        <v>#REF!</v>
      </c>
      <c r="DN42" s="10" t="e" cm="1">
        <f t="array" aca="1" ref="DN42" ca="1">IF(ISNA(F42),0,OFFSET(INDIRECT("'"&amp;CZ$25&amp;"'!h1"),F42-1,))</f>
        <v>#REF!</v>
      </c>
      <c r="DO42" s="10" t="e" cm="1">
        <f t="array" aca="1" ref="DO42" ca="1">IF(ISNA(G42),0,OFFSET(INDIRECT("'"&amp;DA$25&amp;"'!h1"),G42-1,))</f>
        <v>#REF!</v>
      </c>
      <c r="DP42" s="10" t="e" cm="1">
        <f t="array" aca="1" ref="DP42" ca="1">IF(ISNA(H42),0,OFFSET(INDIRECT("'"&amp;DB$25&amp;"'!h1"),H42-1,))</f>
        <v>#REF!</v>
      </c>
      <c r="DQ42" s="10" t="e" cm="1">
        <f t="array" aca="1" ref="DQ42" ca="1">IF(ISNA(I42),0,OFFSET(INDIRECT("'"&amp;DC$25&amp;"'!h1"),I42-1,))</f>
        <v>#REF!</v>
      </c>
      <c r="DR42" s="10" t="e" cm="1">
        <f t="array" aca="1" ref="DR42" ca="1">IF(ISNA(J42),0,OFFSET(INDIRECT("'"&amp;DD$25&amp;"'!h1"),J42-1,))</f>
        <v>#REF!</v>
      </c>
      <c r="DS42" s="10" t="e" cm="1">
        <f t="array" aca="1" ref="DS42" ca="1">IF(ISNA(K42),0,OFFSET(INDIRECT("'"&amp;DE$25&amp;"'!h1"),K42-1,))</f>
        <v>#REF!</v>
      </c>
      <c r="DT42" s="10" t="e" cm="1">
        <f t="array" aca="1" ref="DT42" ca="1">IF(ISNA(L42),0,OFFSET(INDIRECT("'"&amp;DF$25&amp;"'!h1"),L42-1,))</f>
        <v>#REF!</v>
      </c>
      <c r="DU42" s="10" t="e" cm="1">
        <f t="array" aca="1" ref="DU42" ca="1">IF(ISNA(M42),0,OFFSET(INDIRECT("'"&amp;DG$25&amp;"'!h1"),M42-1,))</f>
        <v>#REF!</v>
      </c>
      <c r="DV42" s="10"/>
      <c r="DW42" s="10"/>
      <c r="DX42" s="10"/>
      <c r="DY42" s="10"/>
      <c r="EA42" s="11"/>
      <c r="EB42" s="11"/>
      <c r="EC42" s="11"/>
      <c r="ED42" s="11"/>
      <c r="EE42" s="11"/>
      <c r="EF42" s="11"/>
    </row>
    <row r="43" spans="1:136" x14ac:dyDescent="0.2">
      <c r="A43" t="e">
        <f>#REF!</f>
        <v>#REF!</v>
      </c>
      <c r="B43" t="e">
        <f>#REF!</f>
        <v>#REF!</v>
      </c>
      <c r="C43" t="e">
        <f>#REF!</f>
        <v>#REF!</v>
      </c>
      <c r="E43" t="e">
        <f t="shared" ca="1" si="22"/>
        <v>#REF!</v>
      </c>
      <c r="F43" t="e">
        <f t="shared" ca="1" si="22"/>
        <v>#REF!</v>
      </c>
      <c r="G43" t="e">
        <f t="shared" ca="1" si="22"/>
        <v>#REF!</v>
      </c>
      <c r="H43" t="e">
        <f t="shared" ca="1" si="22"/>
        <v>#REF!</v>
      </c>
      <c r="I43" t="e">
        <f t="shared" ca="1" si="22"/>
        <v>#REF!</v>
      </c>
      <c r="J43" t="e">
        <f t="shared" ca="1" si="22"/>
        <v>#REF!</v>
      </c>
      <c r="K43" t="e">
        <f t="shared" ca="1" si="22"/>
        <v>#REF!</v>
      </c>
      <c r="L43" t="e">
        <f t="shared" ca="1" si="22"/>
        <v>#REF!</v>
      </c>
      <c r="M43" t="e">
        <f t="shared" ca="1" si="22"/>
        <v>#REF!</v>
      </c>
      <c r="S43" t="e" cm="1">
        <f t="array" aca="1" ref="S43" ca="1">IF(ISNA(E43),,OFFSET(INDIRECT("'"&amp;S$25&amp;"'!d1"),E43-1,))</f>
        <v>#REF!</v>
      </c>
      <c r="T43" t="e" cm="1">
        <f t="array" aca="1" ref="T43" ca="1">IF(ISNA(F43),,OFFSET(INDIRECT("'"&amp;T$25&amp;"'!d1"),F43-1,))</f>
        <v>#REF!</v>
      </c>
      <c r="U43" t="e" cm="1">
        <f t="array" aca="1" ref="U43" ca="1">IF(ISNA(G43),,OFFSET(INDIRECT("'"&amp;U$25&amp;"'!d1"),G43-1,))</f>
        <v>#REF!</v>
      </c>
      <c r="V43" t="e" cm="1">
        <f t="array" aca="1" ref="V43" ca="1">IF(ISNA(H43),,OFFSET(INDIRECT("'"&amp;V$25&amp;"'!d1"),H43-1,))</f>
        <v>#REF!</v>
      </c>
      <c r="W43" t="e" cm="1">
        <f t="array" aca="1" ref="W43" ca="1">IF(ISNA(I43),,OFFSET(INDIRECT("'"&amp;W$25&amp;"'!d1"),I43-1,))</f>
        <v>#REF!</v>
      </c>
      <c r="X43" t="e" cm="1">
        <f t="array" aca="1" ref="X43" ca="1">IF(ISNA(J43),,OFFSET(INDIRECT("'"&amp;X$25&amp;"'!d1"),J43-1,))</f>
        <v>#REF!</v>
      </c>
      <c r="Y43" t="e" cm="1">
        <f t="array" aca="1" ref="Y43" ca="1">IF(ISNA(K43),,OFFSET(INDIRECT("'"&amp;Y$25&amp;"'!d1"),K43-1,))</f>
        <v>#REF!</v>
      </c>
      <c r="Z43" t="e" cm="1">
        <f t="array" aca="1" ref="Z43" ca="1">IF(ISNA(L43),,OFFSET(INDIRECT("'"&amp;Z$25&amp;"'!d1"),L43-1,))</f>
        <v>#REF!</v>
      </c>
      <c r="AA43" t="e" cm="1">
        <f t="array" aca="1" ref="AA43" ca="1">IF(ISNA(M43),,OFFSET(INDIRECT("'"&amp;AA$25&amp;"'!d1"),M43-1,))</f>
        <v>#REF!</v>
      </c>
      <c r="AG43" t="e">
        <f t="shared" ca="1" si="19"/>
        <v>#REF!</v>
      </c>
      <c r="AH43" t="e">
        <f t="shared" ca="1" si="19"/>
        <v>#REF!</v>
      </c>
      <c r="AI43" t="e">
        <f t="shared" ca="1" si="19"/>
        <v>#REF!</v>
      </c>
      <c r="AJ43" t="e">
        <f t="shared" ca="1" si="19"/>
        <v>#REF!</v>
      </c>
      <c r="AK43" t="e">
        <f t="shared" ca="1" si="19"/>
        <v>#REF!</v>
      </c>
      <c r="AL43" t="e">
        <f t="shared" ca="1" si="19"/>
        <v>#REF!</v>
      </c>
      <c r="AM43" t="e">
        <f t="shared" ca="1" si="19"/>
        <v>#REF!</v>
      </c>
      <c r="AN43" t="e">
        <f t="shared" ca="1" si="19"/>
        <v>#REF!</v>
      </c>
      <c r="AO43" t="e">
        <f t="shared" ca="1" si="19"/>
        <v>#REF!</v>
      </c>
      <c r="AU43" t="e">
        <f t="shared" ca="1" si="20"/>
        <v>#REF!</v>
      </c>
      <c r="AV43" t="e">
        <f t="shared" ca="1" si="20"/>
        <v>#REF!</v>
      </c>
      <c r="AW43" t="e">
        <f t="shared" ca="1" si="20"/>
        <v>#REF!</v>
      </c>
      <c r="AX43" t="e">
        <f t="shared" ca="1" si="20"/>
        <v>#REF!</v>
      </c>
      <c r="AY43" t="e">
        <f t="shared" ca="1" si="20"/>
        <v>#REF!</v>
      </c>
      <c r="AZ43" t="e">
        <f t="shared" ca="1" si="20"/>
        <v>#REF!</v>
      </c>
      <c r="BA43" t="e">
        <f t="shared" ca="1" si="20"/>
        <v>#REF!</v>
      </c>
      <c r="BB43" t="e">
        <f t="shared" ca="1" si="20"/>
        <v>#REF!</v>
      </c>
      <c r="BC43" t="e">
        <f t="shared" ca="1" si="20"/>
        <v>#REF!</v>
      </c>
      <c r="BI43" t="e">
        <f t="shared" ca="1" si="21"/>
        <v>#REF!</v>
      </c>
      <c r="BJ43" t="e">
        <f t="shared" ca="1" si="21"/>
        <v>#REF!</v>
      </c>
      <c r="BK43" t="e">
        <f t="shared" ca="1" si="21"/>
        <v>#REF!</v>
      </c>
      <c r="BL43" t="e">
        <f t="shared" ca="1" si="21"/>
        <v>#REF!</v>
      </c>
      <c r="BM43" t="e">
        <f t="shared" ca="1" si="21"/>
        <v>#REF!</v>
      </c>
      <c r="BN43" t="e">
        <f t="shared" ca="1" si="21"/>
        <v>#REF!</v>
      </c>
      <c r="BO43" t="e">
        <f t="shared" ca="1" si="21"/>
        <v>#REF!</v>
      </c>
      <c r="BP43" t="e">
        <f t="shared" ca="1" si="21"/>
        <v>#REF!</v>
      </c>
      <c r="BQ43" t="e">
        <f t="shared" ca="1" si="21"/>
        <v>#REF!</v>
      </c>
      <c r="BW43" t="e" cm="1">
        <f t="array" aca="1" ref="BW43" ca="1">IF(AG43,OFFSET(INDIRECT("'"&amp;CK$25&amp;"'!f1"),E43-1,),"")</f>
        <v>#REF!</v>
      </c>
      <c r="BX43" t="e" cm="1">
        <f t="array" aca="1" ref="BX43" ca="1">IF(AH43,OFFSET(INDIRECT("'"&amp;CL$25&amp;"'!f1"),F43-1,),"")</f>
        <v>#REF!</v>
      </c>
      <c r="BY43" t="e" cm="1">
        <f t="array" aca="1" ref="BY43" ca="1">IF(AI43,OFFSET(INDIRECT("'"&amp;CM$25&amp;"'!f1"),G43-1,),"")</f>
        <v>#REF!</v>
      </c>
      <c r="BZ43" t="e" cm="1">
        <f t="array" aca="1" ref="BZ43" ca="1">IF(AJ43,OFFSET(INDIRECT("'"&amp;CN$25&amp;"'!f1"),H43-1,),"")</f>
        <v>#REF!</v>
      </c>
      <c r="CA43" t="e" cm="1">
        <f t="array" aca="1" ref="CA43" ca="1">IF(AK43,OFFSET(INDIRECT("'"&amp;CO$25&amp;"'!f1"),I43-1,),"")</f>
        <v>#REF!</v>
      </c>
      <c r="CB43" t="e" cm="1">
        <f t="array" aca="1" ref="CB43" ca="1">IF(AL43,OFFSET(INDIRECT("'"&amp;CP$25&amp;"'!f1"),J43-1,),"")</f>
        <v>#REF!</v>
      </c>
      <c r="CC43" t="e" cm="1">
        <f t="array" aca="1" ref="CC43" ca="1">IF(AM43,OFFSET(INDIRECT("'"&amp;CQ$25&amp;"'!f1"),K43-1,),"")</f>
        <v>#REF!</v>
      </c>
      <c r="CD43" t="e" cm="1">
        <f t="array" aca="1" ref="CD43" ca="1">IF(AN43,OFFSET(INDIRECT("'"&amp;CR$25&amp;"'!f1"),L43-1,),"")</f>
        <v>#REF!</v>
      </c>
      <c r="CE43" t="e" cm="1">
        <f t="array" aca="1" ref="CE43" ca="1">IF(AO43,OFFSET(INDIRECT("'"&amp;CS$25&amp;"'!f1"),M43-1,),"")</f>
        <v>#REF!</v>
      </c>
      <c r="CK43" t="e" cm="1">
        <f t="array" aca="1" ref="CK43" ca="1">IF(BI43,OFFSET(INDIRECT("'"&amp;CK$25&amp;"'!f1"),E43-1,),"")</f>
        <v>#REF!</v>
      </c>
      <c r="CL43" t="e" cm="1">
        <f t="array" aca="1" ref="CL43" ca="1">IF(BJ43,OFFSET(INDIRECT("'"&amp;CL$25&amp;"'!f1"),F43-1,),"")</f>
        <v>#REF!</v>
      </c>
      <c r="CM43" t="e" cm="1">
        <f t="array" aca="1" ref="CM43" ca="1">IF(BK43,OFFSET(INDIRECT("'"&amp;CM$25&amp;"'!f1"),G43-1,),"")</f>
        <v>#REF!</v>
      </c>
      <c r="CN43" t="e" cm="1">
        <f t="array" aca="1" ref="CN43" ca="1">IF(BL43,OFFSET(INDIRECT("'"&amp;CN$25&amp;"'!f1"),H43-1,),"")</f>
        <v>#REF!</v>
      </c>
      <c r="CO43" t="e" cm="1">
        <f t="array" aca="1" ref="CO43" ca="1">IF(BM43,OFFSET(INDIRECT("'"&amp;CO$25&amp;"'!f1"),I43-1,),"")</f>
        <v>#REF!</v>
      </c>
      <c r="CP43" t="e" cm="1">
        <f t="array" aca="1" ref="CP43" ca="1">IF(BN43,OFFSET(INDIRECT("'"&amp;CP$25&amp;"'!f1"),J43-1,),"")</f>
        <v>#REF!</v>
      </c>
      <c r="CQ43" t="e" cm="1">
        <f t="array" aca="1" ref="CQ43" ca="1">IF(BO43,OFFSET(INDIRECT("'"&amp;CQ$25&amp;"'!f1"),K43-1,),"")</f>
        <v>#REF!</v>
      </c>
      <c r="CR43" t="e" cm="1">
        <f t="array" aca="1" ref="CR43" ca="1">IF(BP43,OFFSET(INDIRECT("'"&amp;CR$25&amp;"'!f1"),L43-1,),"")</f>
        <v>#REF!</v>
      </c>
      <c r="CS43" t="e" cm="1">
        <f t="array" aca="1" ref="CS43" ca="1">IF(BQ43,OFFSET(INDIRECT("'"&amp;CS$25&amp;"'!f1"),M43-1,),"")</f>
        <v>#REF!</v>
      </c>
      <c r="CY43" t="e" cm="1">
        <f t="array" aca="1" ref="CY43" ca="1">IF(ISNA(E43),0,OFFSET(INDIRECT("'"&amp;CY$25&amp;"'!g1"),E43-1,)*BI43)</f>
        <v>#REF!</v>
      </c>
      <c r="CZ43" t="e" cm="1">
        <f t="array" aca="1" ref="CZ43" ca="1">IF(ISNA(F43),0,OFFSET(INDIRECT("'"&amp;CZ$25&amp;"'!g1"),F43-1,)*BJ43)</f>
        <v>#REF!</v>
      </c>
      <c r="DA43" t="e" cm="1">
        <f t="array" aca="1" ref="DA43" ca="1">IF(ISNA(G43),0,OFFSET(INDIRECT("'"&amp;DA$25&amp;"'!g1"),G43-1,)*BK43)</f>
        <v>#REF!</v>
      </c>
      <c r="DB43" t="e" cm="1">
        <f t="array" aca="1" ref="DB43" ca="1">IF(ISNA(H43),0,OFFSET(INDIRECT("'"&amp;DB$25&amp;"'!g1"),H43-1,)*BL43)</f>
        <v>#REF!</v>
      </c>
      <c r="DC43" t="e" cm="1">
        <f t="array" aca="1" ref="DC43" ca="1">IF(ISNA(I43),0,OFFSET(INDIRECT("'"&amp;DC$25&amp;"'!g1"),I43-1,)*BM43)</f>
        <v>#REF!</v>
      </c>
      <c r="DD43" t="e" cm="1">
        <f t="array" aca="1" ref="DD43" ca="1">IF(ISNA(J43),0,OFFSET(INDIRECT("'"&amp;DD$25&amp;"'!g1"),J43-1,)*BN43)</f>
        <v>#REF!</v>
      </c>
      <c r="DE43" t="e" cm="1">
        <f t="array" aca="1" ref="DE43" ca="1">IF(ISNA(K43),0,OFFSET(INDIRECT("'"&amp;DE$25&amp;"'!g1"),K43-1,)*BO43)</f>
        <v>#REF!</v>
      </c>
      <c r="DF43" t="e" cm="1">
        <f t="array" aca="1" ref="DF43" ca="1">IF(ISNA(L43),0,OFFSET(INDIRECT("'"&amp;DF$25&amp;"'!g1"),L43-1,)*BP43)</f>
        <v>#REF!</v>
      </c>
      <c r="DG43" t="e" cm="1">
        <f t="array" aca="1" ref="DG43" ca="1">IF(ISNA(M43),0,OFFSET(INDIRECT("'"&amp;DG$25&amp;"'!g1"),M43-1,)*BQ43)</f>
        <v>#REF!</v>
      </c>
      <c r="DM43" s="10" t="e" cm="1">
        <f t="array" aca="1" ref="DM43" ca="1">IF(ISNA(E43),0,OFFSET(INDIRECT("'"&amp;CY$25&amp;"'!h1"),E43-1,))</f>
        <v>#REF!</v>
      </c>
      <c r="DN43" s="10" t="e" cm="1">
        <f t="array" aca="1" ref="DN43" ca="1">IF(ISNA(F43),0,OFFSET(INDIRECT("'"&amp;CZ$25&amp;"'!h1"),F43-1,))</f>
        <v>#REF!</v>
      </c>
      <c r="DO43" s="10" t="e" cm="1">
        <f t="array" aca="1" ref="DO43" ca="1">IF(ISNA(G43),0,OFFSET(INDIRECT("'"&amp;DA$25&amp;"'!h1"),G43-1,))</f>
        <v>#REF!</v>
      </c>
      <c r="DP43" s="10" t="e" cm="1">
        <f t="array" aca="1" ref="DP43" ca="1">IF(ISNA(H43),0,OFFSET(INDIRECT("'"&amp;DB$25&amp;"'!h1"),H43-1,))</f>
        <v>#REF!</v>
      </c>
      <c r="DQ43" s="10" t="e" cm="1">
        <f t="array" aca="1" ref="DQ43" ca="1">IF(ISNA(I43),0,OFFSET(INDIRECT("'"&amp;DC$25&amp;"'!h1"),I43-1,))</f>
        <v>#REF!</v>
      </c>
      <c r="DR43" s="10" t="e" cm="1">
        <f t="array" aca="1" ref="DR43" ca="1">IF(ISNA(J43),0,OFFSET(INDIRECT("'"&amp;DD$25&amp;"'!h1"),J43-1,))</f>
        <v>#REF!</v>
      </c>
      <c r="DS43" s="10" t="e" cm="1">
        <f t="array" aca="1" ref="DS43" ca="1">IF(ISNA(K43),0,OFFSET(INDIRECT("'"&amp;DE$25&amp;"'!h1"),K43-1,))</f>
        <v>#REF!</v>
      </c>
      <c r="DT43" s="10" t="e" cm="1">
        <f t="array" aca="1" ref="DT43" ca="1">IF(ISNA(L43),0,OFFSET(INDIRECT("'"&amp;DF$25&amp;"'!h1"),L43-1,))</f>
        <v>#REF!</v>
      </c>
      <c r="DU43" s="10" t="e" cm="1">
        <f t="array" aca="1" ref="DU43" ca="1">IF(ISNA(M43),0,OFFSET(INDIRECT("'"&amp;DG$25&amp;"'!h1"),M43-1,))</f>
        <v>#REF!</v>
      </c>
      <c r="DV43" s="10"/>
      <c r="DW43" s="10"/>
      <c r="DX43" s="10"/>
      <c r="DY43" s="10"/>
      <c r="EA43" s="11"/>
      <c r="EB43" s="11"/>
      <c r="EC43" s="11"/>
      <c r="ED43" s="11"/>
      <c r="EE43" s="11"/>
      <c r="EF43" s="11"/>
    </row>
    <row r="44" spans="1:136" x14ac:dyDescent="0.2">
      <c r="A44" t="e">
        <f>#REF!</f>
        <v>#REF!</v>
      </c>
      <c r="B44" t="e">
        <f>#REF!</f>
        <v>#REF!</v>
      </c>
      <c r="C44" t="e">
        <f>#REF!</f>
        <v>#REF!</v>
      </c>
      <c r="E44" t="e">
        <f t="shared" ca="1" si="22"/>
        <v>#REF!</v>
      </c>
      <c r="F44" t="e">
        <f t="shared" ca="1" si="22"/>
        <v>#REF!</v>
      </c>
      <c r="G44" t="e">
        <f t="shared" ca="1" si="22"/>
        <v>#REF!</v>
      </c>
      <c r="H44" t="e">
        <f t="shared" ca="1" si="22"/>
        <v>#REF!</v>
      </c>
      <c r="I44" t="e">
        <f t="shared" ca="1" si="22"/>
        <v>#REF!</v>
      </c>
      <c r="J44" t="e">
        <f t="shared" ca="1" si="22"/>
        <v>#REF!</v>
      </c>
      <c r="K44" t="e">
        <f t="shared" ca="1" si="22"/>
        <v>#REF!</v>
      </c>
      <c r="L44" t="e">
        <f t="shared" ca="1" si="22"/>
        <v>#REF!</v>
      </c>
      <c r="M44" t="e">
        <f t="shared" ca="1" si="22"/>
        <v>#REF!</v>
      </c>
      <c r="S44" t="e" cm="1">
        <f t="array" aca="1" ref="S44" ca="1">IF(ISNA(E44),,OFFSET(INDIRECT("'"&amp;S$25&amp;"'!d1"),E44-1,))</f>
        <v>#REF!</v>
      </c>
      <c r="T44" t="e" cm="1">
        <f t="array" aca="1" ref="T44" ca="1">IF(ISNA(F44),,OFFSET(INDIRECT("'"&amp;T$25&amp;"'!d1"),F44-1,))</f>
        <v>#REF!</v>
      </c>
      <c r="U44" t="e" cm="1">
        <f t="array" aca="1" ref="U44" ca="1">IF(ISNA(G44),,OFFSET(INDIRECT("'"&amp;U$25&amp;"'!d1"),G44-1,))</f>
        <v>#REF!</v>
      </c>
      <c r="V44" t="e" cm="1">
        <f t="array" aca="1" ref="V44" ca="1">IF(ISNA(H44),,OFFSET(INDIRECT("'"&amp;V$25&amp;"'!d1"),H44-1,))</f>
        <v>#REF!</v>
      </c>
      <c r="W44" t="e" cm="1">
        <f t="array" aca="1" ref="W44" ca="1">IF(ISNA(I44),,OFFSET(INDIRECT("'"&amp;W$25&amp;"'!d1"),I44-1,))</f>
        <v>#REF!</v>
      </c>
      <c r="X44" t="e" cm="1">
        <f t="array" aca="1" ref="X44" ca="1">IF(ISNA(J44),,OFFSET(INDIRECT("'"&amp;X$25&amp;"'!d1"),J44-1,))</f>
        <v>#REF!</v>
      </c>
      <c r="Y44" t="e" cm="1">
        <f t="array" aca="1" ref="Y44" ca="1">IF(ISNA(K44),,OFFSET(INDIRECT("'"&amp;Y$25&amp;"'!d1"),K44-1,))</f>
        <v>#REF!</v>
      </c>
      <c r="Z44" t="e" cm="1">
        <f t="array" aca="1" ref="Z44" ca="1">IF(ISNA(L44),,OFFSET(INDIRECT("'"&amp;Z$25&amp;"'!d1"),L44-1,))</f>
        <v>#REF!</v>
      </c>
      <c r="AA44" t="e" cm="1">
        <f t="array" aca="1" ref="AA44" ca="1">IF(ISNA(M44),,OFFSET(INDIRECT("'"&amp;AA$25&amp;"'!d1"),M44-1,))</f>
        <v>#REF!</v>
      </c>
      <c r="AG44" t="e">
        <f t="shared" ca="1" si="19"/>
        <v>#REF!</v>
      </c>
      <c r="AH44" t="e">
        <f t="shared" ca="1" si="19"/>
        <v>#REF!</v>
      </c>
      <c r="AI44" t="e">
        <f t="shared" ca="1" si="19"/>
        <v>#REF!</v>
      </c>
      <c r="AJ44" t="e">
        <f t="shared" ca="1" si="19"/>
        <v>#REF!</v>
      </c>
      <c r="AK44" t="e">
        <f t="shared" ca="1" si="19"/>
        <v>#REF!</v>
      </c>
      <c r="AL44" t="e">
        <f t="shared" ca="1" si="19"/>
        <v>#REF!</v>
      </c>
      <c r="AM44" t="e">
        <f t="shared" ca="1" si="19"/>
        <v>#REF!</v>
      </c>
      <c r="AN44" t="e">
        <f t="shared" ca="1" si="19"/>
        <v>#REF!</v>
      </c>
      <c r="AO44" t="e">
        <f t="shared" ca="1" si="19"/>
        <v>#REF!</v>
      </c>
      <c r="AU44" t="e">
        <f t="shared" ca="1" si="20"/>
        <v>#REF!</v>
      </c>
      <c r="AV44" t="e">
        <f t="shared" ca="1" si="20"/>
        <v>#REF!</v>
      </c>
      <c r="AW44" t="e">
        <f t="shared" ca="1" si="20"/>
        <v>#REF!</v>
      </c>
      <c r="AX44" t="e">
        <f t="shared" ca="1" si="20"/>
        <v>#REF!</v>
      </c>
      <c r="AY44" t="e">
        <f t="shared" ca="1" si="20"/>
        <v>#REF!</v>
      </c>
      <c r="AZ44" t="e">
        <f t="shared" ca="1" si="20"/>
        <v>#REF!</v>
      </c>
      <c r="BA44" t="e">
        <f t="shared" ca="1" si="20"/>
        <v>#REF!</v>
      </c>
      <c r="BB44" t="e">
        <f t="shared" ca="1" si="20"/>
        <v>#REF!</v>
      </c>
      <c r="BC44" t="e">
        <f t="shared" ca="1" si="20"/>
        <v>#REF!</v>
      </c>
      <c r="BI44" t="e">
        <f t="shared" ca="1" si="21"/>
        <v>#REF!</v>
      </c>
      <c r="BJ44" t="e">
        <f t="shared" ca="1" si="21"/>
        <v>#REF!</v>
      </c>
      <c r="BK44" t="e">
        <f t="shared" ca="1" si="21"/>
        <v>#REF!</v>
      </c>
      <c r="BL44" t="e">
        <f t="shared" ca="1" si="21"/>
        <v>#REF!</v>
      </c>
      <c r="BM44" t="e">
        <f t="shared" ca="1" si="21"/>
        <v>#REF!</v>
      </c>
      <c r="BN44" t="e">
        <f t="shared" ca="1" si="21"/>
        <v>#REF!</v>
      </c>
      <c r="BO44" t="e">
        <f t="shared" ca="1" si="21"/>
        <v>#REF!</v>
      </c>
      <c r="BP44" t="e">
        <f t="shared" ca="1" si="21"/>
        <v>#REF!</v>
      </c>
      <c r="BQ44" t="e">
        <f t="shared" ca="1" si="21"/>
        <v>#REF!</v>
      </c>
      <c r="BW44" t="e" cm="1">
        <f t="array" aca="1" ref="BW44" ca="1">IF(AG44,OFFSET(INDIRECT("'"&amp;CK$25&amp;"'!f1"),E44-1,),"")</f>
        <v>#REF!</v>
      </c>
      <c r="BX44" t="e" cm="1">
        <f t="array" aca="1" ref="BX44" ca="1">IF(AH44,OFFSET(INDIRECT("'"&amp;CL$25&amp;"'!f1"),F44-1,),"")</f>
        <v>#REF!</v>
      </c>
      <c r="BY44" t="e" cm="1">
        <f t="array" aca="1" ref="BY44" ca="1">IF(AI44,OFFSET(INDIRECT("'"&amp;CM$25&amp;"'!f1"),G44-1,),"")</f>
        <v>#REF!</v>
      </c>
      <c r="BZ44" t="e" cm="1">
        <f t="array" aca="1" ref="BZ44" ca="1">IF(AJ44,OFFSET(INDIRECT("'"&amp;CN$25&amp;"'!f1"),H44-1,),"")</f>
        <v>#REF!</v>
      </c>
      <c r="CA44" t="e" cm="1">
        <f t="array" aca="1" ref="CA44" ca="1">IF(AK44,OFFSET(INDIRECT("'"&amp;CO$25&amp;"'!f1"),I44-1,),"")</f>
        <v>#REF!</v>
      </c>
      <c r="CB44" t="e" cm="1">
        <f t="array" aca="1" ref="CB44" ca="1">IF(AL44,OFFSET(INDIRECT("'"&amp;CP$25&amp;"'!f1"),J44-1,),"")</f>
        <v>#REF!</v>
      </c>
      <c r="CC44" t="e" cm="1">
        <f t="array" aca="1" ref="CC44" ca="1">IF(AM44,OFFSET(INDIRECT("'"&amp;CQ$25&amp;"'!f1"),K44-1,),"")</f>
        <v>#REF!</v>
      </c>
      <c r="CD44" t="e" cm="1">
        <f t="array" aca="1" ref="CD44" ca="1">IF(AN44,OFFSET(INDIRECT("'"&amp;CR$25&amp;"'!f1"),L44-1,),"")</f>
        <v>#REF!</v>
      </c>
      <c r="CE44" t="e" cm="1">
        <f t="array" aca="1" ref="CE44" ca="1">IF(AO44,OFFSET(INDIRECT("'"&amp;CS$25&amp;"'!f1"),M44-1,),"")</f>
        <v>#REF!</v>
      </c>
      <c r="CK44" t="e" cm="1">
        <f t="array" aca="1" ref="CK44" ca="1">IF(BI44,OFFSET(INDIRECT("'"&amp;CK$25&amp;"'!f1"),E44-1,),"")</f>
        <v>#REF!</v>
      </c>
      <c r="CL44" t="e" cm="1">
        <f t="array" aca="1" ref="CL44" ca="1">IF(BJ44,OFFSET(INDIRECT("'"&amp;CL$25&amp;"'!f1"),F44-1,),"")</f>
        <v>#REF!</v>
      </c>
      <c r="CM44" t="e" cm="1">
        <f t="array" aca="1" ref="CM44" ca="1">IF(BK44,OFFSET(INDIRECT("'"&amp;CM$25&amp;"'!f1"),G44-1,),"")</f>
        <v>#REF!</v>
      </c>
      <c r="CN44" t="e" cm="1">
        <f t="array" aca="1" ref="CN44" ca="1">IF(BL44,OFFSET(INDIRECT("'"&amp;CN$25&amp;"'!f1"),H44-1,),"")</f>
        <v>#REF!</v>
      </c>
      <c r="CO44" t="e" cm="1">
        <f t="array" aca="1" ref="CO44" ca="1">IF(BM44,OFFSET(INDIRECT("'"&amp;CO$25&amp;"'!f1"),I44-1,),"")</f>
        <v>#REF!</v>
      </c>
      <c r="CP44" t="e" cm="1">
        <f t="array" aca="1" ref="CP44" ca="1">IF(BN44,OFFSET(INDIRECT("'"&amp;CP$25&amp;"'!f1"),J44-1,),"")</f>
        <v>#REF!</v>
      </c>
      <c r="CQ44" t="e" cm="1">
        <f t="array" aca="1" ref="CQ44" ca="1">IF(BO44,OFFSET(INDIRECT("'"&amp;CQ$25&amp;"'!f1"),K44-1,),"")</f>
        <v>#REF!</v>
      </c>
      <c r="CR44" t="e" cm="1">
        <f t="array" aca="1" ref="CR44" ca="1">IF(BP44,OFFSET(INDIRECT("'"&amp;CR$25&amp;"'!f1"),L44-1,),"")</f>
        <v>#REF!</v>
      </c>
      <c r="CS44" t="e" cm="1">
        <f t="array" aca="1" ref="CS44" ca="1">IF(BQ44,OFFSET(INDIRECT("'"&amp;CS$25&amp;"'!f1"),M44-1,),"")</f>
        <v>#REF!</v>
      </c>
      <c r="CY44" t="e" cm="1">
        <f t="array" aca="1" ref="CY44" ca="1">IF(ISNA(E44),0,OFFSET(INDIRECT("'"&amp;CY$25&amp;"'!g1"),E44-1,)*BI44)</f>
        <v>#REF!</v>
      </c>
      <c r="CZ44" t="e" cm="1">
        <f t="array" aca="1" ref="CZ44" ca="1">IF(ISNA(F44),0,OFFSET(INDIRECT("'"&amp;CZ$25&amp;"'!g1"),F44-1,)*BJ44)</f>
        <v>#REF!</v>
      </c>
      <c r="DA44" t="e" cm="1">
        <f t="array" aca="1" ref="DA44" ca="1">IF(ISNA(G44),0,OFFSET(INDIRECT("'"&amp;DA$25&amp;"'!g1"),G44-1,)*BK44)</f>
        <v>#REF!</v>
      </c>
      <c r="DB44" t="e" cm="1">
        <f t="array" aca="1" ref="DB44" ca="1">IF(ISNA(H44),0,OFFSET(INDIRECT("'"&amp;DB$25&amp;"'!g1"),H44-1,)*BL44)</f>
        <v>#REF!</v>
      </c>
      <c r="DC44" t="e" cm="1">
        <f t="array" aca="1" ref="DC44" ca="1">IF(ISNA(I44),0,OFFSET(INDIRECT("'"&amp;DC$25&amp;"'!g1"),I44-1,)*BM44)</f>
        <v>#REF!</v>
      </c>
      <c r="DD44" t="e" cm="1">
        <f t="array" aca="1" ref="DD44" ca="1">IF(ISNA(J44),0,OFFSET(INDIRECT("'"&amp;DD$25&amp;"'!g1"),J44-1,)*BN44)</f>
        <v>#REF!</v>
      </c>
      <c r="DE44" t="e" cm="1">
        <f t="array" aca="1" ref="DE44" ca="1">IF(ISNA(K44),0,OFFSET(INDIRECT("'"&amp;DE$25&amp;"'!g1"),K44-1,)*BO44)</f>
        <v>#REF!</v>
      </c>
      <c r="DF44" t="e" cm="1">
        <f t="array" aca="1" ref="DF44" ca="1">IF(ISNA(L44),0,OFFSET(INDIRECT("'"&amp;DF$25&amp;"'!g1"),L44-1,)*BP44)</f>
        <v>#REF!</v>
      </c>
      <c r="DG44" t="e" cm="1">
        <f t="array" aca="1" ref="DG44" ca="1">IF(ISNA(M44),0,OFFSET(INDIRECT("'"&amp;DG$25&amp;"'!g1"),M44-1,)*BQ44)</f>
        <v>#REF!</v>
      </c>
      <c r="DM44" s="10" t="e" cm="1">
        <f t="array" aca="1" ref="DM44" ca="1">IF(ISNA(E44),0,OFFSET(INDIRECT("'"&amp;CY$25&amp;"'!h1"),E44-1,))</f>
        <v>#REF!</v>
      </c>
      <c r="DN44" s="10" t="e" cm="1">
        <f t="array" aca="1" ref="DN44" ca="1">IF(ISNA(F44),0,OFFSET(INDIRECT("'"&amp;CZ$25&amp;"'!h1"),F44-1,))</f>
        <v>#REF!</v>
      </c>
      <c r="DO44" s="10" t="e" cm="1">
        <f t="array" aca="1" ref="DO44" ca="1">IF(ISNA(G44),0,OFFSET(INDIRECT("'"&amp;DA$25&amp;"'!h1"),G44-1,))</f>
        <v>#REF!</v>
      </c>
      <c r="DP44" s="10" t="e" cm="1">
        <f t="array" aca="1" ref="DP44" ca="1">IF(ISNA(H44),0,OFFSET(INDIRECT("'"&amp;DB$25&amp;"'!h1"),H44-1,))</f>
        <v>#REF!</v>
      </c>
      <c r="DQ44" s="10" t="e" cm="1">
        <f t="array" aca="1" ref="DQ44" ca="1">IF(ISNA(I44),0,OFFSET(INDIRECT("'"&amp;DC$25&amp;"'!h1"),I44-1,))</f>
        <v>#REF!</v>
      </c>
      <c r="DR44" s="10" t="e" cm="1">
        <f t="array" aca="1" ref="DR44" ca="1">IF(ISNA(J44),0,OFFSET(INDIRECT("'"&amp;DD$25&amp;"'!h1"),J44-1,))</f>
        <v>#REF!</v>
      </c>
      <c r="DS44" s="10" t="e" cm="1">
        <f t="array" aca="1" ref="DS44" ca="1">IF(ISNA(K44),0,OFFSET(INDIRECT("'"&amp;DE$25&amp;"'!h1"),K44-1,))</f>
        <v>#REF!</v>
      </c>
      <c r="DT44" s="10" t="e" cm="1">
        <f t="array" aca="1" ref="DT44" ca="1">IF(ISNA(L44),0,OFFSET(INDIRECT("'"&amp;DF$25&amp;"'!h1"),L44-1,))</f>
        <v>#REF!</v>
      </c>
      <c r="DU44" s="10" t="e" cm="1">
        <f t="array" aca="1" ref="DU44" ca="1">IF(ISNA(M44),0,OFFSET(INDIRECT("'"&amp;DG$25&amp;"'!h1"),M44-1,))</f>
        <v>#REF!</v>
      </c>
      <c r="DV44" s="10"/>
      <c r="DW44" s="10"/>
      <c r="DX44" s="10"/>
      <c r="DY44" s="10"/>
      <c r="EA44" s="11"/>
      <c r="EB44" s="11"/>
      <c r="EC44" s="11"/>
      <c r="ED44" s="11"/>
      <c r="EE44" s="11"/>
      <c r="EF44" s="11"/>
    </row>
    <row r="45" spans="1:136" x14ac:dyDescent="0.2">
      <c r="A45" t="e">
        <f>#REF!</f>
        <v>#REF!</v>
      </c>
      <c r="B45" t="e">
        <f>#REF!</f>
        <v>#REF!</v>
      </c>
      <c r="C45" t="e">
        <f>#REF!</f>
        <v>#REF!</v>
      </c>
      <c r="E45" t="e">
        <f t="shared" ca="1" si="22"/>
        <v>#REF!</v>
      </c>
      <c r="F45" t="e">
        <f t="shared" ca="1" si="22"/>
        <v>#REF!</v>
      </c>
      <c r="G45" t="e">
        <f t="shared" ca="1" si="22"/>
        <v>#REF!</v>
      </c>
      <c r="H45" t="e">
        <f t="shared" ca="1" si="22"/>
        <v>#REF!</v>
      </c>
      <c r="I45" t="e">
        <f t="shared" ca="1" si="22"/>
        <v>#REF!</v>
      </c>
      <c r="J45" t="e">
        <f t="shared" ca="1" si="22"/>
        <v>#REF!</v>
      </c>
      <c r="K45" t="e">
        <f t="shared" ca="1" si="22"/>
        <v>#REF!</v>
      </c>
      <c r="L45" t="e">
        <f t="shared" ca="1" si="22"/>
        <v>#REF!</v>
      </c>
      <c r="M45" t="e">
        <f t="shared" ca="1" si="22"/>
        <v>#REF!</v>
      </c>
      <c r="S45" t="e" cm="1">
        <f t="array" aca="1" ref="S45" ca="1">IF(ISNA(E45),,OFFSET(INDIRECT("'"&amp;S$25&amp;"'!d1"),E45-1,))</f>
        <v>#REF!</v>
      </c>
      <c r="T45" t="e" cm="1">
        <f t="array" aca="1" ref="T45" ca="1">IF(ISNA(F45),,OFFSET(INDIRECT("'"&amp;T$25&amp;"'!d1"),F45-1,))</f>
        <v>#REF!</v>
      </c>
      <c r="U45" t="e" cm="1">
        <f t="array" aca="1" ref="U45" ca="1">IF(ISNA(G45),,OFFSET(INDIRECT("'"&amp;U$25&amp;"'!d1"),G45-1,))</f>
        <v>#REF!</v>
      </c>
      <c r="V45" t="e" cm="1">
        <f t="array" aca="1" ref="V45" ca="1">IF(ISNA(H45),,OFFSET(INDIRECT("'"&amp;V$25&amp;"'!d1"),H45-1,))</f>
        <v>#REF!</v>
      </c>
      <c r="W45" t="e" cm="1">
        <f t="array" aca="1" ref="W45" ca="1">IF(ISNA(I45),,OFFSET(INDIRECT("'"&amp;W$25&amp;"'!d1"),I45-1,))</f>
        <v>#REF!</v>
      </c>
      <c r="X45" t="e" cm="1">
        <f t="array" aca="1" ref="X45" ca="1">IF(ISNA(J45),,OFFSET(INDIRECT("'"&amp;X$25&amp;"'!d1"),J45-1,))</f>
        <v>#REF!</v>
      </c>
      <c r="Y45" t="e" cm="1">
        <f t="array" aca="1" ref="Y45" ca="1">IF(ISNA(K45),,OFFSET(INDIRECT("'"&amp;Y$25&amp;"'!d1"),K45-1,))</f>
        <v>#REF!</v>
      </c>
      <c r="Z45" t="e" cm="1">
        <f t="array" aca="1" ref="Z45" ca="1">IF(ISNA(L45),,OFFSET(INDIRECT("'"&amp;Z$25&amp;"'!d1"),L45-1,))</f>
        <v>#REF!</v>
      </c>
      <c r="AA45" t="e" cm="1">
        <f t="array" aca="1" ref="AA45" ca="1">IF(ISNA(M45),,OFFSET(INDIRECT("'"&amp;AA$25&amp;"'!d1"),M45-1,))</f>
        <v>#REF!</v>
      </c>
      <c r="AG45" t="e">
        <f t="shared" ca="1" si="19"/>
        <v>#REF!</v>
      </c>
      <c r="AH45" t="e">
        <f t="shared" ca="1" si="19"/>
        <v>#REF!</v>
      </c>
      <c r="AI45" t="e">
        <f t="shared" ca="1" si="19"/>
        <v>#REF!</v>
      </c>
      <c r="AJ45" t="e">
        <f t="shared" ca="1" si="19"/>
        <v>#REF!</v>
      </c>
      <c r="AK45" t="e">
        <f t="shared" ca="1" si="19"/>
        <v>#REF!</v>
      </c>
      <c r="AL45" t="e">
        <f t="shared" ca="1" si="19"/>
        <v>#REF!</v>
      </c>
      <c r="AM45" t="e">
        <f t="shared" ca="1" si="19"/>
        <v>#REF!</v>
      </c>
      <c r="AN45" t="e">
        <f t="shared" ca="1" si="19"/>
        <v>#REF!</v>
      </c>
      <c r="AO45" t="e">
        <f t="shared" ca="1" si="19"/>
        <v>#REF!</v>
      </c>
      <c r="AU45" t="e">
        <f t="shared" ca="1" si="20"/>
        <v>#REF!</v>
      </c>
      <c r="AV45" t="e">
        <f t="shared" ca="1" si="20"/>
        <v>#REF!</v>
      </c>
      <c r="AW45" t="e">
        <f t="shared" ca="1" si="20"/>
        <v>#REF!</v>
      </c>
      <c r="AX45" t="e">
        <f t="shared" ca="1" si="20"/>
        <v>#REF!</v>
      </c>
      <c r="AY45" t="e">
        <f t="shared" ca="1" si="20"/>
        <v>#REF!</v>
      </c>
      <c r="AZ45" t="e">
        <f t="shared" ca="1" si="20"/>
        <v>#REF!</v>
      </c>
      <c r="BA45" t="e">
        <f t="shared" ca="1" si="20"/>
        <v>#REF!</v>
      </c>
      <c r="BB45" t="e">
        <f t="shared" ca="1" si="20"/>
        <v>#REF!</v>
      </c>
      <c r="BC45" t="e">
        <f t="shared" ca="1" si="20"/>
        <v>#REF!</v>
      </c>
      <c r="BI45" t="e">
        <f t="shared" ca="1" si="21"/>
        <v>#REF!</v>
      </c>
      <c r="BJ45" t="e">
        <f t="shared" ca="1" si="21"/>
        <v>#REF!</v>
      </c>
      <c r="BK45" t="e">
        <f t="shared" ca="1" si="21"/>
        <v>#REF!</v>
      </c>
      <c r="BL45" t="e">
        <f t="shared" ca="1" si="21"/>
        <v>#REF!</v>
      </c>
      <c r="BM45" t="e">
        <f t="shared" ca="1" si="21"/>
        <v>#REF!</v>
      </c>
      <c r="BN45" t="e">
        <f t="shared" ca="1" si="21"/>
        <v>#REF!</v>
      </c>
      <c r="BO45" t="e">
        <f t="shared" ca="1" si="21"/>
        <v>#REF!</v>
      </c>
      <c r="BP45" t="e">
        <f t="shared" ca="1" si="21"/>
        <v>#REF!</v>
      </c>
      <c r="BQ45" t="e">
        <f t="shared" ca="1" si="21"/>
        <v>#REF!</v>
      </c>
      <c r="BW45" t="e" cm="1">
        <f t="array" aca="1" ref="BW45" ca="1">IF(AG45,OFFSET(INDIRECT("'"&amp;CK$25&amp;"'!f1"),E45-1,),"")</f>
        <v>#REF!</v>
      </c>
      <c r="BX45" t="e" cm="1">
        <f t="array" aca="1" ref="BX45" ca="1">IF(AH45,OFFSET(INDIRECT("'"&amp;CL$25&amp;"'!f1"),F45-1,),"")</f>
        <v>#REF!</v>
      </c>
      <c r="BY45" t="e" cm="1">
        <f t="array" aca="1" ref="BY45" ca="1">IF(AI45,OFFSET(INDIRECT("'"&amp;CM$25&amp;"'!f1"),G45-1,),"")</f>
        <v>#REF!</v>
      </c>
      <c r="BZ45" t="e" cm="1">
        <f t="array" aca="1" ref="BZ45" ca="1">IF(AJ45,OFFSET(INDIRECT("'"&amp;CN$25&amp;"'!f1"),H45-1,),"")</f>
        <v>#REF!</v>
      </c>
      <c r="CA45" t="e" cm="1">
        <f t="array" aca="1" ref="CA45" ca="1">IF(AK45,OFFSET(INDIRECT("'"&amp;CO$25&amp;"'!f1"),I45-1,),"")</f>
        <v>#REF!</v>
      </c>
      <c r="CB45" t="e" cm="1">
        <f t="array" aca="1" ref="CB45" ca="1">IF(AL45,OFFSET(INDIRECT("'"&amp;CP$25&amp;"'!f1"),J45-1,),"")</f>
        <v>#REF!</v>
      </c>
      <c r="CC45" t="e" cm="1">
        <f t="array" aca="1" ref="CC45" ca="1">IF(AM45,OFFSET(INDIRECT("'"&amp;CQ$25&amp;"'!f1"),K45-1,),"")</f>
        <v>#REF!</v>
      </c>
      <c r="CD45" t="e" cm="1">
        <f t="array" aca="1" ref="CD45" ca="1">IF(AN45,OFFSET(INDIRECT("'"&amp;CR$25&amp;"'!f1"),L45-1,),"")</f>
        <v>#REF!</v>
      </c>
      <c r="CE45" t="e" cm="1">
        <f t="array" aca="1" ref="CE45" ca="1">IF(AO45,OFFSET(INDIRECT("'"&amp;CS$25&amp;"'!f1"),M45-1,),"")</f>
        <v>#REF!</v>
      </c>
      <c r="CK45" t="e" cm="1">
        <f t="array" aca="1" ref="CK45" ca="1">IF(BI45,OFFSET(INDIRECT("'"&amp;CK$25&amp;"'!f1"),E45-1,),"")</f>
        <v>#REF!</v>
      </c>
      <c r="CL45" t="e" cm="1">
        <f t="array" aca="1" ref="CL45" ca="1">IF(BJ45,OFFSET(INDIRECT("'"&amp;CL$25&amp;"'!f1"),F45-1,),"")</f>
        <v>#REF!</v>
      </c>
      <c r="CM45" t="e" cm="1">
        <f t="array" aca="1" ref="CM45" ca="1">IF(BK45,OFFSET(INDIRECT("'"&amp;CM$25&amp;"'!f1"),G45-1,),"")</f>
        <v>#REF!</v>
      </c>
      <c r="CN45" t="e" cm="1">
        <f t="array" aca="1" ref="CN45" ca="1">IF(BL45,OFFSET(INDIRECT("'"&amp;CN$25&amp;"'!f1"),H45-1,),"")</f>
        <v>#REF!</v>
      </c>
      <c r="CO45" t="e" cm="1">
        <f t="array" aca="1" ref="CO45" ca="1">IF(BM45,OFFSET(INDIRECT("'"&amp;CO$25&amp;"'!f1"),I45-1,),"")</f>
        <v>#REF!</v>
      </c>
      <c r="CP45" t="e" cm="1">
        <f t="array" aca="1" ref="CP45" ca="1">IF(BN45,OFFSET(INDIRECT("'"&amp;CP$25&amp;"'!f1"),J45-1,),"")</f>
        <v>#REF!</v>
      </c>
      <c r="CQ45" t="e" cm="1">
        <f t="array" aca="1" ref="CQ45" ca="1">IF(BO45,OFFSET(INDIRECT("'"&amp;CQ$25&amp;"'!f1"),K45-1,),"")</f>
        <v>#REF!</v>
      </c>
      <c r="CR45" t="e" cm="1">
        <f t="array" aca="1" ref="CR45" ca="1">IF(BP45,OFFSET(INDIRECT("'"&amp;CR$25&amp;"'!f1"),L45-1,),"")</f>
        <v>#REF!</v>
      </c>
      <c r="CS45" t="e" cm="1">
        <f t="array" aca="1" ref="CS45" ca="1">IF(BQ45,OFFSET(INDIRECT("'"&amp;CS$25&amp;"'!f1"),M45-1,),"")</f>
        <v>#REF!</v>
      </c>
      <c r="CY45" t="e" cm="1">
        <f t="array" aca="1" ref="CY45" ca="1">IF(ISNA(E45),0,OFFSET(INDIRECT("'"&amp;CY$25&amp;"'!g1"),E45-1,)*BI45)</f>
        <v>#REF!</v>
      </c>
      <c r="CZ45" t="e" cm="1">
        <f t="array" aca="1" ref="CZ45" ca="1">IF(ISNA(F45),0,OFFSET(INDIRECT("'"&amp;CZ$25&amp;"'!g1"),F45-1,)*BJ45)</f>
        <v>#REF!</v>
      </c>
      <c r="DA45" t="e" cm="1">
        <f t="array" aca="1" ref="DA45" ca="1">IF(ISNA(G45),0,OFFSET(INDIRECT("'"&amp;DA$25&amp;"'!g1"),G45-1,)*BK45)</f>
        <v>#REF!</v>
      </c>
      <c r="DB45" t="e" cm="1">
        <f t="array" aca="1" ref="DB45" ca="1">IF(ISNA(H45),0,OFFSET(INDIRECT("'"&amp;DB$25&amp;"'!g1"),H45-1,)*BL45)</f>
        <v>#REF!</v>
      </c>
      <c r="DC45" t="e" cm="1">
        <f t="array" aca="1" ref="DC45" ca="1">IF(ISNA(I45),0,OFFSET(INDIRECT("'"&amp;DC$25&amp;"'!g1"),I45-1,)*BM45)</f>
        <v>#REF!</v>
      </c>
      <c r="DD45" t="e" cm="1">
        <f t="array" aca="1" ref="DD45" ca="1">IF(ISNA(J45),0,OFFSET(INDIRECT("'"&amp;DD$25&amp;"'!g1"),J45-1,)*BN45)</f>
        <v>#REF!</v>
      </c>
      <c r="DE45" t="e" cm="1">
        <f t="array" aca="1" ref="DE45" ca="1">IF(ISNA(K45),0,OFFSET(INDIRECT("'"&amp;DE$25&amp;"'!g1"),K45-1,)*BO45)</f>
        <v>#REF!</v>
      </c>
      <c r="DF45" t="e" cm="1">
        <f t="array" aca="1" ref="DF45" ca="1">IF(ISNA(L45),0,OFFSET(INDIRECT("'"&amp;DF$25&amp;"'!g1"),L45-1,)*BP45)</f>
        <v>#REF!</v>
      </c>
      <c r="DG45" t="e" cm="1">
        <f t="array" aca="1" ref="DG45" ca="1">IF(ISNA(M45),0,OFFSET(INDIRECT("'"&amp;DG$25&amp;"'!g1"),M45-1,)*BQ45)</f>
        <v>#REF!</v>
      </c>
      <c r="DM45" s="10" t="e" cm="1">
        <f t="array" aca="1" ref="DM45" ca="1">IF(ISNA(E45),0,OFFSET(INDIRECT("'"&amp;CY$25&amp;"'!h1"),E45-1,))</f>
        <v>#REF!</v>
      </c>
      <c r="DN45" s="10" t="e" cm="1">
        <f t="array" aca="1" ref="DN45" ca="1">IF(ISNA(F45),0,OFFSET(INDIRECT("'"&amp;CZ$25&amp;"'!h1"),F45-1,))</f>
        <v>#REF!</v>
      </c>
      <c r="DO45" s="10" t="e" cm="1">
        <f t="array" aca="1" ref="DO45" ca="1">IF(ISNA(G45),0,OFFSET(INDIRECT("'"&amp;DA$25&amp;"'!h1"),G45-1,))</f>
        <v>#REF!</v>
      </c>
      <c r="DP45" s="10" t="e" cm="1">
        <f t="array" aca="1" ref="DP45" ca="1">IF(ISNA(H45),0,OFFSET(INDIRECT("'"&amp;DB$25&amp;"'!h1"),H45-1,))</f>
        <v>#REF!</v>
      </c>
      <c r="DQ45" s="10" t="e" cm="1">
        <f t="array" aca="1" ref="DQ45" ca="1">IF(ISNA(I45),0,OFFSET(INDIRECT("'"&amp;DC$25&amp;"'!h1"),I45-1,))</f>
        <v>#REF!</v>
      </c>
      <c r="DR45" s="10" t="e" cm="1">
        <f t="array" aca="1" ref="DR45" ca="1">IF(ISNA(J45),0,OFFSET(INDIRECT("'"&amp;DD$25&amp;"'!h1"),J45-1,))</f>
        <v>#REF!</v>
      </c>
      <c r="DS45" s="10" t="e" cm="1">
        <f t="array" aca="1" ref="DS45" ca="1">IF(ISNA(K45),0,OFFSET(INDIRECT("'"&amp;DE$25&amp;"'!h1"),K45-1,))</f>
        <v>#REF!</v>
      </c>
      <c r="DT45" s="10" t="e" cm="1">
        <f t="array" aca="1" ref="DT45" ca="1">IF(ISNA(L45),0,OFFSET(INDIRECT("'"&amp;DF$25&amp;"'!h1"),L45-1,))</f>
        <v>#REF!</v>
      </c>
      <c r="DU45" s="10" t="e" cm="1">
        <f t="array" aca="1" ref="DU45" ca="1">IF(ISNA(M45),0,OFFSET(INDIRECT("'"&amp;DG$25&amp;"'!h1"),M45-1,))</f>
        <v>#REF!</v>
      </c>
      <c r="DV45" s="10"/>
      <c r="DW45" s="10"/>
      <c r="DX45" s="10"/>
      <c r="DY45" s="10"/>
      <c r="EA45" s="11"/>
      <c r="EB45" s="11"/>
      <c r="EC45" s="11"/>
      <c r="ED45" s="11"/>
      <c r="EE45" s="11"/>
      <c r="EF45" s="1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53F7-A33F-7C4D-A8F8-190EE739ED03}">
  <dimension ref="A1:I48"/>
  <sheetViews>
    <sheetView topLeftCell="A17"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312</v>
      </c>
    </row>
    <row r="22" spans="1:9" x14ac:dyDescent="0.2">
      <c r="A22" t="s">
        <v>90</v>
      </c>
    </row>
    <row r="23" spans="1:9" x14ac:dyDescent="0.2">
      <c r="A23" t="s">
        <v>182</v>
      </c>
    </row>
    <row r="24" spans="1:9" x14ac:dyDescent="0.2">
      <c r="A24" t="s">
        <v>183</v>
      </c>
    </row>
    <row r="25" spans="1:9" x14ac:dyDescent="0.2">
      <c r="A25" t="s">
        <v>184</v>
      </c>
    </row>
    <row r="26" spans="1:9" x14ac:dyDescent="0.2">
      <c r="A26" t="s">
        <v>313</v>
      </c>
    </row>
    <row r="27" spans="1:9" x14ac:dyDescent="0.2">
      <c r="A27" t="s">
        <v>92</v>
      </c>
    </row>
    <row r="28" spans="1:9" x14ac:dyDescent="0.2">
      <c r="A28" t="s">
        <v>93</v>
      </c>
      <c r="B28" t="s">
        <v>61</v>
      </c>
      <c r="C28" t="s">
        <v>94</v>
      </c>
      <c r="D28" t="s">
        <v>95</v>
      </c>
      <c r="E28" t="s">
        <v>124</v>
      </c>
      <c r="F28" t="s">
        <v>125</v>
      </c>
      <c r="G28" t="s">
        <v>58</v>
      </c>
      <c r="H28" t="s">
        <v>59</v>
      </c>
      <c r="I28" t="s">
        <v>126</v>
      </c>
    </row>
    <row r="29" spans="1:9" x14ac:dyDescent="0.2">
      <c r="A29" t="s">
        <v>96</v>
      </c>
      <c r="B29">
        <v>72</v>
      </c>
      <c r="C29">
        <v>12</v>
      </c>
      <c r="D29">
        <v>6</v>
      </c>
      <c r="E29">
        <v>0</v>
      </c>
      <c r="F29">
        <v>37.949037022888596</v>
      </c>
      <c r="G29">
        <v>2942</v>
      </c>
      <c r="H29">
        <v>10000</v>
      </c>
      <c r="I29" t="s">
        <v>314</v>
      </c>
    </row>
    <row r="30" spans="1:9" x14ac:dyDescent="0.2">
      <c r="A30" t="s">
        <v>97</v>
      </c>
      <c r="B30">
        <v>90</v>
      </c>
      <c r="C30">
        <v>8</v>
      </c>
      <c r="D30">
        <v>10</v>
      </c>
      <c r="E30">
        <v>0</v>
      </c>
      <c r="F30">
        <v>43.942550800740698</v>
      </c>
      <c r="G30">
        <v>1699</v>
      </c>
      <c r="H30">
        <v>10000</v>
      </c>
      <c r="I30" t="s">
        <v>315</v>
      </c>
    </row>
    <row r="31" spans="1:9" x14ac:dyDescent="0.2">
      <c r="A31" t="s">
        <v>98</v>
      </c>
      <c r="B31">
        <v>108</v>
      </c>
      <c r="C31">
        <v>8</v>
      </c>
      <c r="D31">
        <v>10</v>
      </c>
      <c r="E31">
        <v>0</v>
      </c>
      <c r="F31">
        <v>55.367445074021802</v>
      </c>
      <c r="G31">
        <v>182</v>
      </c>
      <c r="H31">
        <v>10000</v>
      </c>
      <c r="I31" t="s">
        <v>316</v>
      </c>
    </row>
    <row r="32" spans="1:9" x14ac:dyDescent="0.2">
      <c r="A32" t="s">
        <v>99</v>
      </c>
      <c r="B32">
        <v>144</v>
      </c>
      <c r="C32">
        <v>12</v>
      </c>
      <c r="D32">
        <v>12</v>
      </c>
      <c r="E32">
        <v>0</v>
      </c>
      <c r="F32">
        <v>67.134489201009202</v>
      </c>
      <c r="G32">
        <v>1091</v>
      </c>
      <c r="H32">
        <v>10000</v>
      </c>
      <c r="I32" t="s">
        <v>317</v>
      </c>
    </row>
    <row r="33" spans="1:9" x14ac:dyDescent="0.2">
      <c r="A33" t="s">
        <v>100</v>
      </c>
      <c r="B33">
        <v>288</v>
      </c>
      <c r="C33">
        <v>12</v>
      </c>
      <c r="D33">
        <v>18</v>
      </c>
      <c r="E33">
        <v>0</v>
      </c>
      <c r="F33">
        <v>108.3096947968</v>
      </c>
      <c r="G33">
        <v>24</v>
      </c>
      <c r="H33">
        <v>10000</v>
      </c>
      <c r="I33" t="s">
        <v>318</v>
      </c>
    </row>
    <row r="34" spans="1:9" x14ac:dyDescent="0.2">
      <c r="A34" t="s">
        <v>101</v>
      </c>
      <c r="B34">
        <v>360</v>
      </c>
      <c r="C34">
        <v>12</v>
      </c>
      <c r="D34">
        <v>26</v>
      </c>
      <c r="E34">
        <v>2</v>
      </c>
      <c r="F34">
        <v>95.366345353424506</v>
      </c>
      <c r="G34">
        <v>4</v>
      </c>
      <c r="H34">
        <v>10000</v>
      </c>
      <c r="I34" t="s">
        <v>319</v>
      </c>
    </row>
    <row r="35" spans="1:9" x14ac:dyDescent="0.2">
      <c r="A35" t="s">
        <v>102</v>
      </c>
      <c r="B35">
        <v>756</v>
      </c>
      <c r="C35">
        <v>16</v>
      </c>
      <c r="D35">
        <v>58</v>
      </c>
      <c r="E35">
        <v>24</v>
      </c>
      <c r="F35">
        <v>237.84220930933901</v>
      </c>
      <c r="G35">
        <v>1</v>
      </c>
      <c r="H35">
        <v>10000</v>
      </c>
      <c r="I35" t="s">
        <v>320</v>
      </c>
    </row>
    <row r="36" spans="1:9" x14ac:dyDescent="0.2">
      <c r="A36" t="s">
        <v>103</v>
      </c>
      <c r="B36">
        <v>216</v>
      </c>
      <c r="C36">
        <v>8</v>
      </c>
      <c r="D36">
        <v>10</v>
      </c>
      <c r="E36">
        <v>0</v>
      </c>
      <c r="F36">
        <v>52.343140885233801</v>
      </c>
      <c r="G36">
        <v>360</v>
      </c>
      <c r="H36">
        <v>10000</v>
      </c>
      <c r="I36" t="s">
        <v>321</v>
      </c>
    </row>
    <row r="37" spans="1:9" x14ac:dyDescent="0.2">
      <c r="A37" t="s">
        <v>104</v>
      </c>
      <c r="B37">
        <v>576</v>
      </c>
      <c r="C37">
        <v>8</v>
      </c>
      <c r="D37">
        <v>30</v>
      </c>
      <c r="E37">
        <v>6</v>
      </c>
      <c r="F37">
        <v>157.372825466096</v>
      </c>
      <c r="G37">
        <v>1</v>
      </c>
      <c r="H37">
        <v>10000</v>
      </c>
      <c r="I37" t="s">
        <v>322</v>
      </c>
    </row>
    <row r="38" spans="1:9" x14ac:dyDescent="0.2">
      <c r="A38" t="s">
        <v>105</v>
      </c>
      <c r="B38">
        <v>864</v>
      </c>
      <c r="C38">
        <v>4</v>
      </c>
      <c r="D38">
        <v>68</v>
      </c>
      <c r="E38">
        <v>28</v>
      </c>
      <c r="F38">
        <v>287.618100143969</v>
      </c>
      <c r="G38">
        <v>1</v>
      </c>
      <c r="H38">
        <v>10000</v>
      </c>
      <c r="I38" t="s">
        <v>323</v>
      </c>
    </row>
    <row r="39" spans="1:9" x14ac:dyDescent="0.2">
      <c r="A39" t="s">
        <v>106</v>
      </c>
      <c r="B39">
        <v>648</v>
      </c>
      <c r="C39">
        <v>4</v>
      </c>
      <c r="D39">
        <v>58</v>
      </c>
      <c r="E39">
        <v>26</v>
      </c>
      <c r="F39">
        <v>168.018183149397</v>
      </c>
      <c r="G39">
        <v>1</v>
      </c>
      <c r="H39">
        <v>10000</v>
      </c>
      <c r="I39" t="s">
        <v>324</v>
      </c>
    </row>
    <row r="40" spans="1:9" x14ac:dyDescent="0.2">
      <c r="A40" t="s">
        <v>107</v>
      </c>
      <c r="B40">
        <v>1080</v>
      </c>
      <c r="C40">
        <v>4</v>
      </c>
      <c r="D40">
        <v>104</v>
      </c>
      <c r="E40">
        <v>48</v>
      </c>
      <c r="F40">
        <v>384.635813742876</v>
      </c>
      <c r="G40">
        <v>1</v>
      </c>
      <c r="H40">
        <v>10000</v>
      </c>
      <c r="I40" t="s">
        <v>325</v>
      </c>
    </row>
    <row r="41" spans="1:9" x14ac:dyDescent="0.2">
      <c r="A41" t="s">
        <v>108</v>
      </c>
      <c r="B41">
        <v>1296</v>
      </c>
      <c r="C41">
        <v>4</v>
      </c>
      <c r="D41">
        <v>180</v>
      </c>
      <c r="E41">
        <v>130</v>
      </c>
      <c r="F41">
        <v>536.59048515558197</v>
      </c>
      <c r="G41">
        <v>1</v>
      </c>
      <c r="H41">
        <v>10000</v>
      </c>
      <c r="I41" t="s">
        <v>326</v>
      </c>
    </row>
    <row r="42" spans="1:9" x14ac:dyDescent="0.2">
      <c r="A42" t="s">
        <v>109</v>
      </c>
      <c r="B42">
        <v>1152</v>
      </c>
      <c r="C42">
        <v>4</v>
      </c>
      <c r="D42">
        <v>138</v>
      </c>
      <c r="E42">
        <v>96</v>
      </c>
      <c r="F42">
        <v>430.69975076615799</v>
      </c>
      <c r="G42">
        <v>1</v>
      </c>
      <c r="H42">
        <v>10000</v>
      </c>
      <c r="I42" t="s">
        <v>327</v>
      </c>
    </row>
    <row r="43" spans="1:9" x14ac:dyDescent="0.2">
      <c r="A43" t="s">
        <v>110</v>
      </c>
      <c r="B43">
        <v>1728</v>
      </c>
      <c r="C43">
        <v>4</v>
      </c>
      <c r="D43">
        <v>190</v>
      </c>
      <c r="E43">
        <v>126</v>
      </c>
      <c r="F43">
        <v>930.97207109630097</v>
      </c>
      <c r="G43">
        <v>1</v>
      </c>
      <c r="H43">
        <v>10000</v>
      </c>
      <c r="I43" t="s">
        <v>328</v>
      </c>
    </row>
    <row r="44" spans="1:9" x14ac:dyDescent="0.2">
      <c r="A44" t="s">
        <v>111</v>
      </c>
      <c r="B44">
        <v>2016</v>
      </c>
      <c r="C44">
        <v>8</v>
      </c>
      <c r="D44">
        <v>94</v>
      </c>
      <c r="E44">
        <v>40</v>
      </c>
      <c r="F44">
        <v>1148.09905991703</v>
      </c>
      <c r="G44">
        <v>1</v>
      </c>
      <c r="H44">
        <v>10000</v>
      </c>
      <c r="I44" t="s">
        <v>329</v>
      </c>
    </row>
    <row r="45" spans="1:9" x14ac:dyDescent="0.2">
      <c r="A45" t="s">
        <v>112</v>
      </c>
      <c r="B45">
        <v>2160</v>
      </c>
      <c r="C45">
        <v>8</v>
      </c>
      <c r="D45">
        <v>292</v>
      </c>
      <c r="E45">
        <v>228</v>
      </c>
      <c r="F45">
        <v>1425.21651783585</v>
      </c>
      <c r="G45">
        <v>1</v>
      </c>
      <c r="H45">
        <v>10000</v>
      </c>
      <c r="I45" t="s">
        <v>330</v>
      </c>
    </row>
    <row r="46" spans="1:9" x14ac:dyDescent="0.2">
      <c r="A46" t="s">
        <v>113</v>
      </c>
      <c r="B46">
        <v>2520</v>
      </c>
      <c r="C46">
        <v>8</v>
      </c>
      <c r="D46">
        <v>92</v>
      </c>
      <c r="E46">
        <v>38</v>
      </c>
      <c r="F46">
        <v>1784.0488536134301</v>
      </c>
      <c r="G46">
        <v>1</v>
      </c>
      <c r="H46">
        <v>10000</v>
      </c>
      <c r="I46" t="s">
        <v>331</v>
      </c>
    </row>
    <row r="47" spans="1:9" x14ac:dyDescent="0.2">
      <c r="A47" t="s">
        <v>114</v>
      </c>
      <c r="B47">
        <v>2592</v>
      </c>
      <c r="C47">
        <v>8</v>
      </c>
      <c r="D47">
        <v>88</v>
      </c>
      <c r="E47">
        <v>52</v>
      </c>
      <c r="F47">
        <v>1928.8686101287601</v>
      </c>
      <c r="G47">
        <v>1</v>
      </c>
      <c r="H47">
        <v>10000</v>
      </c>
      <c r="I47" t="s">
        <v>332</v>
      </c>
    </row>
    <row r="48" spans="1:9" x14ac:dyDescent="0.2">
      <c r="A48" t="s">
        <v>115</v>
      </c>
      <c r="B48">
        <v>3024</v>
      </c>
      <c r="C48">
        <v>4</v>
      </c>
      <c r="D48">
        <v>230</v>
      </c>
      <c r="E48">
        <v>146</v>
      </c>
      <c r="F48">
        <v>2832.1565948575699</v>
      </c>
      <c r="G48">
        <v>1</v>
      </c>
      <c r="H48">
        <v>10000</v>
      </c>
      <c r="I48" t="s">
        <v>333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90CA2-4E9A-7843-918B-9EDFCF421AF3}">
  <dimension ref="A1:I50"/>
  <sheetViews>
    <sheetView topLeftCell="A17"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334</v>
      </c>
    </row>
    <row r="25" spans="1:9" x14ac:dyDescent="0.2">
      <c r="A25" t="s">
        <v>184</v>
      </c>
    </row>
    <row r="26" spans="1:9" x14ac:dyDescent="0.2">
      <c r="A26" t="s">
        <v>185</v>
      </c>
    </row>
    <row r="27" spans="1:9" x14ac:dyDescent="0.2">
      <c r="A27" t="s">
        <v>186</v>
      </c>
    </row>
    <row r="28" spans="1:9" x14ac:dyDescent="0.2">
      <c r="A28" t="s">
        <v>335</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67.802206426858902</v>
      </c>
      <c r="G31">
        <v>9024</v>
      </c>
      <c r="H31">
        <v>10000</v>
      </c>
      <c r="I31" t="s">
        <v>336</v>
      </c>
    </row>
    <row r="32" spans="1:9" x14ac:dyDescent="0.2">
      <c r="A32" t="s">
        <v>97</v>
      </c>
      <c r="B32">
        <v>90</v>
      </c>
      <c r="C32">
        <v>8</v>
      </c>
      <c r="D32">
        <v>10</v>
      </c>
      <c r="E32">
        <v>0</v>
      </c>
      <c r="F32">
        <v>79.874656520783901</v>
      </c>
      <c r="G32">
        <v>7181</v>
      </c>
      <c r="H32">
        <v>10000</v>
      </c>
      <c r="I32" t="s">
        <v>337</v>
      </c>
    </row>
    <row r="33" spans="1:9" x14ac:dyDescent="0.2">
      <c r="A33" t="s">
        <v>98</v>
      </c>
      <c r="B33">
        <v>108</v>
      </c>
      <c r="C33">
        <v>8</v>
      </c>
      <c r="D33">
        <v>10</v>
      </c>
      <c r="E33">
        <v>0</v>
      </c>
      <c r="F33">
        <v>94.419730454683304</v>
      </c>
      <c r="G33">
        <v>1345</v>
      </c>
      <c r="H33">
        <v>10000</v>
      </c>
      <c r="I33" t="s">
        <v>338</v>
      </c>
    </row>
    <row r="34" spans="1:9" x14ac:dyDescent="0.2">
      <c r="A34" t="s">
        <v>99</v>
      </c>
      <c r="B34">
        <v>144</v>
      </c>
      <c r="C34">
        <v>12</v>
      </c>
      <c r="D34">
        <v>12</v>
      </c>
      <c r="E34">
        <v>0</v>
      </c>
      <c r="F34">
        <v>133.836304463446</v>
      </c>
      <c r="G34">
        <v>6098</v>
      </c>
      <c r="H34">
        <v>10000</v>
      </c>
      <c r="I34" t="s">
        <v>339</v>
      </c>
    </row>
    <row r="35" spans="1:9" x14ac:dyDescent="0.2">
      <c r="A35" t="s">
        <v>100</v>
      </c>
      <c r="B35">
        <v>288</v>
      </c>
      <c r="C35">
        <v>12</v>
      </c>
      <c r="D35">
        <v>18</v>
      </c>
      <c r="E35">
        <v>0</v>
      </c>
      <c r="F35">
        <v>220.28159029781801</v>
      </c>
      <c r="G35">
        <v>40</v>
      </c>
      <c r="H35">
        <v>10000</v>
      </c>
      <c r="I35" t="s">
        <v>340</v>
      </c>
    </row>
    <row r="36" spans="1:9" x14ac:dyDescent="0.2">
      <c r="A36" t="s">
        <v>101</v>
      </c>
      <c r="B36">
        <v>360</v>
      </c>
      <c r="C36">
        <v>12</v>
      </c>
      <c r="D36">
        <v>24</v>
      </c>
      <c r="E36">
        <v>0</v>
      </c>
      <c r="F36">
        <v>217.79701631516201</v>
      </c>
      <c r="G36">
        <v>34</v>
      </c>
      <c r="H36">
        <v>10000</v>
      </c>
      <c r="I36" t="s">
        <v>341</v>
      </c>
    </row>
    <row r="37" spans="1:9" x14ac:dyDescent="0.2">
      <c r="A37" t="s">
        <v>102</v>
      </c>
      <c r="B37">
        <v>756</v>
      </c>
      <c r="C37">
        <v>16</v>
      </c>
      <c r="D37">
        <v>40</v>
      </c>
      <c r="E37">
        <v>6</v>
      </c>
      <c r="F37">
        <v>1010.39077883958</v>
      </c>
      <c r="G37">
        <v>1</v>
      </c>
      <c r="H37">
        <v>10000</v>
      </c>
      <c r="I37" t="s">
        <v>342</v>
      </c>
    </row>
    <row r="38" spans="1:9" x14ac:dyDescent="0.2">
      <c r="A38" t="s">
        <v>103</v>
      </c>
      <c r="B38">
        <v>216</v>
      </c>
      <c r="C38">
        <v>8</v>
      </c>
      <c r="D38">
        <v>10</v>
      </c>
      <c r="E38">
        <v>0</v>
      </c>
      <c r="F38">
        <v>121.350372195243</v>
      </c>
      <c r="G38">
        <v>4550</v>
      </c>
      <c r="H38">
        <v>10000</v>
      </c>
      <c r="I38" t="s">
        <v>343</v>
      </c>
    </row>
    <row r="39" spans="1:9" x14ac:dyDescent="0.2">
      <c r="A39" t="s">
        <v>104</v>
      </c>
      <c r="B39">
        <v>576</v>
      </c>
      <c r="C39">
        <v>8</v>
      </c>
      <c r="D39">
        <v>24</v>
      </c>
      <c r="E39">
        <v>0</v>
      </c>
      <c r="F39">
        <v>497.21109440922697</v>
      </c>
      <c r="G39">
        <v>3</v>
      </c>
      <c r="H39">
        <v>10000</v>
      </c>
      <c r="I39" t="s">
        <v>344</v>
      </c>
    </row>
    <row r="40" spans="1:9" x14ac:dyDescent="0.2">
      <c r="A40" t="s">
        <v>105</v>
      </c>
      <c r="B40">
        <v>864</v>
      </c>
      <c r="C40">
        <v>4</v>
      </c>
      <c r="D40">
        <v>62</v>
      </c>
      <c r="E40">
        <v>22</v>
      </c>
      <c r="F40">
        <v>1445.89219433069</v>
      </c>
      <c r="G40">
        <v>1</v>
      </c>
      <c r="H40">
        <v>10000</v>
      </c>
      <c r="I40" t="s">
        <v>345</v>
      </c>
    </row>
    <row r="41" spans="1:9" x14ac:dyDescent="0.2">
      <c r="A41" t="s">
        <v>106</v>
      </c>
      <c r="B41">
        <v>648</v>
      </c>
      <c r="C41">
        <v>4</v>
      </c>
      <c r="D41">
        <v>42</v>
      </c>
      <c r="E41">
        <v>10</v>
      </c>
      <c r="F41">
        <v>650.17462390661206</v>
      </c>
      <c r="G41">
        <v>2</v>
      </c>
      <c r="H41">
        <v>10000</v>
      </c>
      <c r="I41" t="s">
        <v>346</v>
      </c>
    </row>
    <row r="42" spans="1:9" x14ac:dyDescent="0.2">
      <c r="A42" t="s">
        <v>107</v>
      </c>
      <c r="B42">
        <v>1080</v>
      </c>
      <c r="C42">
        <v>4</v>
      </c>
      <c r="D42">
        <v>86</v>
      </c>
      <c r="E42">
        <v>30</v>
      </c>
      <c r="F42">
        <v>2516.6576645970299</v>
      </c>
      <c r="G42">
        <v>2</v>
      </c>
      <c r="H42">
        <v>10000</v>
      </c>
      <c r="I42" t="s">
        <v>347</v>
      </c>
    </row>
    <row r="43" spans="1:9" x14ac:dyDescent="0.2">
      <c r="A43" t="s">
        <v>108</v>
      </c>
      <c r="B43">
        <v>1296</v>
      </c>
      <c r="C43">
        <v>4</v>
      </c>
      <c r="D43">
        <v>112</v>
      </c>
      <c r="E43">
        <v>62</v>
      </c>
      <c r="F43">
        <v>4813.0632145032196</v>
      </c>
      <c r="G43">
        <v>1</v>
      </c>
      <c r="H43">
        <v>10000</v>
      </c>
      <c r="I43" t="s">
        <v>348</v>
      </c>
    </row>
    <row r="44" spans="1:9" x14ac:dyDescent="0.2">
      <c r="A44" t="s">
        <v>109</v>
      </c>
      <c r="B44">
        <v>1152</v>
      </c>
      <c r="C44">
        <v>4</v>
      </c>
      <c r="D44">
        <v>74</v>
      </c>
      <c r="E44">
        <v>32</v>
      </c>
      <c r="F44">
        <v>3459.5727841183498</v>
      </c>
      <c r="G44">
        <v>1</v>
      </c>
      <c r="H44">
        <v>10000</v>
      </c>
      <c r="I44" t="s">
        <v>349</v>
      </c>
    </row>
    <row r="45" spans="1:9" x14ac:dyDescent="0.2">
      <c r="A45" t="s">
        <v>110</v>
      </c>
      <c r="B45">
        <v>1728</v>
      </c>
      <c r="C45">
        <v>4</v>
      </c>
      <c r="D45">
        <v>190</v>
      </c>
      <c r="E45">
        <v>126</v>
      </c>
      <c r="F45">
        <v>13792.239330403499</v>
      </c>
      <c r="G45">
        <v>1</v>
      </c>
      <c r="H45">
        <v>10000</v>
      </c>
      <c r="I45" t="s">
        <v>350</v>
      </c>
    </row>
    <row r="46" spans="1:9" x14ac:dyDescent="0.2">
      <c r="A46" t="s">
        <v>111</v>
      </c>
      <c r="B46">
        <v>2016</v>
      </c>
      <c r="C46">
        <v>8</v>
      </c>
      <c r="D46">
        <v>68</v>
      </c>
      <c r="E46">
        <v>14</v>
      </c>
      <c r="F46">
        <v>4900.5215945690798</v>
      </c>
      <c r="G46">
        <v>1</v>
      </c>
      <c r="H46">
        <v>10000</v>
      </c>
      <c r="I46" t="s">
        <v>351</v>
      </c>
    </row>
    <row r="47" spans="1:9" x14ac:dyDescent="0.2">
      <c r="A47" t="s">
        <v>112</v>
      </c>
      <c r="B47">
        <v>2160</v>
      </c>
      <c r="C47">
        <v>8</v>
      </c>
      <c r="D47">
        <v>210</v>
      </c>
      <c r="E47">
        <v>146</v>
      </c>
      <c r="F47">
        <v>30687.478000737701</v>
      </c>
      <c r="G47">
        <v>1</v>
      </c>
      <c r="H47">
        <v>10000</v>
      </c>
      <c r="I47" t="s">
        <v>352</v>
      </c>
    </row>
    <row r="48" spans="1:9" x14ac:dyDescent="0.2">
      <c r="A48" t="s">
        <v>113</v>
      </c>
      <c r="B48">
        <v>2520</v>
      </c>
      <c r="C48">
        <v>8</v>
      </c>
      <c r="D48">
        <v>70</v>
      </c>
      <c r="E48">
        <v>16</v>
      </c>
      <c r="F48">
        <v>7672.1695827022104</v>
      </c>
      <c r="G48">
        <v>1</v>
      </c>
      <c r="H48">
        <v>10000</v>
      </c>
      <c r="I48" t="s">
        <v>353</v>
      </c>
    </row>
    <row r="49" spans="1:9" x14ac:dyDescent="0.2">
      <c r="A49" t="s">
        <v>114</v>
      </c>
      <c r="B49">
        <v>2592</v>
      </c>
      <c r="C49">
        <v>8</v>
      </c>
      <c r="D49">
        <v>66</v>
      </c>
      <c r="E49">
        <v>30</v>
      </c>
      <c r="F49">
        <v>11021.201623581301</v>
      </c>
      <c r="G49">
        <v>1</v>
      </c>
      <c r="H49">
        <v>10000</v>
      </c>
      <c r="I49" t="s">
        <v>354</v>
      </c>
    </row>
    <row r="50" spans="1:9" x14ac:dyDescent="0.2">
      <c r="A50" t="s">
        <v>115</v>
      </c>
      <c r="B50">
        <v>3024</v>
      </c>
      <c r="C50">
        <v>4</v>
      </c>
      <c r="D50">
        <v>178</v>
      </c>
      <c r="E50">
        <v>94</v>
      </c>
      <c r="F50">
        <v>52868.620301037998</v>
      </c>
      <c r="G50">
        <v>1</v>
      </c>
      <c r="H50">
        <v>10000</v>
      </c>
      <c r="I50" t="s">
        <v>355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2FD1-DE7B-3646-B2E7-D33A68BF5852}">
  <dimension ref="A1:I50"/>
  <sheetViews>
    <sheetView topLeftCell="A22"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184</v>
      </c>
    </row>
    <row r="26" spans="1:9" x14ac:dyDescent="0.2">
      <c r="A26" t="s">
        <v>185</v>
      </c>
    </row>
    <row r="27" spans="1:9" x14ac:dyDescent="0.2">
      <c r="A27" t="s">
        <v>209</v>
      </c>
    </row>
    <row r="28" spans="1:9" x14ac:dyDescent="0.2">
      <c r="A28" t="s">
        <v>356</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38.716041542589601</v>
      </c>
      <c r="G31">
        <v>9525</v>
      </c>
      <c r="H31">
        <v>10000</v>
      </c>
      <c r="I31" t="s">
        <v>357</v>
      </c>
    </row>
    <row r="32" spans="1:9" x14ac:dyDescent="0.2">
      <c r="A32" t="s">
        <v>97</v>
      </c>
      <c r="B32">
        <v>90</v>
      </c>
      <c r="C32">
        <v>8</v>
      </c>
      <c r="D32">
        <v>10</v>
      </c>
      <c r="E32">
        <v>0</v>
      </c>
      <c r="F32">
        <v>44.969456493854501</v>
      </c>
      <c r="G32">
        <v>7904</v>
      </c>
      <c r="H32">
        <v>10000</v>
      </c>
      <c r="I32" t="s">
        <v>358</v>
      </c>
    </row>
    <row r="33" spans="1:9" x14ac:dyDescent="0.2">
      <c r="A33" t="s">
        <v>98</v>
      </c>
      <c r="B33">
        <v>108</v>
      </c>
      <c r="C33">
        <v>8</v>
      </c>
      <c r="D33">
        <v>10</v>
      </c>
      <c r="E33">
        <v>0</v>
      </c>
      <c r="F33">
        <v>51.415630728006299</v>
      </c>
      <c r="G33">
        <v>1606</v>
      </c>
      <c r="H33">
        <v>10000</v>
      </c>
      <c r="I33" t="s">
        <v>359</v>
      </c>
    </row>
    <row r="34" spans="1:9" x14ac:dyDescent="0.2">
      <c r="A34" t="s">
        <v>99</v>
      </c>
      <c r="B34">
        <v>144</v>
      </c>
      <c r="C34">
        <v>12</v>
      </c>
      <c r="D34">
        <v>12</v>
      </c>
      <c r="E34">
        <v>0</v>
      </c>
      <c r="F34">
        <v>70.149988144636097</v>
      </c>
      <c r="G34">
        <v>6815</v>
      </c>
      <c r="H34">
        <v>10000</v>
      </c>
      <c r="I34" t="s">
        <v>360</v>
      </c>
    </row>
    <row r="35" spans="1:9" x14ac:dyDescent="0.2">
      <c r="A35" t="s">
        <v>100</v>
      </c>
      <c r="B35">
        <v>288</v>
      </c>
      <c r="C35">
        <v>12</v>
      </c>
      <c r="D35">
        <v>18</v>
      </c>
      <c r="E35">
        <v>0</v>
      </c>
      <c r="F35">
        <v>130.029990404844</v>
      </c>
      <c r="G35">
        <v>204</v>
      </c>
      <c r="H35">
        <v>10000</v>
      </c>
      <c r="I35" t="s">
        <v>361</v>
      </c>
    </row>
    <row r="36" spans="1:9" x14ac:dyDescent="0.2">
      <c r="A36" t="s">
        <v>101</v>
      </c>
      <c r="B36">
        <v>360</v>
      </c>
      <c r="C36">
        <v>12</v>
      </c>
      <c r="D36">
        <v>24</v>
      </c>
      <c r="E36">
        <v>0</v>
      </c>
      <c r="F36">
        <v>137.32568715512701</v>
      </c>
      <c r="G36">
        <v>24</v>
      </c>
      <c r="H36">
        <v>10000</v>
      </c>
      <c r="I36" t="s">
        <v>362</v>
      </c>
    </row>
    <row r="37" spans="1:9" x14ac:dyDescent="0.2">
      <c r="A37" t="s">
        <v>102</v>
      </c>
      <c r="B37">
        <v>756</v>
      </c>
      <c r="C37">
        <v>16</v>
      </c>
      <c r="D37">
        <v>38</v>
      </c>
      <c r="E37">
        <v>4</v>
      </c>
      <c r="F37">
        <v>767.67065050452902</v>
      </c>
      <c r="G37">
        <v>1</v>
      </c>
      <c r="H37">
        <v>10000</v>
      </c>
      <c r="I37" t="s">
        <v>363</v>
      </c>
    </row>
    <row r="38" spans="1:9" x14ac:dyDescent="0.2">
      <c r="A38" t="s">
        <v>103</v>
      </c>
      <c r="B38">
        <v>216</v>
      </c>
      <c r="C38">
        <v>8</v>
      </c>
      <c r="D38">
        <v>10</v>
      </c>
      <c r="E38">
        <v>0</v>
      </c>
      <c r="F38">
        <v>51.204210698604498</v>
      </c>
      <c r="G38">
        <v>4503</v>
      </c>
      <c r="H38">
        <v>10000</v>
      </c>
      <c r="I38" t="s">
        <v>364</v>
      </c>
    </row>
    <row r="39" spans="1:9" x14ac:dyDescent="0.2">
      <c r="A39" t="s">
        <v>104</v>
      </c>
      <c r="B39">
        <v>576</v>
      </c>
      <c r="C39">
        <v>8</v>
      </c>
      <c r="D39">
        <v>24</v>
      </c>
      <c r="E39">
        <v>0</v>
      </c>
      <c r="F39">
        <v>336.84608729928698</v>
      </c>
      <c r="G39">
        <v>2</v>
      </c>
      <c r="H39">
        <v>10000</v>
      </c>
      <c r="I39" t="s">
        <v>365</v>
      </c>
    </row>
    <row r="40" spans="1:9" x14ac:dyDescent="0.2">
      <c r="A40" t="s">
        <v>105</v>
      </c>
      <c r="B40">
        <v>864</v>
      </c>
      <c r="C40">
        <v>4</v>
      </c>
      <c r="D40">
        <v>58</v>
      </c>
      <c r="E40">
        <v>18</v>
      </c>
      <c r="F40">
        <v>1155.28635477274</v>
      </c>
      <c r="G40">
        <v>1</v>
      </c>
      <c r="H40">
        <v>10000</v>
      </c>
      <c r="I40" t="s">
        <v>366</v>
      </c>
    </row>
    <row r="41" spans="1:9" x14ac:dyDescent="0.2">
      <c r="A41" t="s">
        <v>106</v>
      </c>
      <c r="B41">
        <v>648</v>
      </c>
      <c r="C41">
        <v>4</v>
      </c>
      <c r="D41">
        <v>36</v>
      </c>
      <c r="E41">
        <v>4</v>
      </c>
      <c r="F41">
        <v>472.78645669668902</v>
      </c>
      <c r="G41">
        <v>1</v>
      </c>
      <c r="H41">
        <v>10000</v>
      </c>
      <c r="I41" t="s">
        <v>367</v>
      </c>
    </row>
    <row r="42" spans="1:9" x14ac:dyDescent="0.2">
      <c r="A42" t="s">
        <v>107</v>
      </c>
      <c r="B42">
        <v>1080</v>
      </c>
      <c r="C42">
        <v>4</v>
      </c>
      <c r="D42">
        <v>90</v>
      </c>
      <c r="E42">
        <v>34</v>
      </c>
      <c r="F42">
        <v>2174.3529365509698</v>
      </c>
      <c r="G42">
        <v>2</v>
      </c>
      <c r="H42">
        <v>10000</v>
      </c>
      <c r="I42" t="s">
        <v>368</v>
      </c>
    </row>
    <row r="43" spans="1:9" x14ac:dyDescent="0.2">
      <c r="A43" t="s">
        <v>108</v>
      </c>
      <c r="B43">
        <v>1296</v>
      </c>
      <c r="C43">
        <v>4</v>
      </c>
      <c r="D43">
        <v>132</v>
      </c>
      <c r="E43">
        <v>82</v>
      </c>
      <c r="F43">
        <v>4189.4271776825099</v>
      </c>
      <c r="G43">
        <v>1</v>
      </c>
      <c r="H43">
        <v>10000</v>
      </c>
      <c r="I43" t="s">
        <v>369</v>
      </c>
    </row>
    <row r="44" spans="1:9" x14ac:dyDescent="0.2">
      <c r="A44" t="s">
        <v>109</v>
      </c>
      <c r="B44">
        <v>1152</v>
      </c>
      <c r="C44">
        <v>4</v>
      </c>
      <c r="D44">
        <v>74</v>
      </c>
      <c r="E44">
        <v>32</v>
      </c>
      <c r="F44">
        <v>2939.7176042348101</v>
      </c>
      <c r="G44">
        <v>1</v>
      </c>
      <c r="H44">
        <v>10000</v>
      </c>
      <c r="I44" t="s">
        <v>370</v>
      </c>
    </row>
    <row r="45" spans="1:9" x14ac:dyDescent="0.2">
      <c r="A45" t="s">
        <v>110</v>
      </c>
      <c r="B45">
        <v>1728</v>
      </c>
      <c r="C45">
        <v>4</v>
      </c>
      <c r="D45">
        <v>160</v>
      </c>
      <c r="E45">
        <v>96</v>
      </c>
      <c r="F45">
        <v>13160.2005706205</v>
      </c>
      <c r="G45">
        <v>1</v>
      </c>
      <c r="H45">
        <v>10000</v>
      </c>
      <c r="I45" t="s">
        <v>371</v>
      </c>
    </row>
    <row r="46" spans="1:9" x14ac:dyDescent="0.2">
      <c r="A46" t="s">
        <v>111</v>
      </c>
      <c r="B46">
        <v>2016</v>
      </c>
      <c r="C46">
        <v>8</v>
      </c>
      <c r="D46">
        <v>68</v>
      </c>
      <c r="E46">
        <v>14</v>
      </c>
      <c r="F46">
        <v>3857.9872865304301</v>
      </c>
      <c r="G46">
        <v>1</v>
      </c>
      <c r="H46">
        <v>10000</v>
      </c>
      <c r="I46" t="s">
        <v>372</v>
      </c>
    </row>
    <row r="47" spans="1:9" x14ac:dyDescent="0.2">
      <c r="A47" t="s">
        <v>112</v>
      </c>
      <c r="B47">
        <v>2160</v>
      </c>
      <c r="C47">
        <v>8</v>
      </c>
      <c r="D47">
        <v>140</v>
      </c>
      <c r="E47">
        <v>76</v>
      </c>
      <c r="F47">
        <v>28967.7014584764</v>
      </c>
      <c r="G47">
        <v>1</v>
      </c>
      <c r="H47">
        <v>10000</v>
      </c>
      <c r="I47" t="s">
        <v>373</v>
      </c>
    </row>
    <row r="48" spans="1:9" x14ac:dyDescent="0.2">
      <c r="A48" t="s">
        <v>113</v>
      </c>
      <c r="B48">
        <v>2520</v>
      </c>
      <c r="C48">
        <v>8</v>
      </c>
      <c r="D48">
        <v>74</v>
      </c>
      <c r="E48">
        <v>20</v>
      </c>
      <c r="F48">
        <v>6137.6576416715898</v>
      </c>
      <c r="G48">
        <v>1</v>
      </c>
      <c r="H48">
        <v>10000</v>
      </c>
      <c r="I48" t="s">
        <v>374</v>
      </c>
    </row>
    <row r="49" spans="1:9" x14ac:dyDescent="0.2">
      <c r="A49" t="s">
        <v>114</v>
      </c>
      <c r="B49">
        <v>2592</v>
      </c>
      <c r="C49">
        <v>8</v>
      </c>
      <c r="D49">
        <v>68</v>
      </c>
      <c r="E49">
        <v>32</v>
      </c>
      <c r="F49">
        <v>9020.7043686285597</v>
      </c>
      <c r="G49">
        <v>1</v>
      </c>
      <c r="H49">
        <v>10000</v>
      </c>
      <c r="I49" t="s">
        <v>375</v>
      </c>
    </row>
    <row r="50" spans="1:9" x14ac:dyDescent="0.2">
      <c r="A50" t="s">
        <v>115</v>
      </c>
      <c r="B50">
        <v>3024</v>
      </c>
      <c r="C50">
        <v>4</v>
      </c>
      <c r="D50">
        <v>162</v>
      </c>
      <c r="E50">
        <v>78</v>
      </c>
      <c r="F50">
        <v>50215.833359666103</v>
      </c>
      <c r="G50">
        <v>1</v>
      </c>
      <c r="H50">
        <v>10000</v>
      </c>
      <c r="I50" t="s">
        <v>376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98EE9-54B2-B44A-8A3E-68DBA9894073}">
  <dimension ref="A1:I50"/>
  <sheetViews>
    <sheetView topLeftCell="A25"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184</v>
      </c>
    </row>
    <row r="26" spans="1:9" x14ac:dyDescent="0.2">
      <c r="A26" t="s">
        <v>377</v>
      </c>
    </row>
    <row r="27" spans="1:9" x14ac:dyDescent="0.2">
      <c r="A27" t="s">
        <v>378</v>
      </c>
    </row>
    <row r="28" spans="1:9" x14ac:dyDescent="0.2">
      <c r="A28" t="s">
        <v>379</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35.696837402880099</v>
      </c>
      <c r="G31">
        <v>2527</v>
      </c>
      <c r="H31">
        <v>10000</v>
      </c>
      <c r="I31" t="s">
        <v>380</v>
      </c>
    </row>
    <row r="32" spans="1:9" x14ac:dyDescent="0.2">
      <c r="A32" t="s">
        <v>97</v>
      </c>
      <c r="B32">
        <v>90</v>
      </c>
      <c r="C32">
        <v>8</v>
      </c>
      <c r="D32">
        <v>10</v>
      </c>
      <c r="E32">
        <v>0</v>
      </c>
      <c r="F32">
        <v>41.284869831055403</v>
      </c>
      <c r="G32">
        <v>1361</v>
      </c>
      <c r="H32">
        <v>10000</v>
      </c>
      <c r="I32" t="s">
        <v>381</v>
      </c>
    </row>
    <row r="33" spans="1:9" x14ac:dyDescent="0.2">
      <c r="A33" t="s">
        <v>98</v>
      </c>
      <c r="B33">
        <v>108</v>
      </c>
      <c r="C33">
        <v>8</v>
      </c>
      <c r="D33">
        <v>10</v>
      </c>
      <c r="E33">
        <v>0</v>
      </c>
      <c r="F33">
        <v>47.408757232129503</v>
      </c>
      <c r="G33">
        <v>61</v>
      </c>
      <c r="H33">
        <v>10000</v>
      </c>
      <c r="I33" t="s">
        <v>382</v>
      </c>
    </row>
    <row r="34" spans="1:9" x14ac:dyDescent="0.2">
      <c r="A34" t="s">
        <v>99</v>
      </c>
      <c r="B34">
        <v>144</v>
      </c>
      <c r="C34">
        <v>12</v>
      </c>
      <c r="D34">
        <v>12</v>
      </c>
      <c r="E34">
        <v>0</v>
      </c>
      <c r="F34">
        <v>64.010877501685101</v>
      </c>
      <c r="G34">
        <v>777</v>
      </c>
      <c r="H34">
        <v>10000</v>
      </c>
      <c r="I34" t="s">
        <v>383</v>
      </c>
    </row>
    <row r="35" spans="1:9" x14ac:dyDescent="0.2">
      <c r="A35" t="s">
        <v>100</v>
      </c>
      <c r="B35">
        <v>288</v>
      </c>
      <c r="C35">
        <v>12</v>
      </c>
      <c r="D35">
        <v>18</v>
      </c>
      <c r="E35">
        <v>0</v>
      </c>
      <c r="F35">
        <v>112.515340755227</v>
      </c>
      <c r="G35">
        <v>22</v>
      </c>
      <c r="H35">
        <v>10000</v>
      </c>
      <c r="I35" t="s">
        <v>384</v>
      </c>
    </row>
    <row r="36" spans="1:9" x14ac:dyDescent="0.2">
      <c r="A36" t="s">
        <v>101</v>
      </c>
      <c r="B36">
        <v>360</v>
      </c>
      <c r="C36">
        <v>12</v>
      </c>
      <c r="D36">
        <v>24</v>
      </c>
      <c r="E36">
        <v>0</v>
      </c>
      <c r="F36">
        <v>116.203583213966</v>
      </c>
      <c r="G36">
        <v>1</v>
      </c>
      <c r="H36">
        <v>10000</v>
      </c>
      <c r="I36" t="s">
        <v>385</v>
      </c>
    </row>
    <row r="37" spans="1:9" x14ac:dyDescent="0.2">
      <c r="A37" t="s">
        <v>102</v>
      </c>
      <c r="B37">
        <v>756</v>
      </c>
      <c r="C37">
        <v>16</v>
      </c>
      <c r="D37">
        <v>62</v>
      </c>
      <c r="E37">
        <v>28</v>
      </c>
      <c r="F37">
        <v>667.27538402611299</v>
      </c>
      <c r="G37">
        <v>1</v>
      </c>
      <c r="H37">
        <v>10000</v>
      </c>
      <c r="I37" t="s">
        <v>386</v>
      </c>
    </row>
    <row r="38" spans="1:9" x14ac:dyDescent="0.2">
      <c r="A38" t="s">
        <v>103</v>
      </c>
      <c r="B38">
        <v>216</v>
      </c>
      <c r="C38">
        <v>8</v>
      </c>
      <c r="D38">
        <v>10</v>
      </c>
      <c r="E38">
        <v>0</v>
      </c>
      <c r="F38">
        <v>46.083542694803299</v>
      </c>
      <c r="G38">
        <v>319</v>
      </c>
      <c r="H38">
        <v>10000</v>
      </c>
      <c r="I38" t="s">
        <v>387</v>
      </c>
    </row>
    <row r="39" spans="1:9" x14ac:dyDescent="0.2">
      <c r="A39" t="s">
        <v>104</v>
      </c>
      <c r="B39">
        <v>576</v>
      </c>
      <c r="C39">
        <v>8</v>
      </c>
      <c r="D39">
        <v>28</v>
      </c>
      <c r="E39">
        <v>4</v>
      </c>
      <c r="F39">
        <v>287.61483601294401</v>
      </c>
      <c r="G39">
        <v>1</v>
      </c>
      <c r="H39">
        <v>10000</v>
      </c>
      <c r="I39" t="s">
        <v>388</v>
      </c>
    </row>
    <row r="40" spans="1:9" x14ac:dyDescent="0.2">
      <c r="A40" t="s">
        <v>105</v>
      </c>
      <c r="B40">
        <v>864</v>
      </c>
      <c r="C40">
        <v>4</v>
      </c>
      <c r="D40">
        <v>94</v>
      </c>
      <c r="E40">
        <v>54</v>
      </c>
      <c r="F40">
        <v>1022.49843902699</v>
      </c>
      <c r="G40">
        <v>1</v>
      </c>
      <c r="H40">
        <v>10000</v>
      </c>
      <c r="I40" t="s">
        <v>389</v>
      </c>
    </row>
    <row r="41" spans="1:9" x14ac:dyDescent="0.2">
      <c r="A41" t="s">
        <v>106</v>
      </c>
      <c r="B41">
        <v>648</v>
      </c>
      <c r="C41">
        <v>4</v>
      </c>
      <c r="D41">
        <v>52</v>
      </c>
      <c r="E41">
        <v>20</v>
      </c>
      <c r="F41">
        <v>411.41384557401699</v>
      </c>
      <c r="G41">
        <v>1</v>
      </c>
      <c r="H41">
        <v>10000</v>
      </c>
      <c r="I41" t="s">
        <v>390</v>
      </c>
    </row>
    <row r="42" spans="1:9" x14ac:dyDescent="0.2">
      <c r="A42" t="s">
        <v>107</v>
      </c>
      <c r="B42">
        <v>1080</v>
      </c>
      <c r="C42">
        <v>4</v>
      </c>
      <c r="D42">
        <v>126</v>
      </c>
      <c r="E42">
        <v>70</v>
      </c>
      <c r="F42">
        <v>1948.1734226848901</v>
      </c>
      <c r="G42">
        <v>1</v>
      </c>
      <c r="H42">
        <v>10000</v>
      </c>
      <c r="I42" t="s">
        <v>391</v>
      </c>
    </row>
    <row r="43" spans="1:9" x14ac:dyDescent="0.2">
      <c r="A43" t="s">
        <v>108</v>
      </c>
      <c r="B43">
        <v>1296</v>
      </c>
      <c r="C43">
        <v>4</v>
      </c>
      <c r="D43">
        <v>146</v>
      </c>
      <c r="E43">
        <v>96</v>
      </c>
      <c r="F43">
        <v>3809.20322773</v>
      </c>
      <c r="G43">
        <v>1</v>
      </c>
      <c r="H43">
        <v>10000</v>
      </c>
      <c r="I43" t="s">
        <v>392</v>
      </c>
    </row>
    <row r="44" spans="1:9" x14ac:dyDescent="0.2">
      <c r="A44" t="s">
        <v>109</v>
      </c>
      <c r="B44">
        <v>1152</v>
      </c>
      <c r="C44">
        <v>4</v>
      </c>
      <c r="D44">
        <v>114</v>
      </c>
      <c r="E44">
        <v>72</v>
      </c>
      <c r="F44">
        <v>2608.8116250452499</v>
      </c>
      <c r="G44">
        <v>1</v>
      </c>
      <c r="H44">
        <v>10000</v>
      </c>
      <c r="I44" t="s">
        <v>393</v>
      </c>
    </row>
    <row r="45" spans="1:9" x14ac:dyDescent="0.2">
      <c r="A45" t="s">
        <v>110</v>
      </c>
      <c r="B45">
        <v>1728</v>
      </c>
      <c r="C45">
        <v>4</v>
      </c>
      <c r="D45">
        <v>254</v>
      </c>
      <c r="E45">
        <v>190</v>
      </c>
      <c r="F45">
        <v>12234.9646285329</v>
      </c>
      <c r="G45">
        <v>1</v>
      </c>
      <c r="H45">
        <v>10000</v>
      </c>
      <c r="I45" t="s">
        <v>394</v>
      </c>
    </row>
    <row r="46" spans="1:9" x14ac:dyDescent="0.2">
      <c r="A46" t="s">
        <v>111</v>
      </c>
      <c r="B46">
        <v>2016</v>
      </c>
      <c r="C46">
        <v>8</v>
      </c>
      <c r="D46">
        <v>96</v>
      </c>
      <c r="E46">
        <v>42</v>
      </c>
      <c r="F46">
        <v>3033.4536833390498</v>
      </c>
      <c r="G46">
        <v>1</v>
      </c>
      <c r="H46">
        <v>10000</v>
      </c>
      <c r="I46" t="s">
        <v>395</v>
      </c>
    </row>
    <row r="47" spans="1:9" x14ac:dyDescent="0.2">
      <c r="A47" t="s">
        <v>112</v>
      </c>
      <c r="B47">
        <v>2160</v>
      </c>
      <c r="C47">
        <v>8</v>
      </c>
      <c r="D47">
        <v>306</v>
      </c>
      <c r="E47">
        <v>242</v>
      </c>
      <c r="F47">
        <v>27583.389153603901</v>
      </c>
      <c r="G47">
        <v>1</v>
      </c>
      <c r="H47">
        <v>10000</v>
      </c>
      <c r="I47" t="s">
        <v>396</v>
      </c>
    </row>
    <row r="48" spans="1:9" x14ac:dyDescent="0.2">
      <c r="A48" t="s">
        <v>113</v>
      </c>
      <c r="B48">
        <v>2520</v>
      </c>
      <c r="C48">
        <v>8</v>
      </c>
      <c r="D48">
        <v>88</v>
      </c>
      <c r="E48">
        <v>34</v>
      </c>
      <c r="F48">
        <v>4707.96421723393</v>
      </c>
      <c r="G48">
        <v>1</v>
      </c>
      <c r="H48">
        <v>10000</v>
      </c>
      <c r="I48" t="s">
        <v>397</v>
      </c>
    </row>
    <row r="49" spans="1:9" x14ac:dyDescent="0.2">
      <c r="A49" t="s">
        <v>114</v>
      </c>
      <c r="B49">
        <v>2592</v>
      </c>
      <c r="C49">
        <v>8</v>
      </c>
      <c r="D49">
        <v>98</v>
      </c>
      <c r="E49">
        <v>62</v>
      </c>
      <c r="F49">
        <v>7296.3120066951897</v>
      </c>
      <c r="G49">
        <v>1</v>
      </c>
      <c r="H49">
        <v>10000</v>
      </c>
      <c r="I49" t="s">
        <v>398</v>
      </c>
    </row>
    <row r="50" spans="1:9" x14ac:dyDescent="0.2">
      <c r="A50" t="s">
        <v>115</v>
      </c>
      <c r="B50">
        <v>3024</v>
      </c>
      <c r="C50">
        <v>4</v>
      </c>
      <c r="D50">
        <v>210</v>
      </c>
      <c r="E50">
        <v>126</v>
      </c>
      <c r="F50">
        <v>47065.2907066228</v>
      </c>
      <c r="G50">
        <v>1</v>
      </c>
      <c r="H50">
        <v>10000</v>
      </c>
      <c r="I50" t="s">
        <v>399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1E106-5EA9-A040-A9DA-F7348C87603F}">
  <dimension ref="A1:I49"/>
  <sheetViews>
    <sheetView topLeftCell="A19"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400</v>
      </c>
    </row>
    <row r="23" spans="1:9" x14ac:dyDescent="0.2">
      <c r="A23" t="s">
        <v>182</v>
      </c>
    </row>
    <row r="24" spans="1:9" x14ac:dyDescent="0.2">
      <c r="A24" t="s">
        <v>183</v>
      </c>
    </row>
    <row r="25" spans="1:9" x14ac:dyDescent="0.2">
      <c r="A25" t="s">
        <v>184</v>
      </c>
    </row>
    <row r="26" spans="1:9" x14ac:dyDescent="0.2">
      <c r="A26" t="s">
        <v>185</v>
      </c>
    </row>
    <row r="27" spans="1:9" x14ac:dyDescent="0.2">
      <c r="A27" t="s">
        <v>186</v>
      </c>
    </row>
    <row r="28" spans="1:9" x14ac:dyDescent="0.2">
      <c r="A28" t="s">
        <v>401</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40.720761306583803</v>
      </c>
      <c r="G31">
        <v>9128</v>
      </c>
      <c r="H31">
        <v>10000</v>
      </c>
      <c r="I31" t="s">
        <v>402</v>
      </c>
    </row>
    <row r="32" spans="1:9" x14ac:dyDescent="0.2">
      <c r="A32" t="s">
        <v>97</v>
      </c>
      <c r="B32">
        <v>90</v>
      </c>
      <c r="C32">
        <v>8</v>
      </c>
      <c r="D32">
        <v>10</v>
      </c>
      <c r="E32">
        <v>0</v>
      </c>
      <c r="F32">
        <v>49.9559453874826</v>
      </c>
      <c r="G32">
        <v>6886</v>
      </c>
      <c r="H32">
        <v>10000</v>
      </c>
      <c r="I32" t="s">
        <v>403</v>
      </c>
    </row>
    <row r="33" spans="1:9" x14ac:dyDescent="0.2">
      <c r="A33" t="s">
        <v>98</v>
      </c>
      <c r="B33">
        <v>108</v>
      </c>
      <c r="C33">
        <v>8</v>
      </c>
      <c r="D33">
        <v>10</v>
      </c>
      <c r="E33">
        <v>0</v>
      </c>
      <c r="F33">
        <v>59.476091019809203</v>
      </c>
      <c r="G33">
        <v>1502</v>
      </c>
      <c r="H33">
        <v>10000</v>
      </c>
      <c r="I33" t="s">
        <v>404</v>
      </c>
    </row>
    <row r="34" spans="1:9" x14ac:dyDescent="0.2">
      <c r="A34" t="s">
        <v>99</v>
      </c>
      <c r="B34">
        <v>144</v>
      </c>
      <c r="C34">
        <v>12</v>
      </c>
      <c r="D34">
        <v>12</v>
      </c>
      <c r="E34">
        <v>0</v>
      </c>
      <c r="F34">
        <v>77.800645753741193</v>
      </c>
      <c r="G34">
        <v>5823</v>
      </c>
      <c r="H34">
        <v>10000</v>
      </c>
      <c r="I34" t="s">
        <v>405</v>
      </c>
    </row>
    <row r="35" spans="1:9" x14ac:dyDescent="0.2">
      <c r="A35" t="s">
        <v>100</v>
      </c>
      <c r="B35">
        <v>288</v>
      </c>
      <c r="C35">
        <v>12</v>
      </c>
      <c r="D35">
        <v>18</v>
      </c>
      <c r="E35">
        <v>0</v>
      </c>
      <c r="F35">
        <v>152.69591156393199</v>
      </c>
      <c r="G35">
        <v>31</v>
      </c>
      <c r="H35">
        <v>10000</v>
      </c>
      <c r="I35" t="s">
        <v>406</v>
      </c>
    </row>
    <row r="36" spans="1:9" x14ac:dyDescent="0.2">
      <c r="A36" t="s">
        <v>101</v>
      </c>
      <c r="B36">
        <v>360</v>
      </c>
      <c r="C36">
        <v>12</v>
      </c>
      <c r="D36">
        <v>24</v>
      </c>
      <c r="E36">
        <v>0</v>
      </c>
      <c r="F36">
        <v>186.48068439215399</v>
      </c>
      <c r="G36">
        <v>30</v>
      </c>
      <c r="H36">
        <v>10000</v>
      </c>
      <c r="I36" t="s">
        <v>407</v>
      </c>
    </row>
    <row r="37" spans="1:9" x14ac:dyDescent="0.2">
      <c r="A37" t="s">
        <v>102</v>
      </c>
      <c r="B37">
        <v>756</v>
      </c>
      <c r="C37">
        <v>16</v>
      </c>
      <c r="D37">
        <v>46</v>
      </c>
      <c r="E37">
        <v>12</v>
      </c>
      <c r="F37">
        <v>779.43791148066498</v>
      </c>
      <c r="G37">
        <v>1</v>
      </c>
      <c r="H37">
        <v>10000</v>
      </c>
      <c r="I37" t="s">
        <v>408</v>
      </c>
    </row>
    <row r="38" spans="1:9" x14ac:dyDescent="0.2">
      <c r="A38" t="s">
        <v>103</v>
      </c>
      <c r="B38">
        <v>216</v>
      </c>
      <c r="C38">
        <v>8</v>
      </c>
      <c r="D38">
        <v>10</v>
      </c>
      <c r="E38">
        <v>0</v>
      </c>
      <c r="F38">
        <v>77.100414097309098</v>
      </c>
      <c r="G38">
        <v>4633</v>
      </c>
      <c r="H38">
        <v>10000</v>
      </c>
      <c r="I38" t="s">
        <v>409</v>
      </c>
    </row>
    <row r="39" spans="1:9" x14ac:dyDescent="0.2">
      <c r="A39" t="s">
        <v>104</v>
      </c>
      <c r="B39">
        <v>576</v>
      </c>
      <c r="C39">
        <v>8</v>
      </c>
      <c r="D39">
        <v>24</v>
      </c>
      <c r="E39">
        <v>0</v>
      </c>
      <c r="F39">
        <v>357.968225702643</v>
      </c>
      <c r="G39">
        <v>3</v>
      </c>
      <c r="H39">
        <v>10000</v>
      </c>
      <c r="I39" t="s">
        <v>410</v>
      </c>
    </row>
    <row r="40" spans="1:9" x14ac:dyDescent="0.2">
      <c r="A40" t="s">
        <v>105</v>
      </c>
      <c r="B40">
        <v>864</v>
      </c>
      <c r="C40">
        <v>4</v>
      </c>
      <c r="D40">
        <v>64</v>
      </c>
      <c r="E40">
        <v>24</v>
      </c>
      <c r="F40">
        <v>1167.62915416806</v>
      </c>
      <c r="G40">
        <v>1</v>
      </c>
      <c r="H40">
        <v>10000</v>
      </c>
      <c r="I40" t="s">
        <v>411</v>
      </c>
    </row>
    <row r="41" spans="1:9" x14ac:dyDescent="0.2">
      <c r="A41" t="s">
        <v>106</v>
      </c>
      <c r="B41">
        <v>648</v>
      </c>
      <c r="C41">
        <v>4</v>
      </c>
      <c r="D41">
        <v>36</v>
      </c>
      <c r="E41">
        <v>4</v>
      </c>
      <c r="F41">
        <v>505.97989512234898</v>
      </c>
      <c r="G41">
        <v>1</v>
      </c>
      <c r="H41">
        <v>10000</v>
      </c>
      <c r="I41" t="s">
        <v>412</v>
      </c>
    </row>
    <row r="42" spans="1:9" x14ac:dyDescent="0.2">
      <c r="A42" t="s">
        <v>107</v>
      </c>
      <c r="B42">
        <v>1080</v>
      </c>
      <c r="C42">
        <v>4</v>
      </c>
      <c r="D42">
        <v>90</v>
      </c>
      <c r="E42">
        <v>34</v>
      </c>
      <c r="F42">
        <v>2206.63393632322</v>
      </c>
      <c r="G42">
        <v>1</v>
      </c>
      <c r="H42">
        <v>10000</v>
      </c>
      <c r="I42" t="s">
        <v>413</v>
      </c>
    </row>
    <row r="43" spans="1:9" x14ac:dyDescent="0.2">
      <c r="A43" t="s">
        <v>108</v>
      </c>
      <c r="B43">
        <v>1296</v>
      </c>
      <c r="C43">
        <v>4</v>
      </c>
      <c r="D43">
        <v>94</v>
      </c>
      <c r="E43">
        <v>44</v>
      </c>
      <c r="F43">
        <v>4211.3380325585604</v>
      </c>
      <c r="G43">
        <v>1</v>
      </c>
      <c r="H43">
        <v>10000</v>
      </c>
      <c r="I43" t="s">
        <v>414</v>
      </c>
    </row>
    <row r="44" spans="1:9" x14ac:dyDescent="0.2">
      <c r="A44" t="s">
        <v>109</v>
      </c>
      <c r="B44">
        <v>1152</v>
      </c>
      <c r="C44">
        <v>4</v>
      </c>
      <c r="D44">
        <v>92</v>
      </c>
      <c r="E44">
        <v>50</v>
      </c>
      <c r="F44">
        <v>2974.9086422622199</v>
      </c>
      <c r="G44">
        <v>2</v>
      </c>
      <c r="H44">
        <v>10000</v>
      </c>
      <c r="I44" t="s">
        <v>415</v>
      </c>
    </row>
    <row r="45" spans="1:9" x14ac:dyDescent="0.2">
      <c r="A45" t="s">
        <v>110</v>
      </c>
      <c r="B45">
        <v>1728</v>
      </c>
      <c r="C45">
        <v>4</v>
      </c>
      <c r="D45">
        <v>178</v>
      </c>
      <c r="E45">
        <v>114</v>
      </c>
      <c r="F45">
        <v>13190.4075614959</v>
      </c>
      <c r="G45">
        <v>1</v>
      </c>
      <c r="H45">
        <v>10000</v>
      </c>
      <c r="I45" t="s">
        <v>416</v>
      </c>
    </row>
    <row r="46" spans="1:9" x14ac:dyDescent="0.2">
      <c r="A46" t="s">
        <v>111</v>
      </c>
      <c r="B46">
        <v>2016</v>
      </c>
      <c r="C46">
        <v>8</v>
      </c>
      <c r="D46">
        <v>68</v>
      </c>
      <c r="E46">
        <v>14</v>
      </c>
      <c r="F46">
        <v>3960.0610980316901</v>
      </c>
      <c r="G46">
        <v>1</v>
      </c>
      <c r="H46">
        <v>10000</v>
      </c>
      <c r="I46" t="s">
        <v>417</v>
      </c>
    </row>
    <row r="47" spans="1:9" x14ac:dyDescent="0.2">
      <c r="A47" t="s">
        <v>112</v>
      </c>
      <c r="B47">
        <v>2160</v>
      </c>
      <c r="C47">
        <v>8</v>
      </c>
      <c r="D47">
        <v>210</v>
      </c>
      <c r="E47">
        <v>146</v>
      </c>
      <c r="F47">
        <v>28873.099666297399</v>
      </c>
      <c r="G47">
        <v>1</v>
      </c>
      <c r="H47">
        <v>10000</v>
      </c>
      <c r="I47" t="s">
        <v>418</v>
      </c>
    </row>
    <row r="48" spans="1:9" x14ac:dyDescent="0.2">
      <c r="A48" t="s">
        <v>113</v>
      </c>
      <c r="B48">
        <v>2520</v>
      </c>
      <c r="C48">
        <v>8</v>
      </c>
      <c r="D48">
        <v>72</v>
      </c>
      <c r="E48">
        <v>18</v>
      </c>
      <c r="F48">
        <v>6286.4408174157097</v>
      </c>
      <c r="G48">
        <v>1</v>
      </c>
      <c r="H48">
        <v>10000</v>
      </c>
      <c r="I48" t="s">
        <v>419</v>
      </c>
    </row>
    <row r="49" spans="1:9" x14ac:dyDescent="0.2">
      <c r="A49" t="s">
        <v>114</v>
      </c>
      <c r="B49">
        <v>2592</v>
      </c>
      <c r="C49">
        <v>8</v>
      </c>
      <c r="D49">
        <v>54</v>
      </c>
      <c r="E49">
        <v>18</v>
      </c>
      <c r="F49">
        <v>9211.2403496876304</v>
      </c>
      <c r="G49">
        <v>1</v>
      </c>
      <c r="H49">
        <v>10000</v>
      </c>
      <c r="I49" t="s">
        <v>420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93B1-CD39-AA47-894D-ABD667888E22}">
  <dimension ref="A1:I50"/>
  <sheetViews>
    <sheetView topLeftCell="A18"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421</v>
      </c>
    </row>
    <row r="26" spans="1:9" x14ac:dyDescent="0.2">
      <c r="A26" t="s">
        <v>185</v>
      </c>
    </row>
    <row r="27" spans="1:9" x14ac:dyDescent="0.2">
      <c r="A27" t="s">
        <v>186</v>
      </c>
    </row>
    <row r="28" spans="1:9" x14ac:dyDescent="0.2">
      <c r="A28" t="s">
        <v>422</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30.362390533089599</v>
      </c>
      <c r="G31">
        <v>9259</v>
      </c>
      <c r="H31">
        <v>10000</v>
      </c>
      <c r="I31" t="s">
        <v>423</v>
      </c>
    </row>
    <row r="32" spans="1:9" x14ac:dyDescent="0.2">
      <c r="A32" t="s">
        <v>97</v>
      </c>
      <c r="B32">
        <v>90</v>
      </c>
      <c r="C32">
        <v>8</v>
      </c>
      <c r="D32">
        <v>10</v>
      </c>
      <c r="E32">
        <v>0</v>
      </c>
      <c r="F32">
        <v>41.2300045862793</v>
      </c>
      <c r="G32">
        <v>8073</v>
      </c>
      <c r="H32">
        <v>10000</v>
      </c>
      <c r="I32" t="s">
        <v>424</v>
      </c>
    </row>
    <row r="33" spans="1:9" x14ac:dyDescent="0.2">
      <c r="A33" t="s">
        <v>98</v>
      </c>
      <c r="B33">
        <v>108</v>
      </c>
      <c r="C33">
        <v>8</v>
      </c>
      <c r="D33">
        <v>10</v>
      </c>
      <c r="E33">
        <v>0</v>
      </c>
      <c r="F33">
        <v>53.600960850715602</v>
      </c>
      <c r="G33">
        <v>1307</v>
      </c>
      <c r="H33">
        <v>10000</v>
      </c>
      <c r="I33" t="s">
        <v>425</v>
      </c>
    </row>
    <row r="34" spans="1:9" x14ac:dyDescent="0.2">
      <c r="A34" t="s">
        <v>99</v>
      </c>
      <c r="B34">
        <v>144</v>
      </c>
      <c r="C34">
        <v>12</v>
      </c>
      <c r="D34">
        <v>12</v>
      </c>
      <c r="E34">
        <v>0</v>
      </c>
      <c r="F34">
        <v>89.785965777933598</v>
      </c>
      <c r="G34">
        <v>6367</v>
      </c>
      <c r="H34">
        <v>10000</v>
      </c>
      <c r="I34" t="s">
        <v>426</v>
      </c>
    </row>
    <row r="35" spans="1:9" x14ac:dyDescent="0.2">
      <c r="A35" t="s">
        <v>100</v>
      </c>
      <c r="B35">
        <v>288</v>
      </c>
      <c r="C35">
        <v>12</v>
      </c>
      <c r="D35">
        <v>18</v>
      </c>
      <c r="E35">
        <v>0</v>
      </c>
      <c r="F35">
        <v>199.88852556794799</v>
      </c>
      <c r="G35">
        <v>46</v>
      </c>
      <c r="H35">
        <v>10000</v>
      </c>
      <c r="I35" t="s">
        <v>427</v>
      </c>
    </row>
    <row r="36" spans="1:9" x14ac:dyDescent="0.2">
      <c r="A36" t="s">
        <v>101</v>
      </c>
      <c r="B36">
        <v>360</v>
      </c>
      <c r="C36">
        <v>12</v>
      </c>
      <c r="D36">
        <v>24</v>
      </c>
      <c r="E36">
        <v>0</v>
      </c>
      <c r="F36">
        <v>210.47224473953199</v>
      </c>
      <c r="G36">
        <v>29</v>
      </c>
      <c r="H36">
        <v>10000</v>
      </c>
      <c r="I36" t="s">
        <v>428</v>
      </c>
    </row>
    <row r="37" spans="1:9" x14ac:dyDescent="0.2">
      <c r="A37" t="s">
        <v>102</v>
      </c>
      <c r="B37">
        <v>756</v>
      </c>
      <c r="C37">
        <v>16</v>
      </c>
      <c r="D37">
        <v>38</v>
      </c>
      <c r="E37">
        <v>4</v>
      </c>
      <c r="F37">
        <v>1150.23261941224</v>
      </c>
      <c r="G37">
        <v>1</v>
      </c>
      <c r="H37">
        <v>10000</v>
      </c>
      <c r="I37" t="s">
        <v>429</v>
      </c>
    </row>
    <row r="38" spans="1:9" x14ac:dyDescent="0.2">
      <c r="A38" t="s">
        <v>103</v>
      </c>
      <c r="B38">
        <v>216</v>
      </c>
      <c r="C38">
        <v>8</v>
      </c>
      <c r="D38">
        <v>10</v>
      </c>
      <c r="E38">
        <v>0</v>
      </c>
      <c r="F38">
        <v>69.695885457098399</v>
      </c>
      <c r="G38">
        <v>4190</v>
      </c>
      <c r="H38">
        <v>10000</v>
      </c>
      <c r="I38" t="s">
        <v>430</v>
      </c>
    </row>
    <row r="39" spans="1:9" x14ac:dyDescent="0.2">
      <c r="A39" t="s">
        <v>104</v>
      </c>
      <c r="B39">
        <v>576</v>
      </c>
      <c r="C39">
        <v>8</v>
      </c>
      <c r="D39">
        <v>26</v>
      </c>
      <c r="E39">
        <v>2</v>
      </c>
      <c r="F39">
        <v>544.984143488109</v>
      </c>
      <c r="G39">
        <v>7</v>
      </c>
      <c r="H39">
        <v>10000</v>
      </c>
      <c r="I39" t="s">
        <v>431</v>
      </c>
    </row>
    <row r="40" spans="1:9" x14ac:dyDescent="0.2">
      <c r="A40" t="s">
        <v>105</v>
      </c>
      <c r="B40">
        <v>864</v>
      </c>
      <c r="C40">
        <v>4</v>
      </c>
      <c r="D40">
        <v>60</v>
      </c>
      <c r="E40">
        <v>20</v>
      </c>
      <c r="F40">
        <v>1669.2108930125801</v>
      </c>
      <c r="G40">
        <v>1</v>
      </c>
      <c r="H40">
        <v>10000</v>
      </c>
      <c r="I40" t="s">
        <v>432</v>
      </c>
    </row>
    <row r="41" spans="1:9" x14ac:dyDescent="0.2">
      <c r="A41" t="s">
        <v>106</v>
      </c>
      <c r="B41">
        <v>648</v>
      </c>
      <c r="C41">
        <v>4</v>
      </c>
      <c r="D41">
        <v>34</v>
      </c>
      <c r="E41">
        <v>2</v>
      </c>
      <c r="F41">
        <v>741.30765759199801</v>
      </c>
      <c r="G41">
        <v>1</v>
      </c>
      <c r="H41">
        <v>10000</v>
      </c>
      <c r="I41" t="s">
        <v>433</v>
      </c>
    </row>
    <row r="42" spans="1:9" x14ac:dyDescent="0.2">
      <c r="A42" t="s">
        <v>107</v>
      </c>
      <c r="B42">
        <v>1080</v>
      </c>
      <c r="C42">
        <v>4</v>
      </c>
      <c r="D42">
        <v>82</v>
      </c>
      <c r="E42">
        <v>26</v>
      </c>
      <c r="F42">
        <v>2989.4484400972701</v>
      </c>
      <c r="G42">
        <v>1</v>
      </c>
      <c r="H42">
        <v>10000</v>
      </c>
      <c r="I42" t="s">
        <v>434</v>
      </c>
    </row>
    <row r="43" spans="1:9" x14ac:dyDescent="0.2">
      <c r="A43" t="s">
        <v>108</v>
      </c>
      <c r="B43">
        <v>1296</v>
      </c>
      <c r="C43">
        <v>4</v>
      </c>
      <c r="D43">
        <v>102</v>
      </c>
      <c r="E43">
        <v>52</v>
      </c>
      <c r="F43">
        <v>5490.2615072652698</v>
      </c>
      <c r="G43">
        <v>1</v>
      </c>
      <c r="H43">
        <v>10000</v>
      </c>
      <c r="I43" t="s">
        <v>435</v>
      </c>
    </row>
    <row r="44" spans="1:9" x14ac:dyDescent="0.2">
      <c r="A44" t="s">
        <v>109</v>
      </c>
      <c r="B44">
        <v>1152</v>
      </c>
      <c r="C44">
        <v>4</v>
      </c>
      <c r="D44">
        <v>60</v>
      </c>
      <c r="E44">
        <v>18</v>
      </c>
      <c r="F44">
        <v>3903.1797015145398</v>
      </c>
      <c r="G44">
        <v>1</v>
      </c>
      <c r="H44">
        <v>10000</v>
      </c>
      <c r="I44" t="s">
        <v>436</v>
      </c>
    </row>
    <row r="45" spans="1:9" x14ac:dyDescent="0.2">
      <c r="A45" t="s">
        <v>110</v>
      </c>
      <c r="B45">
        <v>1728</v>
      </c>
      <c r="C45">
        <v>4</v>
      </c>
      <c r="D45">
        <v>180</v>
      </c>
      <c r="E45">
        <v>116</v>
      </c>
      <c r="F45">
        <v>15247.2616484388</v>
      </c>
      <c r="G45">
        <v>1</v>
      </c>
      <c r="H45">
        <v>10000</v>
      </c>
      <c r="I45" t="s">
        <v>437</v>
      </c>
    </row>
    <row r="46" spans="1:9" x14ac:dyDescent="0.2">
      <c r="A46" t="s">
        <v>111</v>
      </c>
      <c r="B46">
        <v>2016</v>
      </c>
      <c r="C46">
        <v>8</v>
      </c>
      <c r="D46">
        <v>66</v>
      </c>
      <c r="E46">
        <v>12</v>
      </c>
      <c r="F46">
        <v>6818.7687129676297</v>
      </c>
      <c r="G46">
        <v>1</v>
      </c>
      <c r="H46">
        <v>10000</v>
      </c>
      <c r="I46" t="s">
        <v>438</v>
      </c>
    </row>
    <row r="47" spans="1:9" x14ac:dyDescent="0.2">
      <c r="A47" t="s">
        <v>112</v>
      </c>
      <c r="B47">
        <v>2160</v>
      </c>
      <c r="C47">
        <v>8</v>
      </c>
      <c r="D47">
        <v>228</v>
      </c>
      <c r="E47">
        <v>164</v>
      </c>
      <c r="F47">
        <v>33066.317703761102</v>
      </c>
      <c r="G47">
        <v>1</v>
      </c>
      <c r="H47">
        <v>10000</v>
      </c>
      <c r="I47" t="s">
        <v>439</v>
      </c>
    </row>
    <row r="48" spans="1:9" x14ac:dyDescent="0.2">
      <c r="A48" t="s">
        <v>113</v>
      </c>
      <c r="B48">
        <v>2520</v>
      </c>
      <c r="C48">
        <v>8</v>
      </c>
      <c r="D48">
        <v>72</v>
      </c>
      <c r="E48">
        <v>18</v>
      </c>
      <c r="F48">
        <v>11052.970964468999</v>
      </c>
      <c r="G48">
        <v>1</v>
      </c>
      <c r="H48">
        <v>10000</v>
      </c>
      <c r="I48" t="s">
        <v>440</v>
      </c>
    </row>
    <row r="49" spans="1:9" x14ac:dyDescent="0.2">
      <c r="A49" t="s">
        <v>114</v>
      </c>
      <c r="B49">
        <v>2592</v>
      </c>
      <c r="C49">
        <v>8</v>
      </c>
      <c r="D49">
        <v>70</v>
      </c>
      <c r="E49">
        <v>34</v>
      </c>
      <c r="F49">
        <v>14362.6791021302</v>
      </c>
      <c r="G49">
        <v>1</v>
      </c>
      <c r="H49">
        <v>10000</v>
      </c>
      <c r="I49" t="s">
        <v>441</v>
      </c>
    </row>
    <row r="50" spans="1:9" x14ac:dyDescent="0.2">
      <c r="A50" t="s">
        <v>115</v>
      </c>
      <c r="B50">
        <v>3024</v>
      </c>
      <c r="C50">
        <v>4</v>
      </c>
      <c r="D50">
        <v>158</v>
      </c>
      <c r="E50">
        <v>74</v>
      </c>
      <c r="F50">
        <v>57287.951830230602</v>
      </c>
      <c r="G50">
        <v>1</v>
      </c>
      <c r="H50">
        <v>10000</v>
      </c>
      <c r="I50" t="s">
        <v>442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58E45-9BBC-3741-B2DF-D8BBEF163847}">
  <dimension ref="A1:I50"/>
  <sheetViews>
    <sheetView topLeftCell="A18"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208</v>
      </c>
    </row>
    <row r="26" spans="1:9" x14ac:dyDescent="0.2">
      <c r="A26" t="s">
        <v>185</v>
      </c>
    </row>
    <row r="27" spans="1:9" x14ac:dyDescent="0.2">
      <c r="A27" t="s">
        <v>186</v>
      </c>
    </row>
    <row r="28" spans="1:9" x14ac:dyDescent="0.2">
      <c r="A28" t="s">
        <v>443</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12.2033877074718</v>
      </c>
      <c r="G31">
        <v>9559</v>
      </c>
      <c r="H31">
        <v>10000</v>
      </c>
      <c r="I31" t="s">
        <v>444</v>
      </c>
    </row>
    <row r="32" spans="1:9" x14ac:dyDescent="0.2">
      <c r="A32" t="s">
        <v>97</v>
      </c>
      <c r="B32">
        <v>90</v>
      </c>
      <c r="C32">
        <v>8</v>
      </c>
      <c r="D32">
        <v>10</v>
      </c>
      <c r="E32">
        <v>0</v>
      </c>
      <c r="F32">
        <v>14.4291741102933</v>
      </c>
      <c r="G32">
        <v>9416</v>
      </c>
      <c r="H32">
        <v>10000</v>
      </c>
      <c r="I32" t="s">
        <v>445</v>
      </c>
    </row>
    <row r="33" spans="1:9" x14ac:dyDescent="0.2">
      <c r="A33" t="s">
        <v>98</v>
      </c>
      <c r="B33">
        <v>108</v>
      </c>
      <c r="C33">
        <v>8</v>
      </c>
      <c r="D33">
        <v>10</v>
      </c>
      <c r="E33">
        <v>0</v>
      </c>
      <c r="F33">
        <v>17.081089243292801</v>
      </c>
      <c r="G33">
        <v>2054</v>
      </c>
      <c r="H33">
        <v>10000</v>
      </c>
      <c r="I33" t="s">
        <v>446</v>
      </c>
    </row>
    <row r="34" spans="1:9" x14ac:dyDescent="0.2">
      <c r="A34" t="s">
        <v>99</v>
      </c>
      <c r="B34">
        <v>144</v>
      </c>
      <c r="C34">
        <v>12</v>
      </c>
      <c r="D34">
        <v>12</v>
      </c>
      <c r="E34">
        <v>0</v>
      </c>
      <c r="F34">
        <v>23.293606691062401</v>
      </c>
      <c r="G34">
        <v>8092</v>
      </c>
      <c r="H34">
        <v>10000</v>
      </c>
      <c r="I34" t="s">
        <v>447</v>
      </c>
    </row>
    <row r="35" spans="1:9" x14ac:dyDescent="0.2">
      <c r="A35" t="s">
        <v>100</v>
      </c>
      <c r="B35">
        <v>288</v>
      </c>
      <c r="C35">
        <v>12</v>
      </c>
      <c r="D35">
        <v>18</v>
      </c>
      <c r="E35">
        <v>0</v>
      </c>
      <c r="F35">
        <v>63.120612159371298</v>
      </c>
      <c r="G35">
        <v>468</v>
      </c>
      <c r="H35">
        <v>10000</v>
      </c>
      <c r="I35" t="s">
        <v>448</v>
      </c>
    </row>
    <row r="36" spans="1:9" x14ac:dyDescent="0.2">
      <c r="A36" t="s">
        <v>101</v>
      </c>
      <c r="B36">
        <v>360</v>
      </c>
      <c r="C36">
        <v>12</v>
      </c>
      <c r="D36">
        <v>24</v>
      </c>
      <c r="E36">
        <v>0</v>
      </c>
      <c r="F36">
        <v>87.375375874340506</v>
      </c>
      <c r="G36">
        <v>125</v>
      </c>
      <c r="H36">
        <v>10000</v>
      </c>
      <c r="I36" t="s">
        <v>449</v>
      </c>
    </row>
    <row r="37" spans="1:9" x14ac:dyDescent="0.2">
      <c r="A37" t="s">
        <v>102</v>
      </c>
      <c r="B37">
        <v>756</v>
      </c>
      <c r="C37">
        <v>16</v>
      </c>
      <c r="D37">
        <v>36</v>
      </c>
      <c r="E37">
        <v>2</v>
      </c>
      <c r="F37">
        <v>642.11393173783995</v>
      </c>
      <c r="G37">
        <v>1</v>
      </c>
      <c r="H37">
        <v>10000</v>
      </c>
      <c r="I37" t="s">
        <v>450</v>
      </c>
    </row>
    <row r="38" spans="1:9" x14ac:dyDescent="0.2">
      <c r="A38" t="s">
        <v>103</v>
      </c>
      <c r="B38">
        <v>216</v>
      </c>
      <c r="C38">
        <v>8</v>
      </c>
      <c r="D38">
        <v>10</v>
      </c>
      <c r="E38">
        <v>0</v>
      </c>
      <c r="F38">
        <v>28.026629544794499</v>
      </c>
      <c r="G38">
        <v>5167</v>
      </c>
      <c r="H38">
        <v>10000</v>
      </c>
      <c r="I38" t="s">
        <v>451</v>
      </c>
    </row>
    <row r="39" spans="1:9" x14ac:dyDescent="0.2">
      <c r="A39" t="s">
        <v>104</v>
      </c>
      <c r="B39">
        <v>576</v>
      </c>
      <c r="C39">
        <v>8</v>
      </c>
      <c r="D39">
        <v>24</v>
      </c>
      <c r="E39">
        <v>0</v>
      </c>
      <c r="F39">
        <v>258.98414967954102</v>
      </c>
      <c r="G39">
        <v>1</v>
      </c>
      <c r="H39">
        <v>10000</v>
      </c>
      <c r="I39" t="s">
        <v>452</v>
      </c>
    </row>
    <row r="40" spans="1:9" x14ac:dyDescent="0.2">
      <c r="A40" t="s">
        <v>105</v>
      </c>
      <c r="B40">
        <v>864</v>
      </c>
      <c r="C40">
        <v>4</v>
      </c>
      <c r="D40">
        <v>58</v>
      </c>
      <c r="E40">
        <v>18</v>
      </c>
      <c r="F40">
        <v>925.96933365613199</v>
      </c>
      <c r="G40">
        <v>644</v>
      </c>
      <c r="H40">
        <v>10000</v>
      </c>
      <c r="I40" t="s">
        <v>453</v>
      </c>
    </row>
    <row r="41" spans="1:9" x14ac:dyDescent="0.2">
      <c r="A41" t="s">
        <v>106</v>
      </c>
      <c r="B41">
        <v>648</v>
      </c>
      <c r="C41">
        <v>4</v>
      </c>
      <c r="D41">
        <v>38</v>
      </c>
      <c r="E41">
        <v>6</v>
      </c>
      <c r="F41">
        <v>403.63472691178299</v>
      </c>
      <c r="G41">
        <v>1</v>
      </c>
      <c r="H41">
        <v>10000</v>
      </c>
      <c r="I41" t="s">
        <v>454</v>
      </c>
    </row>
    <row r="42" spans="1:9" x14ac:dyDescent="0.2">
      <c r="A42" t="s">
        <v>107</v>
      </c>
      <c r="B42">
        <v>1080</v>
      </c>
      <c r="C42">
        <v>4</v>
      </c>
      <c r="D42">
        <v>84</v>
      </c>
      <c r="E42">
        <v>28</v>
      </c>
      <c r="F42">
        <v>2085.3874948620701</v>
      </c>
      <c r="G42">
        <v>1</v>
      </c>
      <c r="H42">
        <v>10000</v>
      </c>
      <c r="I42" t="s">
        <v>455</v>
      </c>
    </row>
    <row r="43" spans="1:9" x14ac:dyDescent="0.2">
      <c r="A43" t="s">
        <v>108</v>
      </c>
      <c r="B43">
        <v>1296</v>
      </c>
      <c r="C43">
        <v>4</v>
      </c>
      <c r="D43">
        <v>94</v>
      </c>
      <c r="E43">
        <v>44</v>
      </c>
      <c r="F43">
        <v>3663.02001243829</v>
      </c>
      <c r="G43">
        <v>1</v>
      </c>
      <c r="H43">
        <v>10000</v>
      </c>
      <c r="I43" t="s">
        <v>456</v>
      </c>
    </row>
    <row r="44" spans="1:9" x14ac:dyDescent="0.2">
      <c r="A44" t="s">
        <v>109</v>
      </c>
      <c r="B44">
        <v>1152</v>
      </c>
      <c r="C44">
        <v>4</v>
      </c>
      <c r="D44">
        <v>66</v>
      </c>
      <c r="E44">
        <v>24</v>
      </c>
      <c r="F44">
        <v>2830.5155229941001</v>
      </c>
      <c r="G44">
        <v>2</v>
      </c>
      <c r="H44">
        <v>10000</v>
      </c>
      <c r="I44" t="s">
        <v>457</v>
      </c>
    </row>
    <row r="45" spans="1:9" x14ac:dyDescent="0.2">
      <c r="A45" t="s">
        <v>110</v>
      </c>
      <c r="B45">
        <v>1728</v>
      </c>
      <c r="C45">
        <v>4</v>
      </c>
      <c r="D45">
        <v>166</v>
      </c>
      <c r="E45">
        <v>102</v>
      </c>
      <c r="F45">
        <v>13041.9142017588</v>
      </c>
      <c r="G45">
        <v>1</v>
      </c>
      <c r="H45">
        <v>10000</v>
      </c>
      <c r="I45" t="s">
        <v>458</v>
      </c>
    </row>
    <row r="46" spans="1:9" x14ac:dyDescent="0.2">
      <c r="A46" t="s">
        <v>111</v>
      </c>
      <c r="B46">
        <v>2016</v>
      </c>
      <c r="C46">
        <v>8</v>
      </c>
      <c r="D46">
        <v>74</v>
      </c>
      <c r="E46">
        <v>20</v>
      </c>
      <c r="F46">
        <v>3630.8266544416501</v>
      </c>
      <c r="G46">
        <v>36</v>
      </c>
      <c r="H46">
        <v>10000</v>
      </c>
      <c r="I46" t="s">
        <v>459</v>
      </c>
    </row>
    <row r="47" spans="1:9" x14ac:dyDescent="0.2">
      <c r="A47" t="s">
        <v>112</v>
      </c>
      <c r="B47">
        <v>2160</v>
      </c>
      <c r="C47">
        <v>8</v>
      </c>
      <c r="D47">
        <v>202</v>
      </c>
      <c r="E47">
        <v>138</v>
      </c>
      <c r="F47">
        <v>28541.362679123798</v>
      </c>
      <c r="G47">
        <v>1</v>
      </c>
      <c r="H47">
        <v>10000</v>
      </c>
      <c r="I47" t="s">
        <v>460</v>
      </c>
    </row>
    <row r="48" spans="1:9" x14ac:dyDescent="0.2">
      <c r="A48" t="s">
        <v>113</v>
      </c>
      <c r="B48">
        <v>2520</v>
      </c>
      <c r="C48">
        <v>8</v>
      </c>
      <c r="D48">
        <v>74</v>
      </c>
      <c r="E48">
        <v>20</v>
      </c>
      <c r="F48">
        <v>5908.2404276877596</v>
      </c>
      <c r="G48">
        <v>1</v>
      </c>
      <c r="H48">
        <v>10000</v>
      </c>
      <c r="I48" t="s">
        <v>461</v>
      </c>
    </row>
    <row r="49" spans="1:9" x14ac:dyDescent="0.2">
      <c r="A49" t="s">
        <v>114</v>
      </c>
      <c r="B49">
        <v>2592</v>
      </c>
      <c r="C49">
        <v>8</v>
      </c>
      <c r="D49">
        <v>50</v>
      </c>
      <c r="E49">
        <v>14</v>
      </c>
      <c r="F49">
        <v>8807.4651834368706</v>
      </c>
      <c r="G49">
        <v>1</v>
      </c>
      <c r="H49">
        <v>10000</v>
      </c>
      <c r="I49" t="s">
        <v>462</v>
      </c>
    </row>
    <row r="50" spans="1:9" x14ac:dyDescent="0.2">
      <c r="A50" t="s">
        <v>115</v>
      </c>
      <c r="B50">
        <v>3024</v>
      </c>
      <c r="C50">
        <v>4</v>
      </c>
      <c r="D50">
        <v>148</v>
      </c>
      <c r="E50">
        <v>64</v>
      </c>
      <c r="F50">
        <v>49589.508946143003</v>
      </c>
      <c r="G50">
        <v>1</v>
      </c>
      <c r="H50">
        <v>10000</v>
      </c>
      <c r="I50" t="s">
        <v>463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D3DAE-6462-074D-903E-9791DA82F6DF}">
  <dimension ref="A1:I50"/>
  <sheetViews>
    <sheetView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180</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181</v>
      </c>
    </row>
    <row r="22" spans="1:9" x14ac:dyDescent="0.2">
      <c r="A22" t="s">
        <v>90</v>
      </c>
    </row>
    <row r="23" spans="1:9" x14ac:dyDescent="0.2">
      <c r="A23" t="s">
        <v>182</v>
      </c>
    </row>
    <row r="24" spans="1:9" x14ac:dyDescent="0.2">
      <c r="A24" t="s">
        <v>183</v>
      </c>
    </row>
    <row r="25" spans="1:9" x14ac:dyDescent="0.2">
      <c r="A25" t="s">
        <v>464</v>
      </c>
    </row>
    <row r="26" spans="1:9" x14ac:dyDescent="0.2">
      <c r="A26" t="s">
        <v>185</v>
      </c>
    </row>
    <row r="27" spans="1:9" x14ac:dyDescent="0.2">
      <c r="A27" t="s">
        <v>186</v>
      </c>
    </row>
    <row r="28" spans="1:9" x14ac:dyDescent="0.2">
      <c r="A28" t="s">
        <v>465</v>
      </c>
    </row>
    <row r="29" spans="1:9" x14ac:dyDescent="0.2">
      <c r="A29" t="s">
        <v>92</v>
      </c>
    </row>
    <row r="30" spans="1:9" x14ac:dyDescent="0.2">
      <c r="A30" t="s">
        <v>93</v>
      </c>
      <c r="B30" t="s">
        <v>61</v>
      </c>
      <c r="C30" t="s">
        <v>94</v>
      </c>
      <c r="D30" t="s">
        <v>95</v>
      </c>
      <c r="E30" t="s">
        <v>124</v>
      </c>
      <c r="F30" t="s">
        <v>125</v>
      </c>
      <c r="G30" t="s">
        <v>58</v>
      </c>
      <c r="H30" t="s">
        <v>59</v>
      </c>
      <c r="I30" t="s">
        <v>126</v>
      </c>
    </row>
    <row r="31" spans="1:9" x14ac:dyDescent="0.2">
      <c r="A31" t="s">
        <v>96</v>
      </c>
      <c r="B31">
        <v>72</v>
      </c>
      <c r="C31">
        <v>12</v>
      </c>
      <c r="D31">
        <v>6</v>
      </c>
      <c r="E31">
        <v>0</v>
      </c>
      <c r="F31">
        <v>283.242535002529</v>
      </c>
      <c r="G31">
        <v>9164</v>
      </c>
      <c r="H31">
        <v>10000</v>
      </c>
      <c r="I31" t="s">
        <v>466</v>
      </c>
    </row>
    <row r="32" spans="1:9" x14ac:dyDescent="0.2">
      <c r="A32" t="s">
        <v>97</v>
      </c>
      <c r="B32">
        <v>90</v>
      </c>
      <c r="C32">
        <v>8</v>
      </c>
      <c r="D32">
        <v>10</v>
      </c>
      <c r="E32">
        <v>0</v>
      </c>
      <c r="F32">
        <v>298.85096865147301</v>
      </c>
      <c r="G32">
        <v>7218</v>
      </c>
      <c r="H32">
        <v>10000</v>
      </c>
      <c r="I32" t="s">
        <v>467</v>
      </c>
    </row>
    <row r="33" spans="1:9" x14ac:dyDescent="0.2">
      <c r="A33" t="s">
        <v>98</v>
      </c>
      <c r="B33">
        <v>108</v>
      </c>
      <c r="C33">
        <v>8</v>
      </c>
      <c r="D33">
        <v>10</v>
      </c>
      <c r="E33">
        <v>0</v>
      </c>
      <c r="F33">
        <v>305.52905291318802</v>
      </c>
      <c r="G33">
        <v>1278</v>
      </c>
      <c r="H33">
        <v>10000</v>
      </c>
      <c r="I33" t="s">
        <v>468</v>
      </c>
    </row>
    <row r="34" spans="1:9" x14ac:dyDescent="0.2">
      <c r="A34" t="s">
        <v>99</v>
      </c>
      <c r="B34">
        <v>144</v>
      </c>
      <c r="C34">
        <v>12</v>
      </c>
      <c r="D34">
        <v>12</v>
      </c>
      <c r="E34">
        <v>0</v>
      </c>
      <c r="F34">
        <v>376.98737645894198</v>
      </c>
      <c r="G34">
        <v>5388</v>
      </c>
      <c r="H34">
        <v>10000</v>
      </c>
      <c r="I34" t="s">
        <v>469</v>
      </c>
    </row>
    <row r="35" spans="1:9" x14ac:dyDescent="0.2">
      <c r="A35" t="s">
        <v>100</v>
      </c>
      <c r="B35">
        <v>288</v>
      </c>
      <c r="C35">
        <v>12</v>
      </c>
      <c r="D35">
        <v>18</v>
      </c>
      <c r="E35">
        <v>0</v>
      </c>
      <c r="F35">
        <v>371.04759143292898</v>
      </c>
      <c r="G35">
        <v>28</v>
      </c>
      <c r="H35">
        <v>10000</v>
      </c>
      <c r="I35" t="s">
        <v>470</v>
      </c>
    </row>
    <row r="36" spans="1:9" x14ac:dyDescent="0.2">
      <c r="A36" t="s">
        <v>101</v>
      </c>
      <c r="B36">
        <v>360</v>
      </c>
      <c r="C36">
        <v>12</v>
      </c>
      <c r="D36">
        <v>24</v>
      </c>
      <c r="E36">
        <v>0</v>
      </c>
      <c r="F36">
        <v>381.31805434077899</v>
      </c>
      <c r="G36">
        <v>15</v>
      </c>
      <c r="H36">
        <v>10000</v>
      </c>
      <c r="I36" t="s">
        <v>471</v>
      </c>
    </row>
    <row r="37" spans="1:9" x14ac:dyDescent="0.2">
      <c r="A37" t="s">
        <v>102</v>
      </c>
      <c r="B37">
        <v>756</v>
      </c>
      <c r="C37">
        <v>16</v>
      </c>
      <c r="D37">
        <v>50</v>
      </c>
      <c r="E37">
        <v>16</v>
      </c>
      <c r="F37">
        <v>1294.4481634870101</v>
      </c>
      <c r="G37">
        <v>3</v>
      </c>
      <c r="H37">
        <v>10000</v>
      </c>
      <c r="I37" t="s">
        <v>472</v>
      </c>
    </row>
    <row r="38" spans="1:9" x14ac:dyDescent="0.2">
      <c r="A38" t="s">
        <v>103</v>
      </c>
      <c r="B38">
        <v>216</v>
      </c>
      <c r="C38">
        <v>8</v>
      </c>
      <c r="D38">
        <v>10</v>
      </c>
      <c r="E38">
        <v>0</v>
      </c>
      <c r="F38">
        <v>184.34668740630099</v>
      </c>
      <c r="G38">
        <v>4201</v>
      </c>
      <c r="H38">
        <v>10000</v>
      </c>
      <c r="I38" t="s">
        <v>473</v>
      </c>
    </row>
    <row r="39" spans="1:9" x14ac:dyDescent="0.2">
      <c r="A39" t="s">
        <v>104</v>
      </c>
      <c r="B39">
        <v>576</v>
      </c>
      <c r="C39">
        <v>8</v>
      </c>
      <c r="D39">
        <v>24</v>
      </c>
      <c r="E39">
        <v>0</v>
      </c>
      <c r="F39">
        <v>739.18360546231202</v>
      </c>
      <c r="G39">
        <v>2</v>
      </c>
      <c r="H39">
        <v>10000</v>
      </c>
      <c r="I39" t="s">
        <v>474</v>
      </c>
    </row>
    <row r="40" spans="1:9" x14ac:dyDescent="0.2">
      <c r="A40" t="s">
        <v>105</v>
      </c>
      <c r="B40">
        <v>864</v>
      </c>
      <c r="C40">
        <v>4</v>
      </c>
      <c r="D40">
        <v>70</v>
      </c>
      <c r="E40">
        <v>30</v>
      </c>
      <c r="F40">
        <v>1767.8718895465099</v>
      </c>
      <c r="G40">
        <v>1</v>
      </c>
      <c r="H40">
        <v>10000</v>
      </c>
      <c r="I40" t="s">
        <v>475</v>
      </c>
    </row>
    <row r="41" spans="1:9" x14ac:dyDescent="0.2">
      <c r="A41" t="s">
        <v>106</v>
      </c>
      <c r="B41">
        <v>648</v>
      </c>
      <c r="C41">
        <v>4</v>
      </c>
      <c r="D41">
        <v>38</v>
      </c>
      <c r="E41">
        <v>6</v>
      </c>
      <c r="F41">
        <v>918.95591314881995</v>
      </c>
      <c r="G41">
        <v>2</v>
      </c>
      <c r="H41">
        <v>10000</v>
      </c>
      <c r="I41" t="s">
        <v>476</v>
      </c>
    </row>
    <row r="42" spans="1:9" x14ac:dyDescent="0.2">
      <c r="A42" t="s">
        <v>107</v>
      </c>
      <c r="B42">
        <v>1080</v>
      </c>
      <c r="C42">
        <v>4</v>
      </c>
      <c r="D42">
        <v>94</v>
      </c>
      <c r="E42">
        <v>38</v>
      </c>
      <c r="F42">
        <v>2935.1453397497498</v>
      </c>
      <c r="G42">
        <v>1</v>
      </c>
      <c r="H42">
        <v>10000</v>
      </c>
      <c r="I42" t="s">
        <v>477</v>
      </c>
    </row>
    <row r="43" spans="1:9" x14ac:dyDescent="0.2">
      <c r="A43" t="s">
        <v>108</v>
      </c>
      <c r="B43">
        <v>1296</v>
      </c>
      <c r="C43">
        <v>4</v>
      </c>
      <c r="D43">
        <v>126</v>
      </c>
      <c r="E43">
        <v>76</v>
      </c>
      <c r="F43">
        <v>5298.7665111943998</v>
      </c>
      <c r="G43">
        <v>1</v>
      </c>
      <c r="H43">
        <v>10000</v>
      </c>
      <c r="I43" t="s">
        <v>478</v>
      </c>
    </row>
    <row r="44" spans="1:9" x14ac:dyDescent="0.2">
      <c r="A44" t="s">
        <v>109</v>
      </c>
      <c r="B44">
        <v>1152</v>
      </c>
      <c r="C44">
        <v>4</v>
      </c>
      <c r="D44">
        <v>76</v>
      </c>
      <c r="E44">
        <v>34</v>
      </c>
      <c r="F44">
        <v>3700.9036930277898</v>
      </c>
      <c r="G44">
        <v>1</v>
      </c>
      <c r="H44">
        <v>10000</v>
      </c>
      <c r="I44" t="s">
        <v>479</v>
      </c>
    </row>
    <row r="45" spans="1:9" x14ac:dyDescent="0.2">
      <c r="A45" t="s">
        <v>110</v>
      </c>
      <c r="B45">
        <v>1728</v>
      </c>
      <c r="C45">
        <v>4</v>
      </c>
      <c r="D45">
        <v>146</v>
      </c>
      <c r="E45">
        <v>82</v>
      </c>
      <c r="F45">
        <v>14093.507199339499</v>
      </c>
      <c r="G45">
        <v>1</v>
      </c>
      <c r="H45">
        <v>10000</v>
      </c>
      <c r="I45" t="s">
        <v>480</v>
      </c>
    </row>
    <row r="46" spans="1:9" x14ac:dyDescent="0.2">
      <c r="A46" t="s">
        <v>111</v>
      </c>
      <c r="B46">
        <v>2016</v>
      </c>
      <c r="C46">
        <v>8</v>
      </c>
      <c r="D46">
        <v>66</v>
      </c>
      <c r="E46">
        <v>12</v>
      </c>
      <c r="F46">
        <v>5267.1143067926096</v>
      </c>
      <c r="G46">
        <v>1</v>
      </c>
      <c r="H46">
        <v>10000</v>
      </c>
      <c r="I46" t="s">
        <v>481</v>
      </c>
    </row>
    <row r="47" spans="1:9" x14ac:dyDescent="0.2">
      <c r="A47" t="s">
        <v>112</v>
      </c>
      <c r="B47">
        <v>2160</v>
      </c>
      <c r="C47">
        <v>8</v>
      </c>
      <c r="D47">
        <v>156</v>
      </c>
      <c r="E47">
        <v>92</v>
      </c>
      <c r="F47">
        <v>30295.143325328801</v>
      </c>
      <c r="G47">
        <v>1</v>
      </c>
      <c r="H47">
        <v>10000</v>
      </c>
      <c r="I47" t="s">
        <v>482</v>
      </c>
    </row>
    <row r="48" spans="1:9" x14ac:dyDescent="0.2">
      <c r="A48" t="s">
        <v>113</v>
      </c>
      <c r="B48">
        <v>2520</v>
      </c>
      <c r="C48">
        <v>8</v>
      </c>
      <c r="D48">
        <v>74</v>
      </c>
      <c r="E48">
        <v>20</v>
      </c>
      <c r="F48">
        <v>7925.7331456020402</v>
      </c>
      <c r="G48">
        <v>1</v>
      </c>
      <c r="H48">
        <v>10000</v>
      </c>
      <c r="I48" t="s">
        <v>483</v>
      </c>
    </row>
    <row r="49" spans="1:9" x14ac:dyDescent="0.2">
      <c r="A49" t="s">
        <v>114</v>
      </c>
      <c r="B49">
        <v>2592</v>
      </c>
      <c r="C49">
        <v>8</v>
      </c>
      <c r="D49">
        <v>58</v>
      </c>
      <c r="E49">
        <v>22</v>
      </c>
      <c r="F49">
        <v>11133.936181634601</v>
      </c>
      <c r="G49">
        <v>1</v>
      </c>
      <c r="H49">
        <v>10000</v>
      </c>
      <c r="I49" t="s">
        <v>484</v>
      </c>
    </row>
    <row r="50" spans="1:9" x14ac:dyDescent="0.2">
      <c r="A50" t="s">
        <v>115</v>
      </c>
      <c r="B50">
        <v>3024</v>
      </c>
      <c r="C50">
        <v>4</v>
      </c>
      <c r="D50">
        <v>160</v>
      </c>
      <c r="E50">
        <v>76</v>
      </c>
      <c r="F50">
        <v>51802.782483100797</v>
      </c>
      <c r="G50">
        <v>1</v>
      </c>
      <c r="H50">
        <v>10000</v>
      </c>
      <c r="I50" t="s">
        <v>485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FD23-2671-CB45-B947-E2776D6C94D3}">
  <dimension ref="A1:I44"/>
  <sheetViews>
    <sheetView topLeftCell="A9" workbookViewId="0">
      <selection activeCell="F25" sqref="F25:F44"/>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74</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486</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4.9357713311910603</v>
      </c>
      <c r="G25">
        <v>9995</v>
      </c>
      <c r="H25">
        <v>10000</v>
      </c>
      <c r="I25" t="s">
        <v>487</v>
      </c>
    </row>
    <row r="26" spans="1:9" x14ac:dyDescent="0.2">
      <c r="A26" t="s">
        <v>97</v>
      </c>
      <c r="B26">
        <v>90</v>
      </c>
      <c r="C26">
        <v>8</v>
      </c>
      <c r="D26">
        <v>10</v>
      </c>
      <c r="E26">
        <v>0</v>
      </c>
      <c r="F26">
        <v>5.8092942237854004</v>
      </c>
      <c r="G26">
        <v>9918</v>
      </c>
      <c r="H26">
        <v>10000</v>
      </c>
      <c r="I26" t="s">
        <v>488</v>
      </c>
    </row>
    <row r="27" spans="1:9" x14ac:dyDescent="0.2">
      <c r="A27" t="s">
        <v>98</v>
      </c>
      <c r="B27">
        <v>108</v>
      </c>
      <c r="C27">
        <v>8</v>
      </c>
      <c r="D27">
        <v>10</v>
      </c>
      <c r="E27">
        <v>0</v>
      </c>
      <c r="F27">
        <v>6.3962424322962699</v>
      </c>
      <c r="G27">
        <v>7731</v>
      </c>
      <c r="H27">
        <v>10000</v>
      </c>
      <c r="I27" t="s">
        <v>489</v>
      </c>
    </row>
    <row r="28" spans="1:9" x14ac:dyDescent="0.2">
      <c r="A28" t="s">
        <v>99</v>
      </c>
      <c r="B28">
        <v>144</v>
      </c>
      <c r="C28">
        <v>12</v>
      </c>
      <c r="D28">
        <v>12</v>
      </c>
      <c r="E28">
        <v>0</v>
      </c>
      <c r="F28">
        <v>10.5088370591402</v>
      </c>
      <c r="G28">
        <v>9857</v>
      </c>
      <c r="H28">
        <v>10000</v>
      </c>
      <c r="I28" t="s">
        <v>490</v>
      </c>
    </row>
    <row r="29" spans="1:9" x14ac:dyDescent="0.2">
      <c r="A29" t="s">
        <v>100</v>
      </c>
      <c r="B29">
        <v>288</v>
      </c>
      <c r="C29">
        <v>12</v>
      </c>
      <c r="D29">
        <v>18</v>
      </c>
      <c r="E29">
        <v>0</v>
      </c>
      <c r="F29">
        <v>28.941196128725998</v>
      </c>
      <c r="G29">
        <v>6605</v>
      </c>
      <c r="H29">
        <v>10000</v>
      </c>
      <c r="I29" t="s">
        <v>491</v>
      </c>
    </row>
    <row r="30" spans="1:9" x14ac:dyDescent="0.2">
      <c r="A30" t="s">
        <v>101</v>
      </c>
      <c r="B30">
        <v>360</v>
      </c>
      <c r="C30">
        <v>12</v>
      </c>
      <c r="D30">
        <v>24</v>
      </c>
      <c r="E30">
        <v>0</v>
      </c>
      <c r="F30">
        <v>42.381556555628698</v>
      </c>
      <c r="G30">
        <v>4725</v>
      </c>
      <c r="H30">
        <v>10000</v>
      </c>
      <c r="I30" t="s">
        <v>492</v>
      </c>
    </row>
    <row r="31" spans="1:9" x14ac:dyDescent="0.2">
      <c r="A31" t="s">
        <v>102</v>
      </c>
      <c r="B31">
        <v>756</v>
      </c>
      <c r="C31">
        <v>16</v>
      </c>
      <c r="D31">
        <v>34</v>
      </c>
      <c r="E31">
        <v>0</v>
      </c>
      <c r="F31">
        <v>195.846620038151</v>
      </c>
      <c r="G31">
        <v>2585</v>
      </c>
      <c r="H31">
        <v>10000</v>
      </c>
      <c r="I31" t="s">
        <v>493</v>
      </c>
    </row>
    <row r="32" spans="1:9" x14ac:dyDescent="0.2">
      <c r="A32" t="s">
        <v>103</v>
      </c>
      <c r="B32">
        <v>216</v>
      </c>
      <c r="C32">
        <v>8</v>
      </c>
      <c r="D32">
        <v>10</v>
      </c>
      <c r="E32">
        <v>0</v>
      </c>
      <c r="F32">
        <v>16.347558289766301</v>
      </c>
      <c r="G32">
        <v>9819</v>
      </c>
      <c r="H32">
        <v>10000</v>
      </c>
      <c r="I32" t="s">
        <v>494</v>
      </c>
    </row>
    <row r="33" spans="1:9" x14ac:dyDescent="0.2">
      <c r="A33" t="s">
        <v>104</v>
      </c>
      <c r="B33">
        <v>576</v>
      </c>
      <c r="C33">
        <v>8</v>
      </c>
      <c r="D33">
        <v>24</v>
      </c>
      <c r="E33">
        <v>0</v>
      </c>
      <c r="F33">
        <v>93.938993342220698</v>
      </c>
      <c r="G33">
        <v>4363</v>
      </c>
      <c r="H33">
        <v>10000</v>
      </c>
      <c r="I33" t="s">
        <v>495</v>
      </c>
    </row>
    <row r="34" spans="1:9" x14ac:dyDescent="0.2">
      <c r="A34" t="s">
        <v>105</v>
      </c>
      <c r="B34">
        <v>864</v>
      </c>
      <c r="C34">
        <v>4</v>
      </c>
      <c r="D34">
        <v>50</v>
      </c>
      <c r="E34">
        <v>10</v>
      </c>
      <c r="F34">
        <v>191.823812961578</v>
      </c>
      <c r="G34">
        <v>1137</v>
      </c>
      <c r="H34">
        <v>10000</v>
      </c>
      <c r="I34" t="s">
        <v>496</v>
      </c>
    </row>
    <row r="35" spans="1:9" x14ac:dyDescent="0.2">
      <c r="A35" t="s">
        <v>106</v>
      </c>
      <c r="B35">
        <v>648</v>
      </c>
      <c r="C35">
        <v>4</v>
      </c>
      <c r="D35">
        <v>32</v>
      </c>
      <c r="E35">
        <v>0</v>
      </c>
      <c r="F35">
        <v>106.06163662672</v>
      </c>
      <c r="G35">
        <v>3279</v>
      </c>
      <c r="H35">
        <v>10000</v>
      </c>
      <c r="I35" t="s">
        <v>497</v>
      </c>
    </row>
    <row r="36" spans="1:9" x14ac:dyDescent="0.2">
      <c r="A36" t="s">
        <v>107</v>
      </c>
      <c r="B36">
        <v>1080</v>
      </c>
      <c r="C36">
        <v>4</v>
      </c>
      <c r="D36">
        <v>64</v>
      </c>
      <c r="E36">
        <v>8</v>
      </c>
      <c r="F36">
        <v>306.634934209287</v>
      </c>
      <c r="G36">
        <v>128</v>
      </c>
      <c r="H36">
        <v>10000</v>
      </c>
      <c r="I36" t="s">
        <v>498</v>
      </c>
    </row>
    <row r="37" spans="1:9" x14ac:dyDescent="0.2">
      <c r="A37" t="s">
        <v>108</v>
      </c>
      <c r="B37">
        <v>1296</v>
      </c>
      <c r="C37">
        <v>4</v>
      </c>
      <c r="D37">
        <v>36</v>
      </c>
      <c r="E37">
        <v>-14</v>
      </c>
      <c r="F37">
        <v>454.66697998344898</v>
      </c>
      <c r="G37">
        <v>143</v>
      </c>
      <c r="H37">
        <v>10000</v>
      </c>
      <c r="I37" t="s">
        <v>499</v>
      </c>
    </row>
    <row r="38" spans="1:9" x14ac:dyDescent="0.2">
      <c r="A38" t="s">
        <v>109</v>
      </c>
      <c r="B38">
        <v>1152</v>
      </c>
      <c r="C38">
        <v>4</v>
      </c>
      <c r="D38">
        <v>40</v>
      </c>
      <c r="E38">
        <v>-2</v>
      </c>
      <c r="F38">
        <v>366.19098956137799</v>
      </c>
      <c r="G38">
        <v>88</v>
      </c>
      <c r="H38">
        <v>10000</v>
      </c>
      <c r="I38" t="s">
        <v>500</v>
      </c>
    </row>
    <row r="39" spans="1:9" x14ac:dyDescent="0.2">
      <c r="A39" t="s">
        <v>110</v>
      </c>
      <c r="B39">
        <v>1728</v>
      </c>
      <c r="C39">
        <v>4</v>
      </c>
      <c r="D39">
        <v>72</v>
      </c>
      <c r="E39">
        <v>8</v>
      </c>
      <c r="F39">
        <v>868.04859460890202</v>
      </c>
      <c r="G39">
        <v>11</v>
      </c>
      <c r="H39">
        <v>10000</v>
      </c>
      <c r="I39" t="s">
        <v>501</v>
      </c>
    </row>
    <row r="40" spans="1:9" x14ac:dyDescent="0.2">
      <c r="A40" t="s">
        <v>111</v>
      </c>
      <c r="B40">
        <v>2016</v>
      </c>
      <c r="C40">
        <v>8</v>
      </c>
      <c r="D40">
        <v>54</v>
      </c>
      <c r="E40">
        <v>0</v>
      </c>
      <c r="F40">
        <v>1097.5704333782101</v>
      </c>
      <c r="G40">
        <v>1488</v>
      </c>
      <c r="H40">
        <v>10000</v>
      </c>
      <c r="I40" t="s">
        <v>502</v>
      </c>
    </row>
    <row r="41" spans="1:9" x14ac:dyDescent="0.2">
      <c r="A41" t="s">
        <v>112</v>
      </c>
      <c r="B41">
        <v>2160</v>
      </c>
      <c r="C41">
        <v>8</v>
      </c>
      <c r="D41">
        <v>68</v>
      </c>
      <c r="E41">
        <v>4</v>
      </c>
      <c r="F41">
        <v>1658.2108235135599</v>
      </c>
      <c r="G41">
        <v>56</v>
      </c>
      <c r="H41">
        <v>10000</v>
      </c>
      <c r="I41" t="s">
        <v>503</v>
      </c>
    </row>
    <row r="42" spans="1:9" x14ac:dyDescent="0.2">
      <c r="A42" t="s">
        <v>113</v>
      </c>
      <c r="B42">
        <v>2520</v>
      </c>
      <c r="C42">
        <v>8</v>
      </c>
      <c r="D42">
        <v>52</v>
      </c>
      <c r="E42">
        <v>-2</v>
      </c>
      <c r="F42">
        <v>1840.8374088034</v>
      </c>
      <c r="G42">
        <v>1420</v>
      </c>
      <c r="H42">
        <v>10000</v>
      </c>
      <c r="I42" t="s">
        <v>504</v>
      </c>
    </row>
    <row r="43" spans="1:9" x14ac:dyDescent="0.2">
      <c r="A43" t="s">
        <v>114</v>
      </c>
      <c r="B43">
        <v>2592</v>
      </c>
      <c r="C43">
        <v>8</v>
      </c>
      <c r="D43">
        <v>36</v>
      </c>
      <c r="E43">
        <v>0</v>
      </c>
      <c r="F43">
        <v>1979.5519649237301</v>
      </c>
      <c r="G43">
        <v>2139</v>
      </c>
      <c r="H43">
        <v>10000</v>
      </c>
      <c r="I43" t="s">
        <v>505</v>
      </c>
    </row>
    <row r="44" spans="1:9" x14ac:dyDescent="0.2">
      <c r="A44" t="s">
        <v>115</v>
      </c>
      <c r="B44">
        <v>3024</v>
      </c>
      <c r="C44">
        <v>4</v>
      </c>
      <c r="D44">
        <v>92</v>
      </c>
      <c r="E44">
        <v>8</v>
      </c>
      <c r="F44">
        <v>3604.1244962811402</v>
      </c>
      <c r="G44">
        <v>1</v>
      </c>
      <c r="H44">
        <v>10000</v>
      </c>
      <c r="I44" t="s">
        <v>506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48B6-C357-C642-82D8-F723FA68AD9A}">
  <dimension ref="A1:I53"/>
  <sheetViews>
    <sheetView workbookViewId="0">
      <selection activeCell="F24" sqref="F24"/>
    </sheetView>
  </sheetViews>
  <sheetFormatPr baseColWidth="10" defaultRowHeight="16" x14ac:dyDescent="0.2"/>
  <sheetData>
    <row r="1" spans="1:1" x14ac:dyDescent="0.2">
      <c r="A1" t="s">
        <v>70</v>
      </c>
    </row>
    <row r="2" spans="1:1" x14ac:dyDescent="0.2">
      <c r="A2" t="s">
        <v>71</v>
      </c>
    </row>
    <row r="3" spans="1:1" x14ac:dyDescent="0.2">
      <c r="A3" t="s">
        <v>116</v>
      </c>
    </row>
    <row r="4" spans="1:1" x14ac:dyDescent="0.2">
      <c r="A4" t="s">
        <v>665</v>
      </c>
    </row>
    <row r="5" spans="1:1" x14ac:dyDescent="0.2">
      <c r="A5" t="s">
        <v>72</v>
      </c>
    </row>
    <row r="6" spans="1:1" x14ac:dyDescent="0.2">
      <c r="A6" t="s">
        <v>73</v>
      </c>
    </row>
    <row r="7" spans="1:1" x14ac:dyDescent="0.2">
      <c r="A7" t="s">
        <v>74</v>
      </c>
    </row>
    <row r="8" spans="1:1" x14ac:dyDescent="0.2">
      <c r="A8" t="s">
        <v>75</v>
      </c>
    </row>
    <row r="9" spans="1:1" x14ac:dyDescent="0.2">
      <c r="A9" t="s">
        <v>76</v>
      </c>
    </row>
    <row r="10" spans="1:1" x14ac:dyDescent="0.2">
      <c r="A10" t="s">
        <v>581</v>
      </c>
    </row>
    <row r="11" spans="1:1" x14ac:dyDescent="0.2">
      <c r="A11" t="s">
        <v>582</v>
      </c>
    </row>
    <row r="12" spans="1:1" x14ac:dyDescent="0.2">
      <c r="A12" t="s">
        <v>119</v>
      </c>
    </row>
    <row r="13" spans="1:1" x14ac:dyDescent="0.2">
      <c r="A13" t="s">
        <v>78</v>
      </c>
    </row>
    <row r="14" spans="1:1" x14ac:dyDescent="0.2">
      <c r="A14" t="s">
        <v>79</v>
      </c>
    </row>
    <row r="15" spans="1:1" x14ac:dyDescent="0.2">
      <c r="A15" t="s">
        <v>80</v>
      </c>
    </row>
    <row r="16" spans="1:1" x14ac:dyDescent="0.2">
      <c r="A16" t="s">
        <v>81</v>
      </c>
    </row>
    <row r="17" spans="1:1" x14ac:dyDescent="0.2">
      <c r="A17" t="s">
        <v>638</v>
      </c>
    </row>
    <row r="18" spans="1:1" x14ac:dyDescent="0.2">
      <c r="A18" t="s">
        <v>594</v>
      </c>
    </row>
    <row r="19" spans="1:1" x14ac:dyDescent="0.2">
      <c r="A19" t="s">
        <v>82</v>
      </c>
    </row>
    <row r="20" spans="1:1" x14ac:dyDescent="0.2">
      <c r="A20" t="s">
        <v>86</v>
      </c>
    </row>
    <row r="21" spans="1:1" x14ac:dyDescent="0.2">
      <c r="A21" t="s">
        <v>120</v>
      </c>
    </row>
    <row r="22" spans="1:1" x14ac:dyDescent="0.2">
      <c r="A22" t="s">
        <v>88</v>
      </c>
    </row>
    <row r="23" spans="1:1" x14ac:dyDescent="0.2">
      <c r="A23" t="s">
        <v>121</v>
      </c>
    </row>
    <row r="24" spans="1:1" x14ac:dyDescent="0.2">
      <c r="A24" t="s">
        <v>639</v>
      </c>
    </row>
    <row r="25" spans="1:1" x14ac:dyDescent="0.2">
      <c r="A25" t="s">
        <v>640</v>
      </c>
    </row>
    <row r="26" spans="1:1" x14ac:dyDescent="0.2">
      <c r="A26" t="s">
        <v>641</v>
      </c>
    </row>
    <row r="27" spans="1:1" x14ac:dyDescent="0.2">
      <c r="A27" t="s">
        <v>642</v>
      </c>
    </row>
    <row r="28" spans="1:1" x14ac:dyDescent="0.2">
      <c r="A28" t="s">
        <v>666</v>
      </c>
    </row>
    <row r="29" spans="1:1" x14ac:dyDescent="0.2">
      <c r="A29" t="s">
        <v>238</v>
      </c>
    </row>
    <row r="30" spans="1:1" x14ac:dyDescent="0.2">
      <c r="A30" t="s">
        <v>90</v>
      </c>
    </row>
    <row r="31" spans="1:1" x14ac:dyDescent="0.2">
      <c r="A31" t="s">
        <v>667</v>
      </c>
    </row>
    <row r="32" spans="1:1" x14ac:dyDescent="0.2">
      <c r="A32" t="s">
        <v>92</v>
      </c>
    </row>
    <row r="33" spans="1:9" x14ac:dyDescent="0.2">
      <c r="A33" t="s">
        <v>93</v>
      </c>
      <c r="B33" t="s">
        <v>61</v>
      </c>
      <c r="C33" t="s">
        <v>94</v>
      </c>
      <c r="D33" t="s">
        <v>95</v>
      </c>
      <c r="E33" t="s">
        <v>124</v>
      </c>
      <c r="F33" t="s">
        <v>125</v>
      </c>
      <c r="G33" t="s">
        <v>58</v>
      </c>
      <c r="H33" t="s">
        <v>59</v>
      </c>
      <c r="I33" t="s">
        <v>126</v>
      </c>
    </row>
    <row r="34" spans="1:9" x14ac:dyDescent="0.2">
      <c r="A34" t="s">
        <v>96</v>
      </c>
      <c r="B34">
        <v>72</v>
      </c>
      <c r="C34">
        <v>12</v>
      </c>
      <c r="D34">
        <v>6</v>
      </c>
      <c r="E34">
        <v>0</v>
      </c>
      <c r="F34">
        <v>3.6712848264723998</v>
      </c>
      <c r="G34">
        <v>9992</v>
      </c>
      <c r="H34">
        <v>10000</v>
      </c>
      <c r="I34" t="s">
        <v>668</v>
      </c>
    </row>
    <row r="35" spans="1:9" x14ac:dyDescent="0.2">
      <c r="A35" t="s">
        <v>97</v>
      </c>
      <c r="B35">
        <v>90</v>
      </c>
      <c r="C35">
        <v>8</v>
      </c>
      <c r="D35">
        <v>10</v>
      </c>
      <c r="E35">
        <v>0</v>
      </c>
      <c r="F35">
        <v>4.4575684517621896</v>
      </c>
      <c r="G35">
        <v>9953</v>
      </c>
      <c r="H35">
        <v>10000</v>
      </c>
      <c r="I35" t="s">
        <v>669</v>
      </c>
    </row>
    <row r="36" spans="1:9" x14ac:dyDescent="0.2">
      <c r="A36" t="s">
        <v>98</v>
      </c>
      <c r="B36">
        <v>108</v>
      </c>
      <c r="C36">
        <v>8</v>
      </c>
      <c r="D36">
        <v>10</v>
      </c>
      <c r="E36">
        <v>0</v>
      </c>
      <c r="F36">
        <v>4.5929387696087298</v>
      </c>
      <c r="G36">
        <v>7766</v>
      </c>
      <c r="H36">
        <v>10000</v>
      </c>
      <c r="I36" t="s">
        <v>670</v>
      </c>
    </row>
    <row r="37" spans="1:9" x14ac:dyDescent="0.2">
      <c r="A37" t="s">
        <v>99</v>
      </c>
      <c r="B37">
        <v>144</v>
      </c>
      <c r="C37">
        <v>12</v>
      </c>
      <c r="D37">
        <v>12</v>
      </c>
      <c r="E37">
        <v>0</v>
      </c>
      <c r="F37">
        <v>7.7314472096040801</v>
      </c>
      <c r="G37">
        <v>9818</v>
      </c>
      <c r="H37">
        <v>10000</v>
      </c>
      <c r="I37" t="s">
        <v>671</v>
      </c>
    </row>
    <row r="38" spans="1:9" x14ac:dyDescent="0.2">
      <c r="A38" t="s">
        <v>100</v>
      </c>
      <c r="B38">
        <v>288</v>
      </c>
      <c r="C38">
        <v>12</v>
      </c>
      <c r="D38">
        <v>18</v>
      </c>
      <c r="E38">
        <v>0</v>
      </c>
      <c r="F38">
        <v>20.78781648539</v>
      </c>
      <c r="G38">
        <v>5741</v>
      </c>
      <c r="H38">
        <v>10000</v>
      </c>
      <c r="I38" t="s">
        <v>672</v>
      </c>
    </row>
    <row r="39" spans="1:9" x14ac:dyDescent="0.2">
      <c r="A39" t="s">
        <v>101</v>
      </c>
      <c r="B39">
        <v>360</v>
      </c>
      <c r="C39">
        <v>12</v>
      </c>
      <c r="D39">
        <v>24</v>
      </c>
      <c r="E39">
        <v>0</v>
      </c>
      <c r="F39">
        <v>31.156845213845301</v>
      </c>
      <c r="G39">
        <v>4153</v>
      </c>
      <c r="H39">
        <v>10000</v>
      </c>
      <c r="I39" t="s">
        <v>673</v>
      </c>
    </row>
    <row r="40" spans="1:9" x14ac:dyDescent="0.2">
      <c r="A40" t="s">
        <v>102</v>
      </c>
      <c r="B40">
        <v>756</v>
      </c>
      <c r="C40">
        <v>16</v>
      </c>
      <c r="D40">
        <v>36</v>
      </c>
      <c r="E40">
        <v>2</v>
      </c>
      <c r="F40">
        <v>156.367003560066</v>
      </c>
      <c r="G40">
        <v>1977</v>
      </c>
      <c r="H40">
        <v>10000</v>
      </c>
      <c r="I40" t="s">
        <v>674</v>
      </c>
    </row>
    <row r="41" spans="1:9" x14ac:dyDescent="0.2">
      <c r="A41" t="s">
        <v>103</v>
      </c>
      <c r="B41">
        <v>216</v>
      </c>
      <c r="C41">
        <v>8</v>
      </c>
      <c r="D41">
        <v>10</v>
      </c>
      <c r="E41">
        <v>0</v>
      </c>
      <c r="F41">
        <v>10.9914375394582</v>
      </c>
      <c r="G41">
        <v>9562</v>
      </c>
      <c r="H41">
        <v>10000</v>
      </c>
      <c r="I41" t="s">
        <v>675</v>
      </c>
    </row>
    <row r="42" spans="1:9" x14ac:dyDescent="0.2">
      <c r="A42" t="s">
        <v>104</v>
      </c>
      <c r="B42">
        <v>576</v>
      </c>
      <c r="C42">
        <v>8</v>
      </c>
      <c r="D42">
        <v>24</v>
      </c>
      <c r="E42">
        <v>0</v>
      </c>
      <c r="F42">
        <v>67.263528211973593</v>
      </c>
      <c r="G42">
        <v>4195</v>
      </c>
      <c r="H42">
        <v>10000</v>
      </c>
      <c r="I42" t="s">
        <v>676</v>
      </c>
    </row>
    <row r="43" spans="1:9" x14ac:dyDescent="0.2">
      <c r="A43" t="s">
        <v>105</v>
      </c>
      <c r="B43">
        <v>864</v>
      </c>
      <c r="C43">
        <v>4</v>
      </c>
      <c r="D43">
        <v>40</v>
      </c>
      <c r="E43">
        <v>0</v>
      </c>
      <c r="F43">
        <v>136.03119707200599</v>
      </c>
      <c r="G43">
        <v>923</v>
      </c>
      <c r="H43">
        <v>10000</v>
      </c>
      <c r="I43" t="s">
        <v>677</v>
      </c>
    </row>
    <row r="44" spans="1:9" x14ac:dyDescent="0.2">
      <c r="A44" t="s">
        <v>106</v>
      </c>
      <c r="B44">
        <v>648</v>
      </c>
      <c r="C44">
        <v>4</v>
      </c>
      <c r="D44">
        <v>32</v>
      </c>
      <c r="E44">
        <v>0</v>
      </c>
      <c r="F44">
        <v>71.308178880251901</v>
      </c>
      <c r="G44">
        <v>2294</v>
      </c>
      <c r="H44">
        <v>10000</v>
      </c>
      <c r="I44" t="s">
        <v>678</v>
      </c>
    </row>
    <row r="45" spans="1:9" x14ac:dyDescent="0.2">
      <c r="A45" t="s">
        <v>107</v>
      </c>
      <c r="B45">
        <v>1080</v>
      </c>
      <c r="C45">
        <v>4</v>
      </c>
      <c r="D45">
        <v>58</v>
      </c>
      <c r="E45">
        <v>2</v>
      </c>
      <c r="F45">
        <v>220.06668651103899</v>
      </c>
      <c r="G45">
        <v>219</v>
      </c>
      <c r="H45">
        <v>10000</v>
      </c>
      <c r="I45" t="s">
        <v>679</v>
      </c>
    </row>
    <row r="46" spans="1:9" x14ac:dyDescent="0.2">
      <c r="A46" t="s">
        <v>108</v>
      </c>
      <c r="B46">
        <v>1296</v>
      </c>
      <c r="C46">
        <v>4</v>
      </c>
      <c r="D46">
        <v>54</v>
      </c>
      <c r="E46">
        <v>4</v>
      </c>
      <c r="F46">
        <v>339.07502606138502</v>
      </c>
      <c r="G46">
        <v>347</v>
      </c>
      <c r="H46">
        <v>10000</v>
      </c>
      <c r="I46" t="s">
        <v>680</v>
      </c>
    </row>
    <row r="47" spans="1:9" x14ac:dyDescent="0.2">
      <c r="A47" t="s">
        <v>109</v>
      </c>
      <c r="B47">
        <v>1152</v>
      </c>
      <c r="C47">
        <v>4</v>
      </c>
      <c r="D47">
        <v>40</v>
      </c>
      <c r="E47">
        <v>-2</v>
      </c>
      <c r="F47">
        <v>260.16340336669202</v>
      </c>
      <c r="G47">
        <v>968</v>
      </c>
      <c r="H47">
        <v>10000</v>
      </c>
      <c r="I47" t="s">
        <v>681</v>
      </c>
    </row>
    <row r="48" spans="1:9" x14ac:dyDescent="0.2">
      <c r="A48" t="s">
        <v>110</v>
      </c>
      <c r="B48">
        <v>1728</v>
      </c>
      <c r="C48">
        <v>4</v>
      </c>
      <c r="D48">
        <v>74</v>
      </c>
      <c r="E48">
        <v>10</v>
      </c>
      <c r="F48">
        <v>649.09701713640197</v>
      </c>
      <c r="G48">
        <v>5</v>
      </c>
      <c r="H48">
        <v>10000</v>
      </c>
      <c r="I48" t="s">
        <v>682</v>
      </c>
    </row>
    <row r="49" spans="1:9" x14ac:dyDescent="0.2">
      <c r="A49" t="s">
        <v>111</v>
      </c>
      <c r="B49">
        <v>2016</v>
      </c>
      <c r="C49">
        <v>8</v>
      </c>
      <c r="D49">
        <v>54</v>
      </c>
      <c r="E49">
        <v>0</v>
      </c>
      <c r="F49">
        <v>786.49558063875804</v>
      </c>
      <c r="G49">
        <v>1</v>
      </c>
      <c r="H49">
        <v>10000</v>
      </c>
      <c r="I49" t="s">
        <v>683</v>
      </c>
    </row>
    <row r="50" spans="1:9" x14ac:dyDescent="0.2">
      <c r="A50" t="s">
        <v>112</v>
      </c>
      <c r="B50">
        <v>2160</v>
      </c>
      <c r="C50">
        <v>8</v>
      </c>
      <c r="D50">
        <v>64</v>
      </c>
      <c r="E50">
        <v>0</v>
      </c>
      <c r="F50">
        <v>1261.04654789809</v>
      </c>
      <c r="G50">
        <v>2</v>
      </c>
      <c r="H50">
        <v>10000</v>
      </c>
      <c r="I50" t="s">
        <v>684</v>
      </c>
    </row>
    <row r="51" spans="1:9" x14ac:dyDescent="0.2">
      <c r="A51" t="s">
        <v>113</v>
      </c>
      <c r="B51">
        <v>2520</v>
      </c>
      <c r="C51">
        <v>8</v>
      </c>
      <c r="D51">
        <v>52</v>
      </c>
      <c r="E51">
        <v>-2</v>
      </c>
      <c r="F51">
        <v>1310.0806835656899</v>
      </c>
      <c r="G51">
        <v>66</v>
      </c>
      <c r="H51">
        <v>10000</v>
      </c>
      <c r="I51" t="s">
        <v>685</v>
      </c>
    </row>
    <row r="52" spans="1:9" x14ac:dyDescent="0.2">
      <c r="A52" t="s">
        <v>114</v>
      </c>
      <c r="B52">
        <v>2592</v>
      </c>
      <c r="C52">
        <v>8</v>
      </c>
      <c r="D52">
        <v>36</v>
      </c>
      <c r="E52">
        <v>0</v>
      </c>
      <c r="F52">
        <v>1430.1932840719801</v>
      </c>
      <c r="G52">
        <v>1766</v>
      </c>
      <c r="H52">
        <v>10000</v>
      </c>
      <c r="I52" t="s">
        <v>686</v>
      </c>
    </row>
    <row r="53" spans="1:9" x14ac:dyDescent="0.2">
      <c r="A53" t="s">
        <v>115</v>
      </c>
      <c r="B53">
        <v>3024</v>
      </c>
      <c r="C53">
        <v>4</v>
      </c>
      <c r="D53">
        <v>92</v>
      </c>
      <c r="E53">
        <v>8</v>
      </c>
      <c r="F53">
        <v>2621.3308551497698</v>
      </c>
      <c r="G53">
        <v>1</v>
      </c>
      <c r="H53">
        <v>10000</v>
      </c>
      <c r="I53" t="s">
        <v>687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D758-EFE7-5540-8BEC-C3C6E7E8BACC}">
  <dimension ref="A1:I44"/>
  <sheetViews>
    <sheetView topLeftCell="A9" workbookViewId="0">
      <selection activeCell="D25" sqref="D25:D44"/>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507</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86</v>
      </c>
    </row>
    <row r="18" spans="1:9" x14ac:dyDescent="0.2">
      <c r="A18" t="s">
        <v>87</v>
      </c>
    </row>
    <row r="19" spans="1:9" x14ac:dyDescent="0.2">
      <c r="A19" t="s">
        <v>88</v>
      </c>
    </row>
    <row r="20" spans="1:9" x14ac:dyDescent="0.2">
      <c r="A20" s="22" t="s">
        <v>89</v>
      </c>
    </row>
    <row r="21" spans="1:9" x14ac:dyDescent="0.2">
      <c r="A21" t="s">
        <v>90</v>
      </c>
    </row>
    <row r="22" spans="1:9" x14ac:dyDescent="0.2">
      <c r="A22" t="s">
        <v>508</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2.92331403493881</v>
      </c>
      <c r="G25">
        <v>9472</v>
      </c>
      <c r="H25">
        <v>10000</v>
      </c>
      <c r="I25" t="s">
        <v>509</v>
      </c>
    </row>
    <row r="26" spans="1:9" x14ac:dyDescent="0.2">
      <c r="A26" t="s">
        <v>97</v>
      </c>
      <c r="B26">
        <v>90</v>
      </c>
      <c r="C26">
        <v>8</v>
      </c>
      <c r="D26">
        <v>10</v>
      </c>
      <c r="E26">
        <v>0</v>
      </c>
      <c r="F26">
        <v>3.4288268610835</v>
      </c>
      <c r="G26">
        <v>7054</v>
      </c>
      <c r="H26">
        <v>10000</v>
      </c>
      <c r="I26" t="s">
        <v>510</v>
      </c>
    </row>
    <row r="27" spans="1:9" x14ac:dyDescent="0.2">
      <c r="A27" t="s">
        <v>98</v>
      </c>
      <c r="B27">
        <v>108</v>
      </c>
      <c r="C27">
        <v>8</v>
      </c>
      <c r="D27">
        <v>10</v>
      </c>
      <c r="E27">
        <v>0</v>
      </c>
      <c r="F27">
        <v>4.0921574607491404</v>
      </c>
      <c r="G27">
        <v>1368</v>
      </c>
      <c r="H27">
        <v>10000</v>
      </c>
      <c r="I27" t="s">
        <v>511</v>
      </c>
    </row>
    <row r="28" spans="1:9" x14ac:dyDescent="0.2">
      <c r="A28" t="s">
        <v>99</v>
      </c>
      <c r="B28">
        <v>144</v>
      </c>
      <c r="C28">
        <v>12</v>
      </c>
      <c r="D28">
        <v>12</v>
      </c>
      <c r="E28">
        <v>0</v>
      </c>
      <c r="F28">
        <v>6.8351106792688299</v>
      </c>
      <c r="G28">
        <v>5796</v>
      </c>
      <c r="H28">
        <v>10000</v>
      </c>
      <c r="I28" t="s">
        <v>512</v>
      </c>
    </row>
    <row r="29" spans="1:9" x14ac:dyDescent="0.2">
      <c r="A29" t="s">
        <v>100</v>
      </c>
      <c r="B29">
        <v>288</v>
      </c>
      <c r="C29">
        <v>12</v>
      </c>
      <c r="D29">
        <v>18</v>
      </c>
      <c r="E29">
        <v>0</v>
      </c>
      <c r="F29">
        <v>21.1812393516302</v>
      </c>
      <c r="G29">
        <v>52</v>
      </c>
      <c r="H29">
        <v>10000</v>
      </c>
      <c r="I29" t="s">
        <v>513</v>
      </c>
    </row>
    <row r="30" spans="1:9" x14ac:dyDescent="0.2">
      <c r="A30" t="s">
        <v>101</v>
      </c>
      <c r="B30">
        <v>360</v>
      </c>
      <c r="C30">
        <v>12</v>
      </c>
      <c r="D30">
        <v>24</v>
      </c>
      <c r="E30">
        <v>0</v>
      </c>
      <c r="F30">
        <v>32.141695499420102</v>
      </c>
      <c r="G30">
        <v>33</v>
      </c>
      <c r="H30">
        <v>10000</v>
      </c>
      <c r="I30" t="s">
        <v>514</v>
      </c>
    </row>
    <row r="31" spans="1:9" x14ac:dyDescent="0.2">
      <c r="A31" t="s">
        <v>102</v>
      </c>
      <c r="B31">
        <v>756</v>
      </c>
      <c r="C31">
        <v>16</v>
      </c>
      <c r="D31">
        <v>40</v>
      </c>
      <c r="E31">
        <v>6</v>
      </c>
      <c r="F31">
        <v>159.87395592033801</v>
      </c>
      <c r="G31">
        <v>1</v>
      </c>
      <c r="H31">
        <v>10000</v>
      </c>
      <c r="I31" t="s">
        <v>515</v>
      </c>
    </row>
    <row r="32" spans="1:9" x14ac:dyDescent="0.2">
      <c r="A32" t="s">
        <v>103</v>
      </c>
      <c r="B32">
        <v>216</v>
      </c>
      <c r="C32">
        <v>8</v>
      </c>
      <c r="D32">
        <v>10</v>
      </c>
      <c r="E32">
        <v>0</v>
      </c>
      <c r="F32">
        <v>10.5029089897871</v>
      </c>
      <c r="G32">
        <v>5931</v>
      </c>
      <c r="H32">
        <v>10000</v>
      </c>
      <c r="I32" t="s">
        <v>516</v>
      </c>
    </row>
    <row r="33" spans="1:9" x14ac:dyDescent="0.2">
      <c r="A33" t="s">
        <v>104</v>
      </c>
      <c r="B33">
        <v>576</v>
      </c>
      <c r="C33">
        <v>8</v>
      </c>
      <c r="D33">
        <v>24</v>
      </c>
      <c r="E33">
        <v>0</v>
      </c>
      <c r="F33">
        <v>70.306106843054295</v>
      </c>
      <c r="G33">
        <v>3</v>
      </c>
      <c r="H33">
        <v>10000</v>
      </c>
      <c r="I33" t="s">
        <v>517</v>
      </c>
    </row>
    <row r="34" spans="1:9" x14ac:dyDescent="0.2">
      <c r="A34" t="s">
        <v>105</v>
      </c>
      <c r="B34">
        <v>864</v>
      </c>
      <c r="C34">
        <v>4</v>
      </c>
      <c r="D34">
        <v>68</v>
      </c>
      <c r="E34">
        <v>28</v>
      </c>
      <c r="F34">
        <v>149.13967640697899</v>
      </c>
      <c r="G34">
        <v>1</v>
      </c>
      <c r="H34">
        <v>10000</v>
      </c>
      <c r="I34" t="s">
        <v>518</v>
      </c>
    </row>
    <row r="35" spans="1:9" x14ac:dyDescent="0.2">
      <c r="A35" t="s">
        <v>106</v>
      </c>
      <c r="B35">
        <v>648</v>
      </c>
      <c r="C35">
        <v>4</v>
      </c>
      <c r="D35">
        <v>38</v>
      </c>
      <c r="E35">
        <v>6</v>
      </c>
      <c r="F35">
        <v>78.843173399567604</v>
      </c>
      <c r="G35">
        <v>2</v>
      </c>
      <c r="H35">
        <v>10000</v>
      </c>
      <c r="I35" t="s">
        <v>519</v>
      </c>
    </row>
    <row r="36" spans="1:9" x14ac:dyDescent="0.2">
      <c r="A36" t="s">
        <v>107</v>
      </c>
      <c r="B36">
        <v>1080</v>
      </c>
      <c r="C36">
        <v>4</v>
      </c>
      <c r="D36">
        <v>88</v>
      </c>
      <c r="E36">
        <v>32</v>
      </c>
      <c r="F36">
        <v>241.751099526882</v>
      </c>
      <c r="G36">
        <v>2</v>
      </c>
      <c r="H36">
        <v>10000</v>
      </c>
      <c r="I36" t="s">
        <v>520</v>
      </c>
    </row>
    <row r="37" spans="1:9" x14ac:dyDescent="0.2">
      <c r="A37" t="s">
        <v>108</v>
      </c>
      <c r="B37">
        <v>1296</v>
      </c>
      <c r="C37">
        <v>4</v>
      </c>
      <c r="D37">
        <v>102</v>
      </c>
      <c r="E37">
        <v>52</v>
      </c>
      <c r="F37">
        <v>369.23885732889102</v>
      </c>
      <c r="G37">
        <v>1</v>
      </c>
      <c r="H37">
        <v>10000</v>
      </c>
      <c r="I37" t="s">
        <v>521</v>
      </c>
    </row>
    <row r="38" spans="1:9" x14ac:dyDescent="0.2">
      <c r="A38" t="s">
        <v>109</v>
      </c>
      <c r="B38">
        <v>1152</v>
      </c>
      <c r="C38">
        <v>4</v>
      </c>
      <c r="D38">
        <v>74</v>
      </c>
      <c r="E38">
        <v>32</v>
      </c>
      <c r="F38">
        <v>286.31185001879902</v>
      </c>
      <c r="G38">
        <v>1</v>
      </c>
      <c r="H38">
        <v>10000</v>
      </c>
      <c r="I38" t="s">
        <v>522</v>
      </c>
    </row>
    <row r="39" spans="1:9" x14ac:dyDescent="0.2">
      <c r="A39" t="s">
        <v>110</v>
      </c>
      <c r="B39">
        <v>1728</v>
      </c>
      <c r="C39">
        <v>4</v>
      </c>
      <c r="D39">
        <v>184</v>
      </c>
      <c r="E39">
        <v>120</v>
      </c>
      <c r="F39">
        <v>754.85752420872404</v>
      </c>
      <c r="G39">
        <v>1</v>
      </c>
      <c r="H39">
        <v>10000</v>
      </c>
      <c r="I39" t="s">
        <v>523</v>
      </c>
    </row>
    <row r="40" spans="1:9" x14ac:dyDescent="0.2">
      <c r="A40" t="s">
        <v>111</v>
      </c>
      <c r="B40">
        <v>2016</v>
      </c>
      <c r="C40">
        <v>8</v>
      </c>
      <c r="D40">
        <v>72</v>
      </c>
      <c r="E40">
        <v>18</v>
      </c>
      <c r="F40">
        <v>903.61725124716702</v>
      </c>
      <c r="G40">
        <v>1</v>
      </c>
      <c r="H40">
        <v>10000</v>
      </c>
      <c r="I40" t="s">
        <v>524</v>
      </c>
    </row>
    <row r="41" spans="1:9" x14ac:dyDescent="0.2">
      <c r="A41" t="s">
        <v>112</v>
      </c>
      <c r="B41">
        <v>2160</v>
      </c>
      <c r="C41">
        <v>8</v>
      </c>
      <c r="D41">
        <v>178</v>
      </c>
      <c r="E41">
        <v>114</v>
      </c>
      <c r="F41">
        <v>1491.4279485121299</v>
      </c>
      <c r="G41">
        <v>1</v>
      </c>
      <c r="H41">
        <v>10000</v>
      </c>
      <c r="I41" t="s">
        <v>525</v>
      </c>
    </row>
    <row r="42" spans="1:9" x14ac:dyDescent="0.2">
      <c r="A42" t="s">
        <v>113</v>
      </c>
      <c r="B42">
        <v>2520</v>
      </c>
      <c r="C42">
        <v>8</v>
      </c>
      <c r="D42">
        <v>66</v>
      </c>
      <c r="E42">
        <v>12</v>
      </c>
      <c r="F42">
        <v>1575.6288974955601</v>
      </c>
      <c r="G42">
        <v>1</v>
      </c>
      <c r="H42">
        <v>10000</v>
      </c>
      <c r="I42" t="s">
        <v>526</v>
      </c>
    </row>
    <row r="43" spans="1:9" x14ac:dyDescent="0.2">
      <c r="A43" t="s">
        <v>114</v>
      </c>
      <c r="B43">
        <v>2592</v>
      </c>
      <c r="C43">
        <v>8</v>
      </c>
      <c r="D43">
        <v>46</v>
      </c>
      <c r="E43">
        <v>10</v>
      </c>
      <c r="F43">
        <v>1714.6302867680699</v>
      </c>
      <c r="G43">
        <v>1</v>
      </c>
      <c r="H43">
        <v>10000</v>
      </c>
      <c r="I43" t="s">
        <v>527</v>
      </c>
    </row>
    <row r="44" spans="1:9" x14ac:dyDescent="0.2">
      <c r="A44" t="s">
        <v>115</v>
      </c>
      <c r="B44">
        <v>3024</v>
      </c>
      <c r="C44">
        <v>4</v>
      </c>
      <c r="D44">
        <v>160</v>
      </c>
      <c r="E44">
        <v>76</v>
      </c>
      <c r="F44">
        <v>3397.3934144228601</v>
      </c>
      <c r="G44">
        <v>1</v>
      </c>
      <c r="H44">
        <v>10000</v>
      </c>
      <c r="I44" t="s">
        <v>528</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BA691-195E-454B-AA96-D8F7948B6B7C}">
  <dimension ref="A1:I51"/>
  <sheetViews>
    <sheetView topLeftCell="A17" workbookViewId="0">
      <selection activeCell="F23" sqref="F23"/>
    </sheetView>
  </sheetViews>
  <sheetFormatPr baseColWidth="10" defaultRowHeight="16" x14ac:dyDescent="0.2"/>
  <sheetData>
    <row r="1" spans="1:1" x14ac:dyDescent="0.2">
      <c r="A1" t="s">
        <v>70</v>
      </c>
    </row>
    <row r="2" spans="1:1" x14ac:dyDescent="0.2">
      <c r="A2" t="s">
        <v>71</v>
      </c>
    </row>
    <row r="3" spans="1:1" x14ac:dyDescent="0.2">
      <c r="A3" t="s">
        <v>116</v>
      </c>
    </row>
    <row r="4" spans="1:1" x14ac:dyDescent="0.2">
      <c r="A4" t="s">
        <v>72</v>
      </c>
    </row>
    <row r="5" spans="1:1" x14ac:dyDescent="0.2">
      <c r="A5" t="s">
        <v>73</v>
      </c>
    </row>
    <row r="6" spans="1:1" x14ac:dyDescent="0.2">
      <c r="A6" t="s">
        <v>507</v>
      </c>
    </row>
    <row r="7" spans="1:1" x14ac:dyDescent="0.2">
      <c r="A7" t="s">
        <v>75</v>
      </c>
    </row>
    <row r="8" spans="1:1" x14ac:dyDescent="0.2">
      <c r="A8" t="s">
        <v>76</v>
      </c>
    </row>
    <row r="9" spans="1:1" x14ac:dyDescent="0.2">
      <c r="A9" t="s">
        <v>581</v>
      </c>
    </row>
    <row r="10" spans="1:1" x14ac:dyDescent="0.2">
      <c r="A10" t="s">
        <v>582</v>
      </c>
    </row>
    <row r="11" spans="1:1" x14ac:dyDescent="0.2">
      <c r="A11" t="s">
        <v>119</v>
      </c>
    </row>
    <row r="12" spans="1:1" x14ac:dyDescent="0.2">
      <c r="A12" t="s">
        <v>78</v>
      </c>
    </row>
    <row r="13" spans="1:1" x14ac:dyDescent="0.2">
      <c r="A13" t="s">
        <v>79</v>
      </c>
    </row>
    <row r="14" spans="1:1" x14ac:dyDescent="0.2">
      <c r="A14" t="s">
        <v>80</v>
      </c>
    </row>
    <row r="15" spans="1:1" x14ac:dyDescent="0.2">
      <c r="A15" t="s">
        <v>81</v>
      </c>
    </row>
    <row r="16" spans="1:1" x14ac:dyDescent="0.2">
      <c r="A16" t="s">
        <v>638</v>
      </c>
    </row>
    <row r="17" spans="1:9" x14ac:dyDescent="0.2">
      <c r="A17" t="s">
        <v>594</v>
      </c>
    </row>
    <row r="18" spans="1:9" x14ac:dyDescent="0.2">
      <c r="A18" t="s">
        <v>82</v>
      </c>
    </row>
    <row r="19" spans="1:9" x14ac:dyDescent="0.2">
      <c r="A19" t="s">
        <v>86</v>
      </c>
    </row>
    <row r="20" spans="1:9" x14ac:dyDescent="0.2">
      <c r="A20" t="s">
        <v>120</v>
      </c>
    </row>
    <row r="21" spans="1:9" x14ac:dyDescent="0.2">
      <c r="A21" t="s">
        <v>88</v>
      </c>
    </row>
    <row r="22" spans="1:9" x14ac:dyDescent="0.2">
      <c r="A22" t="s">
        <v>643</v>
      </c>
    </row>
    <row r="23" spans="1:9" x14ac:dyDescent="0.2">
      <c r="A23" t="s">
        <v>639</v>
      </c>
    </row>
    <row r="24" spans="1:9" x14ac:dyDescent="0.2">
      <c r="A24" t="s">
        <v>640</v>
      </c>
    </row>
    <row r="25" spans="1:9" x14ac:dyDescent="0.2">
      <c r="A25" t="s">
        <v>641</v>
      </c>
    </row>
    <row r="26" spans="1:9" x14ac:dyDescent="0.2">
      <c r="A26" t="s">
        <v>642</v>
      </c>
    </row>
    <row r="27" spans="1:9" x14ac:dyDescent="0.2">
      <c r="A27" t="s">
        <v>238</v>
      </c>
    </row>
    <row r="28" spans="1:9" x14ac:dyDescent="0.2">
      <c r="A28" t="s">
        <v>90</v>
      </c>
    </row>
    <row r="29" spans="1:9" x14ac:dyDescent="0.2">
      <c r="A29" t="s">
        <v>644</v>
      </c>
    </row>
    <row r="30" spans="1:9" x14ac:dyDescent="0.2">
      <c r="A30" t="s">
        <v>92</v>
      </c>
    </row>
    <row r="31" spans="1:9" x14ac:dyDescent="0.2">
      <c r="A31" t="s">
        <v>93</v>
      </c>
      <c r="B31" t="s">
        <v>61</v>
      </c>
      <c r="C31" t="s">
        <v>94</v>
      </c>
      <c r="D31" t="s">
        <v>95</v>
      </c>
      <c r="E31" t="s">
        <v>124</v>
      </c>
      <c r="F31" t="s">
        <v>125</v>
      </c>
      <c r="G31" t="s">
        <v>58</v>
      </c>
      <c r="H31" t="s">
        <v>59</v>
      </c>
      <c r="I31" t="s">
        <v>126</v>
      </c>
    </row>
    <row r="32" spans="1:9" x14ac:dyDescent="0.2">
      <c r="A32" t="s">
        <v>96</v>
      </c>
      <c r="B32">
        <v>72</v>
      </c>
      <c r="C32">
        <v>12</v>
      </c>
      <c r="D32">
        <v>6</v>
      </c>
      <c r="E32">
        <v>0</v>
      </c>
      <c r="F32">
        <v>2.77751107420772</v>
      </c>
      <c r="G32">
        <v>9477</v>
      </c>
      <c r="H32">
        <v>10000</v>
      </c>
      <c r="I32" t="s">
        <v>645</v>
      </c>
    </row>
    <row r="33" spans="1:9" x14ac:dyDescent="0.2">
      <c r="A33" t="s">
        <v>97</v>
      </c>
      <c r="B33">
        <v>90</v>
      </c>
      <c r="C33">
        <v>8</v>
      </c>
      <c r="D33">
        <v>10</v>
      </c>
      <c r="E33">
        <v>0</v>
      </c>
      <c r="F33">
        <v>3.3819050565361901</v>
      </c>
      <c r="G33">
        <v>7065</v>
      </c>
      <c r="H33">
        <v>10000</v>
      </c>
      <c r="I33" t="s">
        <v>646</v>
      </c>
    </row>
    <row r="34" spans="1:9" x14ac:dyDescent="0.2">
      <c r="A34" t="s">
        <v>98</v>
      </c>
      <c r="B34">
        <v>108</v>
      </c>
      <c r="C34">
        <v>8</v>
      </c>
      <c r="D34">
        <v>10</v>
      </c>
      <c r="E34">
        <v>0</v>
      </c>
      <c r="F34">
        <v>3.93928512185812</v>
      </c>
      <c r="G34">
        <v>1451</v>
      </c>
      <c r="H34">
        <v>10000</v>
      </c>
      <c r="I34" t="s">
        <v>647</v>
      </c>
    </row>
    <row r="35" spans="1:9" x14ac:dyDescent="0.2">
      <c r="A35" t="s">
        <v>99</v>
      </c>
      <c r="B35">
        <v>144</v>
      </c>
      <c r="C35">
        <v>12</v>
      </c>
      <c r="D35">
        <v>12</v>
      </c>
      <c r="E35">
        <v>0</v>
      </c>
      <c r="F35">
        <v>6.5266861468553499</v>
      </c>
      <c r="G35">
        <v>5708</v>
      </c>
      <c r="H35">
        <v>10000</v>
      </c>
      <c r="I35" t="s">
        <v>648</v>
      </c>
    </row>
    <row r="36" spans="1:9" x14ac:dyDescent="0.2">
      <c r="A36" t="s">
        <v>100</v>
      </c>
      <c r="B36">
        <v>288</v>
      </c>
      <c r="C36">
        <v>12</v>
      </c>
      <c r="D36">
        <v>18</v>
      </c>
      <c r="E36">
        <v>0</v>
      </c>
      <c r="F36">
        <v>20.549650442786501</v>
      </c>
      <c r="G36">
        <v>65</v>
      </c>
      <c r="H36">
        <v>10000</v>
      </c>
      <c r="I36" t="s">
        <v>649</v>
      </c>
    </row>
    <row r="37" spans="1:9" x14ac:dyDescent="0.2">
      <c r="A37" t="s">
        <v>101</v>
      </c>
      <c r="B37">
        <v>360</v>
      </c>
      <c r="C37">
        <v>12</v>
      </c>
      <c r="D37">
        <v>24</v>
      </c>
      <c r="E37">
        <v>0</v>
      </c>
      <c r="F37">
        <v>31.400534946471399</v>
      </c>
      <c r="G37">
        <v>29</v>
      </c>
      <c r="H37">
        <v>10000</v>
      </c>
      <c r="I37" t="s">
        <v>650</v>
      </c>
    </row>
    <row r="38" spans="1:9" x14ac:dyDescent="0.2">
      <c r="A38" t="s">
        <v>102</v>
      </c>
      <c r="B38">
        <v>756</v>
      </c>
      <c r="C38">
        <v>16</v>
      </c>
      <c r="D38">
        <v>40</v>
      </c>
      <c r="E38">
        <v>6</v>
      </c>
      <c r="F38">
        <v>156.689089961349</v>
      </c>
      <c r="G38">
        <v>1</v>
      </c>
      <c r="H38">
        <v>10000</v>
      </c>
      <c r="I38" t="s">
        <v>651</v>
      </c>
    </row>
    <row r="39" spans="1:9" x14ac:dyDescent="0.2">
      <c r="A39" t="s">
        <v>103</v>
      </c>
      <c r="B39">
        <v>216</v>
      </c>
      <c r="C39">
        <v>8</v>
      </c>
      <c r="D39">
        <v>10</v>
      </c>
      <c r="E39">
        <v>0</v>
      </c>
      <c r="F39">
        <v>10.0319519704207</v>
      </c>
      <c r="G39">
        <v>5987</v>
      </c>
      <c r="H39">
        <v>10000</v>
      </c>
      <c r="I39" t="s">
        <v>652</v>
      </c>
    </row>
    <row r="40" spans="1:9" x14ac:dyDescent="0.2">
      <c r="A40" t="s">
        <v>104</v>
      </c>
      <c r="B40">
        <v>576</v>
      </c>
      <c r="C40">
        <v>8</v>
      </c>
      <c r="D40">
        <v>24</v>
      </c>
      <c r="E40">
        <v>0</v>
      </c>
      <c r="F40">
        <v>68.510069532319903</v>
      </c>
      <c r="G40">
        <v>5</v>
      </c>
      <c r="H40">
        <v>10000</v>
      </c>
      <c r="I40" t="s">
        <v>653</v>
      </c>
    </row>
    <row r="41" spans="1:9" x14ac:dyDescent="0.2">
      <c r="A41" t="s">
        <v>105</v>
      </c>
      <c r="B41">
        <v>864</v>
      </c>
      <c r="C41">
        <v>4</v>
      </c>
      <c r="D41">
        <v>76</v>
      </c>
      <c r="E41">
        <v>36</v>
      </c>
      <c r="F41">
        <v>143.34563560225001</v>
      </c>
      <c r="G41">
        <v>1</v>
      </c>
      <c r="H41">
        <v>10000</v>
      </c>
      <c r="I41" t="s">
        <v>654</v>
      </c>
    </row>
    <row r="42" spans="1:9" x14ac:dyDescent="0.2">
      <c r="A42" t="s">
        <v>106</v>
      </c>
      <c r="B42">
        <v>648</v>
      </c>
      <c r="C42">
        <v>4</v>
      </c>
      <c r="D42">
        <v>38</v>
      </c>
      <c r="E42">
        <v>6</v>
      </c>
      <c r="F42">
        <v>73.450597227551</v>
      </c>
      <c r="G42">
        <v>2</v>
      </c>
      <c r="H42">
        <v>10000</v>
      </c>
      <c r="I42" t="s">
        <v>655</v>
      </c>
    </row>
    <row r="43" spans="1:9" x14ac:dyDescent="0.2">
      <c r="A43" t="s">
        <v>107</v>
      </c>
      <c r="B43">
        <v>1080</v>
      </c>
      <c r="C43">
        <v>4</v>
      </c>
      <c r="D43">
        <v>82</v>
      </c>
      <c r="E43">
        <v>26</v>
      </c>
      <c r="F43">
        <v>226.16338323988001</v>
      </c>
      <c r="G43">
        <v>1</v>
      </c>
      <c r="H43">
        <v>10000</v>
      </c>
      <c r="I43" t="s">
        <v>656</v>
      </c>
    </row>
    <row r="44" spans="1:9" x14ac:dyDescent="0.2">
      <c r="A44" t="s">
        <v>108</v>
      </c>
      <c r="B44">
        <v>1296</v>
      </c>
      <c r="C44">
        <v>4</v>
      </c>
      <c r="D44">
        <v>110</v>
      </c>
      <c r="E44">
        <v>60</v>
      </c>
      <c r="F44">
        <v>346.21380194090301</v>
      </c>
      <c r="G44">
        <v>1</v>
      </c>
      <c r="H44">
        <v>10000</v>
      </c>
      <c r="I44" t="s">
        <v>657</v>
      </c>
    </row>
    <row r="45" spans="1:9" x14ac:dyDescent="0.2">
      <c r="A45" t="s">
        <v>109</v>
      </c>
      <c r="B45">
        <v>1152</v>
      </c>
      <c r="C45">
        <v>4</v>
      </c>
      <c r="D45">
        <v>78</v>
      </c>
      <c r="E45">
        <v>36</v>
      </c>
      <c r="F45">
        <v>256.18759776931199</v>
      </c>
      <c r="G45">
        <v>1</v>
      </c>
      <c r="H45">
        <v>10000</v>
      </c>
      <c r="I45" t="s">
        <v>658</v>
      </c>
    </row>
    <row r="46" spans="1:9" x14ac:dyDescent="0.2">
      <c r="A46" t="s">
        <v>110</v>
      </c>
      <c r="B46">
        <v>1728</v>
      </c>
      <c r="C46">
        <v>4</v>
      </c>
      <c r="D46">
        <v>160</v>
      </c>
      <c r="E46">
        <v>96</v>
      </c>
      <c r="F46">
        <v>666.93150526098896</v>
      </c>
      <c r="G46">
        <v>1</v>
      </c>
      <c r="H46">
        <v>10000</v>
      </c>
      <c r="I46" t="s">
        <v>659</v>
      </c>
    </row>
    <row r="47" spans="1:9" x14ac:dyDescent="0.2">
      <c r="A47" t="s">
        <v>111</v>
      </c>
      <c r="B47">
        <v>2016</v>
      </c>
      <c r="C47">
        <v>8</v>
      </c>
      <c r="D47">
        <v>72</v>
      </c>
      <c r="E47">
        <v>18</v>
      </c>
      <c r="F47">
        <v>775.15776272676806</v>
      </c>
      <c r="G47">
        <v>1</v>
      </c>
      <c r="H47">
        <v>10000</v>
      </c>
      <c r="I47" t="s">
        <v>660</v>
      </c>
    </row>
    <row r="48" spans="1:9" x14ac:dyDescent="0.2">
      <c r="A48" t="s">
        <v>112</v>
      </c>
      <c r="B48">
        <v>2160</v>
      </c>
      <c r="C48">
        <v>8</v>
      </c>
      <c r="D48">
        <v>164</v>
      </c>
      <c r="E48">
        <v>100</v>
      </c>
      <c r="F48">
        <v>1303.1791579937501</v>
      </c>
      <c r="G48">
        <v>1</v>
      </c>
      <c r="H48">
        <v>10000</v>
      </c>
      <c r="I48" t="s">
        <v>661</v>
      </c>
    </row>
    <row r="49" spans="1:9" x14ac:dyDescent="0.2">
      <c r="A49" t="s">
        <v>113</v>
      </c>
      <c r="B49">
        <v>2520</v>
      </c>
      <c r="C49">
        <v>8</v>
      </c>
      <c r="D49">
        <v>68</v>
      </c>
      <c r="E49">
        <v>14</v>
      </c>
      <c r="F49">
        <v>1322.2378642736001</v>
      </c>
      <c r="G49">
        <v>1</v>
      </c>
      <c r="H49">
        <v>10000</v>
      </c>
      <c r="I49" t="s">
        <v>662</v>
      </c>
    </row>
    <row r="50" spans="1:9" x14ac:dyDescent="0.2">
      <c r="A50" t="s">
        <v>114</v>
      </c>
      <c r="B50">
        <v>2592</v>
      </c>
      <c r="C50">
        <v>8</v>
      </c>
      <c r="D50">
        <v>60</v>
      </c>
      <c r="E50">
        <v>24</v>
      </c>
      <c r="F50">
        <v>1421.45548123307</v>
      </c>
      <c r="G50">
        <v>2</v>
      </c>
      <c r="H50">
        <v>10000</v>
      </c>
      <c r="I50" t="s">
        <v>663</v>
      </c>
    </row>
    <row r="51" spans="1:9" x14ac:dyDescent="0.2">
      <c r="A51" t="s">
        <v>115</v>
      </c>
      <c r="B51">
        <v>3024</v>
      </c>
      <c r="C51">
        <v>4</v>
      </c>
      <c r="D51">
        <v>170</v>
      </c>
      <c r="E51">
        <v>86</v>
      </c>
      <c r="F51">
        <v>2771.3942460482899</v>
      </c>
      <c r="G51">
        <v>1</v>
      </c>
      <c r="H51">
        <v>10000</v>
      </c>
      <c r="I51" t="s">
        <v>664</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80AE2-47F1-1043-A098-167A017007C6}">
  <dimension ref="A1:I44"/>
  <sheetViews>
    <sheetView topLeftCell="A18" workbookViewId="0">
      <selection activeCell="A20" sqref="A20"/>
    </sheetView>
  </sheetViews>
  <sheetFormatPr baseColWidth="10" defaultColWidth="11" defaultRowHeight="16" x14ac:dyDescent="0.2"/>
  <sheetData>
    <row r="1" spans="1:1" x14ac:dyDescent="0.2">
      <c r="A1" t="s">
        <v>70</v>
      </c>
    </row>
    <row r="2" spans="1:1" x14ac:dyDescent="0.2">
      <c r="A2" t="s">
        <v>71</v>
      </c>
    </row>
    <row r="3" spans="1:1" x14ac:dyDescent="0.2">
      <c r="A3" s="22" t="s">
        <v>72</v>
      </c>
    </row>
    <row r="4" spans="1:1" x14ac:dyDescent="0.2">
      <c r="A4" t="s">
        <v>73</v>
      </c>
    </row>
    <row r="5" spans="1:1" x14ac:dyDescent="0.2">
      <c r="A5" s="22" t="s">
        <v>507</v>
      </c>
    </row>
    <row r="6" spans="1:1" x14ac:dyDescent="0.2">
      <c r="A6" t="s">
        <v>75</v>
      </c>
    </row>
    <row r="7" spans="1:1" x14ac:dyDescent="0.2">
      <c r="A7" t="s">
        <v>76</v>
      </c>
    </row>
    <row r="8" spans="1:1" x14ac:dyDescent="0.2">
      <c r="A8" s="22" t="s">
        <v>119</v>
      </c>
    </row>
    <row r="9" spans="1:1" x14ac:dyDescent="0.2">
      <c r="A9" t="s">
        <v>78</v>
      </c>
    </row>
    <row r="10" spans="1:1" x14ac:dyDescent="0.2">
      <c r="A10" t="s">
        <v>79</v>
      </c>
    </row>
    <row r="11" spans="1:1" x14ac:dyDescent="0.2">
      <c r="A11" t="s">
        <v>80</v>
      </c>
    </row>
    <row r="12" spans="1:1" x14ac:dyDescent="0.2">
      <c r="A12" t="s">
        <v>81</v>
      </c>
    </row>
    <row r="13" spans="1:1" x14ac:dyDescent="0.2">
      <c r="A13" t="s">
        <v>82</v>
      </c>
    </row>
    <row r="14" spans="1:1" x14ac:dyDescent="0.2">
      <c r="A14" t="s">
        <v>83</v>
      </c>
    </row>
    <row r="15" spans="1:1" x14ac:dyDescent="0.2">
      <c r="A15" t="s">
        <v>84</v>
      </c>
    </row>
    <row r="16" spans="1:1" x14ac:dyDescent="0.2">
      <c r="A16" t="s">
        <v>85</v>
      </c>
    </row>
    <row r="17" spans="1:9" x14ac:dyDescent="0.2">
      <c r="A17" t="s">
        <v>529</v>
      </c>
    </row>
    <row r="18" spans="1:9" x14ac:dyDescent="0.2">
      <c r="A18" t="s">
        <v>87</v>
      </c>
    </row>
    <row r="19" spans="1:9" x14ac:dyDescent="0.2">
      <c r="A19" t="s">
        <v>88</v>
      </c>
    </row>
    <row r="20" spans="1:9" x14ac:dyDescent="0.2">
      <c r="A20" s="22" t="s">
        <v>89</v>
      </c>
    </row>
    <row r="21" spans="1:9" x14ac:dyDescent="0.2">
      <c r="A21" t="s">
        <v>90</v>
      </c>
    </row>
    <row r="22" spans="1:9" x14ac:dyDescent="0.2">
      <c r="A22" t="s">
        <v>530</v>
      </c>
    </row>
    <row r="23" spans="1:9" x14ac:dyDescent="0.2">
      <c r="A23" t="s">
        <v>92</v>
      </c>
    </row>
    <row r="24" spans="1:9" x14ac:dyDescent="0.2">
      <c r="A24" t="s">
        <v>93</v>
      </c>
      <c r="B24" t="s">
        <v>61</v>
      </c>
      <c r="C24" t="s">
        <v>94</v>
      </c>
      <c r="D24" t="s">
        <v>95</v>
      </c>
      <c r="E24" t="s">
        <v>124</v>
      </c>
      <c r="F24" t="s">
        <v>125</v>
      </c>
      <c r="G24" t="s">
        <v>58</v>
      </c>
      <c r="H24" t="s">
        <v>59</v>
      </c>
      <c r="I24" t="s">
        <v>126</v>
      </c>
    </row>
    <row r="25" spans="1:9" x14ac:dyDescent="0.2">
      <c r="A25" t="s">
        <v>96</v>
      </c>
      <c r="B25">
        <v>72</v>
      </c>
      <c r="C25">
        <v>12</v>
      </c>
      <c r="D25">
        <v>6</v>
      </c>
      <c r="E25">
        <v>0</v>
      </c>
      <c r="F25">
        <v>1.9425361109897401</v>
      </c>
      <c r="G25">
        <v>9474</v>
      </c>
      <c r="H25">
        <v>10000</v>
      </c>
      <c r="I25" t="s">
        <v>531</v>
      </c>
    </row>
    <row r="26" spans="1:9" x14ac:dyDescent="0.2">
      <c r="A26" t="s">
        <v>97</v>
      </c>
      <c r="B26">
        <v>90</v>
      </c>
      <c r="C26">
        <v>8</v>
      </c>
      <c r="D26">
        <v>10</v>
      </c>
      <c r="E26">
        <v>0</v>
      </c>
      <c r="F26">
        <v>2.2537448941729901</v>
      </c>
      <c r="G26">
        <v>7147</v>
      </c>
      <c r="H26">
        <v>10000</v>
      </c>
      <c r="I26" t="s">
        <v>532</v>
      </c>
    </row>
    <row r="27" spans="1:9" x14ac:dyDescent="0.2">
      <c r="A27" t="s">
        <v>98</v>
      </c>
      <c r="B27">
        <v>108</v>
      </c>
      <c r="C27">
        <v>8</v>
      </c>
      <c r="D27">
        <v>10</v>
      </c>
      <c r="E27">
        <v>0</v>
      </c>
      <c r="F27">
        <v>2.8422575928270799</v>
      </c>
      <c r="G27">
        <v>1412</v>
      </c>
      <c r="H27">
        <v>10000</v>
      </c>
      <c r="I27" t="s">
        <v>533</v>
      </c>
    </row>
    <row r="28" spans="1:9" x14ac:dyDescent="0.2">
      <c r="A28" t="s">
        <v>99</v>
      </c>
      <c r="B28">
        <v>144</v>
      </c>
      <c r="C28">
        <v>12</v>
      </c>
      <c r="D28">
        <v>12</v>
      </c>
      <c r="E28">
        <v>0</v>
      </c>
      <c r="F28">
        <v>5.0034301122650504</v>
      </c>
      <c r="G28">
        <v>5780</v>
      </c>
      <c r="H28">
        <v>10000</v>
      </c>
      <c r="I28" t="s">
        <v>534</v>
      </c>
    </row>
    <row r="29" spans="1:9" x14ac:dyDescent="0.2">
      <c r="A29" t="s">
        <v>100</v>
      </c>
      <c r="B29">
        <v>288</v>
      </c>
      <c r="C29">
        <v>12</v>
      </c>
      <c r="D29">
        <v>18</v>
      </c>
      <c r="E29">
        <v>0</v>
      </c>
      <c r="F29">
        <v>17.226643787696901</v>
      </c>
      <c r="G29">
        <v>42</v>
      </c>
      <c r="H29">
        <v>10000</v>
      </c>
      <c r="I29" t="s">
        <v>535</v>
      </c>
    </row>
    <row r="30" spans="1:9" x14ac:dyDescent="0.2">
      <c r="A30" t="s">
        <v>101</v>
      </c>
      <c r="B30">
        <v>360</v>
      </c>
      <c r="C30">
        <v>12</v>
      </c>
      <c r="D30">
        <v>24</v>
      </c>
      <c r="E30">
        <v>0</v>
      </c>
      <c r="F30">
        <v>27.544140914454999</v>
      </c>
      <c r="G30">
        <v>34</v>
      </c>
      <c r="H30">
        <v>10000</v>
      </c>
      <c r="I30" t="s">
        <v>536</v>
      </c>
    </row>
    <row r="31" spans="1:9" x14ac:dyDescent="0.2">
      <c r="A31" t="s">
        <v>102</v>
      </c>
      <c r="B31">
        <v>756</v>
      </c>
      <c r="C31">
        <v>16</v>
      </c>
      <c r="D31">
        <v>44</v>
      </c>
      <c r="E31">
        <v>10</v>
      </c>
      <c r="F31">
        <v>163.68483623489701</v>
      </c>
      <c r="G31">
        <v>2</v>
      </c>
      <c r="H31">
        <v>10000</v>
      </c>
      <c r="I31" t="s">
        <v>537</v>
      </c>
    </row>
    <row r="32" spans="1:9" x14ac:dyDescent="0.2">
      <c r="A32" t="s">
        <v>103</v>
      </c>
      <c r="B32">
        <v>216</v>
      </c>
      <c r="C32">
        <v>8</v>
      </c>
      <c r="D32">
        <v>10</v>
      </c>
      <c r="E32">
        <v>0</v>
      </c>
      <c r="F32">
        <v>6.4719209680333698</v>
      </c>
      <c r="G32">
        <v>6029</v>
      </c>
      <c r="H32">
        <v>10000</v>
      </c>
      <c r="I32" t="s">
        <v>538</v>
      </c>
    </row>
    <row r="33" spans="1:9" x14ac:dyDescent="0.2">
      <c r="A33" t="s">
        <v>104</v>
      </c>
      <c r="B33">
        <v>576</v>
      </c>
      <c r="C33">
        <v>8</v>
      </c>
      <c r="D33">
        <v>24</v>
      </c>
      <c r="E33">
        <v>0</v>
      </c>
      <c r="F33">
        <v>78.363713209051596</v>
      </c>
      <c r="G33">
        <v>10</v>
      </c>
      <c r="H33">
        <v>10000</v>
      </c>
      <c r="I33" t="s">
        <v>539</v>
      </c>
    </row>
    <row r="34" spans="1:9" x14ac:dyDescent="0.2">
      <c r="A34" t="s">
        <v>105</v>
      </c>
      <c r="B34">
        <v>864</v>
      </c>
      <c r="C34">
        <v>4</v>
      </c>
      <c r="D34">
        <v>60</v>
      </c>
      <c r="E34">
        <v>20</v>
      </c>
      <c r="F34">
        <v>231.058119555003</v>
      </c>
      <c r="G34">
        <v>2</v>
      </c>
      <c r="H34">
        <v>10000</v>
      </c>
      <c r="I34" t="s">
        <v>540</v>
      </c>
    </row>
    <row r="35" spans="1:9" x14ac:dyDescent="0.2">
      <c r="A35" t="s">
        <v>106</v>
      </c>
      <c r="B35">
        <v>648</v>
      </c>
      <c r="C35">
        <v>4</v>
      </c>
      <c r="D35">
        <v>36</v>
      </c>
      <c r="E35">
        <v>4</v>
      </c>
      <c r="F35">
        <v>102.1343815797</v>
      </c>
      <c r="G35">
        <v>1</v>
      </c>
      <c r="H35">
        <v>10000</v>
      </c>
      <c r="I35" t="s">
        <v>541</v>
      </c>
    </row>
    <row r="36" spans="1:9" x14ac:dyDescent="0.2">
      <c r="A36" t="s">
        <v>107</v>
      </c>
      <c r="B36">
        <v>1080</v>
      </c>
      <c r="C36">
        <v>4</v>
      </c>
      <c r="D36">
        <v>88</v>
      </c>
      <c r="E36">
        <v>32</v>
      </c>
      <c r="F36">
        <v>384.591065797954</v>
      </c>
      <c r="G36">
        <v>1</v>
      </c>
      <c r="H36">
        <v>10000</v>
      </c>
      <c r="I36" t="s">
        <v>542</v>
      </c>
    </row>
    <row r="37" spans="1:9" x14ac:dyDescent="0.2">
      <c r="A37" t="s">
        <v>108</v>
      </c>
      <c r="B37">
        <v>1296</v>
      </c>
      <c r="C37">
        <v>4</v>
      </c>
      <c r="D37">
        <v>74</v>
      </c>
      <c r="E37">
        <v>24</v>
      </c>
      <c r="F37">
        <v>632.60724993934798</v>
      </c>
      <c r="G37">
        <v>1</v>
      </c>
      <c r="H37">
        <v>10000</v>
      </c>
      <c r="I37" t="s">
        <v>543</v>
      </c>
    </row>
    <row r="38" spans="1:9" x14ac:dyDescent="0.2">
      <c r="A38" t="s">
        <v>109</v>
      </c>
      <c r="B38">
        <v>1152</v>
      </c>
      <c r="C38">
        <v>4</v>
      </c>
      <c r="D38">
        <v>68</v>
      </c>
      <c r="E38">
        <v>26</v>
      </c>
      <c r="F38">
        <v>447.664130687713</v>
      </c>
      <c r="G38">
        <v>1</v>
      </c>
      <c r="H38">
        <v>10000</v>
      </c>
      <c r="I38" t="s">
        <v>544</v>
      </c>
    </row>
    <row r="39" spans="1:9" x14ac:dyDescent="0.2">
      <c r="A39" t="s">
        <v>110</v>
      </c>
      <c r="B39">
        <v>1728</v>
      </c>
      <c r="C39">
        <v>4</v>
      </c>
      <c r="D39">
        <v>140</v>
      </c>
      <c r="E39">
        <v>76</v>
      </c>
      <c r="F39">
        <v>1286.99036194616</v>
      </c>
      <c r="G39">
        <v>1</v>
      </c>
      <c r="H39">
        <v>10000</v>
      </c>
      <c r="I39" t="s">
        <v>545</v>
      </c>
    </row>
    <row r="40" spans="1:9" x14ac:dyDescent="0.2">
      <c r="A40" t="s">
        <v>111</v>
      </c>
      <c r="B40">
        <v>2016</v>
      </c>
      <c r="C40">
        <v>8</v>
      </c>
      <c r="D40">
        <v>66</v>
      </c>
      <c r="E40">
        <v>12</v>
      </c>
      <c r="F40">
        <v>1210.0630752388299</v>
      </c>
      <c r="G40">
        <v>1</v>
      </c>
      <c r="H40">
        <v>10000</v>
      </c>
      <c r="I40" t="s">
        <v>546</v>
      </c>
    </row>
    <row r="41" spans="1:9" x14ac:dyDescent="0.2">
      <c r="A41" t="s">
        <v>112</v>
      </c>
      <c r="B41">
        <v>2160</v>
      </c>
      <c r="C41">
        <v>8</v>
      </c>
      <c r="D41">
        <v>168</v>
      </c>
      <c r="E41">
        <v>104</v>
      </c>
      <c r="F41">
        <v>2802.6318319858901</v>
      </c>
      <c r="G41">
        <v>1</v>
      </c>
      <c r="H41">
        <v>10000</v>
      </c>
      <c r="I41" t="s">
        <v>547</v>
      </c>
    </row>
    <row r="42" spans="1:9" x14ac:dyDescent="0.2">
      <c r="A42" t="s">
        <v>113</v>
      </c>
      <c r="B42">
        <v>2520</v>
      </c>
      <c r="C42">
        <v>8</v>
      </c>
      <c r="D42">
        <v>70</v>
      </c>
      <c r="E42">
        <v>16</v>
      </c>
      <c r="F42">
        <v>2326.1591427312201</v>
      </c>
      <c r="G42">
        <v>1</v>
      </c>
      <c r="H42">
        <v>10000</v>
      </c>
      <c r="I42" t="s">
        <v>548</v>
      </c>
    </row>
    <row r="43" spans="1:9" x14ac:dyDescent="0.2">
      <c r="A43" t="s">
        <v>114</v>
      </c>
      <c r="B43">
        <v>2592</v>
      </c>
      <c r="C43">
        <v>8</v>
      </c>
      <c r="D43">
        <v>66</v>
      </c>
      <c r="E43">
        <v>30</v>
      </c>
      <c r="F43">
        <v>2510.9941786019999</v>
      </c>
      <c r="G43">
        <v>2</v>
      </c>
      <c r="H43">
        <v>10000</v>
      </c>
      <c r="I43" t="s">
        <v>549</v>
      </c>
    </row>
    <row r="44" spans="1:9" x14ac:dyDescent="0.2">
      <c r="A44" t="s">
        <v>115</v>
      </c>
      <c r="B44">
        <v>3024</v>
      </c>
      <c r="C44">
        <v>4</v>
      </c>
      <c r="D44">
        <v>172</v>
      </c>
      <c r="E44">
        <v>88</v>
      </c>
      <c r="F44">
        <v>6901.0067838090399</v>
      </c>
      <c r="G44">
        <v>1</v>
      </c>
      <c r="H44">
        <v>10000</v>
      </c>
      <c r="I44" t="s">
        <v>550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25AE3-52BE-C940-9685-9E870C3772EC}">
  <dimension ref="A1:I37"/>
  <sheetViews>
    <sheetView topLeftCell="A6" workbookViewId="0">
      <selection activeCell="O20" sqref="O20"/>
    </sheetView>
  </sheetViews>
  <sheetFormatPr baseColWidth="10" defaultColWidth="11" defaultRowHeight="16" x14ac:dyDescent="0.2"/>
  <sheetData>
    <row r="1" spans="1:1" x14ac:dyDescent="0.2">
      <c r="A1" t="s">
        <v>70</v>
      </c>
    </row>
    <row r="2" spans="1:1" x14ac:dyDescent="0.2">
      <c r="A2" t="s">
        <v>71</v>
      </c>
    </row>
    <row r="3" spans="1:1" x14ac:dyDescent="0.2">
      <c r="A3" s="23" t="s">
        <v>116</v>
      </c>
    </row>
    <row r="4" spans="1:1" x14ac:dyDescent="0.2">
      <c r="A4" s="5" t="s">
        <v>72</v>
      </c>
    </row>
    <row r="5" spans="1:1" x14ac:dyDescent="0.2">
      <c r="A5" s="23" t="s">
        <v>73</v>
      </c>
    </row>
    <row r="6" spans="1:1" x14ac:dyDescent="0.2">
      <c r="A6" s="5" t="s">
        <v>580</v>
      </c>
    </row>
    <row r="7" spans="1:1" x14ac:dyDescent="0.2">
      <c r="A7" s="12" t="s">
        <v>75</v>
      </c>
    </row>
    <row r="8" spans="1:1" x14ac:dyDescent="0.2">
      <c r="A8" s="23" t="s">
        <v>76</v>
      </c>
    </row>
    <row r="9" spans="1:1" x14ac:dyDescent="0.2">
      <c r="A9" s="12" t="s">
        <v>581</v>
      </c>
    </row>
    <row r="10" spans="1:1" x14ac:dyDescent="0.2">
      <c r="A10" s="12" t="s">
        <v>582</v>
      </c>
    </row>
    <row r="11" spans="1:1" x14ac:dyDescent="0.2">
      <c r="A11" s="12" t="s">
        <v>119</v>
      </c>
    </row>
    <row r="12" spans="1:1" x14ac:dyDescent="0.2">
      <c r="A12" s="12" t="s">
        <v>78</v>
      </c>
    </row>
    <row r="13" spans="1:1" x14ac:dyDescent="0.2">
      <c r="A13" s="12" t="s">
        <v>79</v>
      </c>
    </row>
    <row r="14" spans="1:1" x14ac:dyDescent="0.2">
      <c r="A14" s="12" t="s">
        <v>80</v>
      </c>
    </row>
    <row r="15" spans="1:1" x14ac:dyDescent="0.2">
      <c r="A15" s="12" t="s">
        <v>81</v>
      </c>
    </row>
    <row r="16" spans="1:1" x14ac:dyDescent="0.2">
      <c r="A16" s="12" t="s">
        <v>82</v>
      </c>
    </row>
    <row r="17" spans="1:9" x14ac:dyDescent="0.2">
      <c r="A17" s="12" t="s">
        <v>83</v>
      </c>
    </row>
    <row r="18" spans="1:9" x14ac:dyDescent="0.2">
      <c r="A18" s="12" t="s">
        <v>84</v>
      </c>
    </row>
    <row r="19" spans="1:9" x14ac:dyDescent="0.2">
      <c r="A19" s="12" t="s">
        <v>85</v>
      </c>
    </row>
    <row r="20" spans="1:9" x14ac:dyDescent="0.2">
      <c r="A20" s="23" t="s">
        <v>86</v>
      </c>
    </row>
    <row r="21" spans="1:9" x14ac:dyDescent="0.2">
      <c r="A21" t="s">
        <v>120</v>
      </c>
    </row>
    <row r="22" spans="1:9" x14ac:dyDescent="0.2">
      <c r="A22" t="s">
        <v>88</v>
      </c>
    </row>
    <row r="23" spans="1:9" x14ac:dyDescent="0.2">
      <c r="A23" t="s">
        <v>121</v>
      </c>
    </row>
    <row r="24" spans="1:9" x14ac:dyDescent="0.2">
      <c r="A24" t="s">
        <v>122</v>
      </c>
    </row>
    <row r="25" spans="1:9" x14ac:dyDescent="0.2">
      <c r="A25" t="s">
        <v>238</v>
      </c>
    </row>
    <row r="26" spans="1:9" x14ac:dyDescent="0.2">
      <c r="A26" t="s">
        <v>90</v>
      </c>
    </row>
    <row r="27" spans="1:9" x14ac:dyDescent="0.2">
      <c r="A27" t="s">
        <v>583</v>
      </c>
    </row>
    <row r="28" spans="1:9" x14ac:dyDescent="0.2">
      <c r="A28" t="s">
        <v>92</v>
      </c>
    </row>
    <row r="29" spans="1:9" x14ac:dyDescent="0.2">
      <c r="A29" t="s">
        <v>93</v>
      </c>
      <c r="B29" t="s">
        <v>61</v>
      </c>
      <c r="C29" t="s">
        <v>94</v>
      </c>
      <c r="D29" t="s">
        <v>95</v>
      </c>
      <c r="E29" t="s">
        <v>124</v>
      </c>
      <c r="F29" t="s">
        <v>125</v>
      </c>
      <c r="G29" t="s">
        <v>58</v>
      </c>
      <c r="H29" t="s">
        <v>59</v>
      </c>
      <c r="I29" t="s">
        <v>126</v>
      </c>
    </row>
    <row r="30" spans="1:9" x14ac:dyDescent="0.2">
      <c r="A30" t="s">
        <v>96</v>
      </c>
      <c r="B30">
        <v>72</v>
      </c>
      <c r="C30">
        <v>12</v>
      </c>
      <c r="D30">
        <v>6</v>
      </c>
      <c r="E30">
        <v>0</v>
      </c>
      <c r="F30">
        <v>0.13912423606961899</v>
      </c>
      <c r="G30">
        <v>2</v>
      </c>
      <c r="H30">
        <v>4</v>
      </c>
      <c r="I30" t="s">
        <v>584</v>
      </c>
    </row>
    <row r="31" spans="1:9" x14ac:dyDescent="0.2">
      <c r="A31" t="s">
        <v>97</v>
      </c>
      <c r="B31">
        <v>90</v>
      </c>
      <c r="C31">
        <v>8</v>
      </c>
      <c r="D31">
        <v>10</v>
      </c>
      <c r="E31">
        <v>0</v>
      </c>
      <c r="F31">
        <v>0.29451060760766201</v>
      </c>
      <c r="G31">
        <v>2</v>
      </c>
      <c r="H31">
        <v>4</v>
      </c>
      <c r="I31" t="s">
        <v>585</v>
      </c>
    </row>
    <row r="32" spans="1:9" x14ac:dyDescent="0.2">
      <c r="A32" t="s">
        <v>98</v>
      </c>
      <c r="B32">
        <v>108</v>
      </c>
      <c r="C32">
        <v>8</v>
      </c>
      <c r="D32">
        <v>10</v>
      </c>
      <c r="E32">
        <v>0</v>
      </c>
      <c r="F32">
        <v>1.3629492083564401</v>
      </c>
      <c r="G32">
        <v>2</v>
      </c>
      <c r="H32">
        <v>5</v>
      </c>
      <c r="I32" t="s">
        <v>586</v>
      </c>
    </row>
    <row r="33" spans="1:9" x14ac:dyDescent="0.2">
      <c r="A33" t="s">
        <v>99</v>
      </c>
      <c r="B33">
        <v>144</v>
      </c>
      <c r="C33">
        <v>12</v>
      </c>
      <c r="D33">
        <v>12</v>
      </c>
      <c r="E33">
        <v>0</v>
      </c>
      <c r="F33">
        <v>0.25054663605987998</v>
      </c>
      <c r="G33">
        <v>2</v>
      </c>
      <c r="H33">
        <v>4</v>
      </c>
      <c r="I33" t="s">
        <v>587</v>
      </c>
    </row>
    <row r="34" spans="1:9" x14ac:dyDescent="0.2">
      <c r="A34" t="s">
        <v>100</v>
      </c>
      <c r="B34">
        <v>288</v>
      </c>
      <c r="C34">
        <v>12</v>
      </c>
      <c r="D34">
        <v>18</v>
      </c>
      <c r="E34">
        <v>0</v>
      </c>
      <c r="F34">
        <v>11.3436766890808</v>
      </c>
      <c r="G34">
        <v>2</v>
      </c>
      <c r="H34">
        <v>5</v>
      </c>
      <c r="I34" t="s">
        <v>588</v>
      </c>
    </row>
    <row r="35" spans="1:9" x14ac:dyDescent="0.2">
      <c r="A35" t="s">
        <v>101</v>
      </c>
      <c r="B35">
        <v>360</v>
      </c>
      <c r="C35">
        <v>12</v>
      </c>
      <c r="D35">
        <v>24</v>
      </c>
      <c r="E35">
        <v>0</v>
      </c>
      <c r="F35">
        <v>2834.2726955590701</v>
      </c>
      <c r="G35">
        <v>2</v>
      </c>
      <c r="H35">
        <v>6</v>
      </c>
      <c r="I35" t="s">
        <v>589</v>
      </c>
    </row>
    <row r="36" spans="1:9" x14ac:dyDescent="0.2">
      <c r="A36" t="s">
        <v>103</v>
      </c>
      <c r="B36">
        <v>216</v>
      </c>
      <c r="C36">
        <v>8</v>
      </c>
      <c r="D36">
        <v>10</v>
      </c>
      <c r="E36">
        <v>0</v>
      </c>
      <c r="F36">
        <v>2.1565008088946298</v>
      </c>
      <c r="G36">
        <v>2</v>
      </c>
      <c r="H36">
        <v>4</v>
      </c>
      <c r="I36" t="s">
        <v>590</v>
      </c>
    </row>
    <row r="37" spans="1:9" x14ac:dyDescent="0.2">
      <c r="A37" t="s">
        <v>104</v>
      </c>
      <c r="B37">
        <v>576</v>
      </c>
      <c r="C37">
        <v>8</v>
      </c>
      <c r="D37">
        <v>26</v>
      </c>
      <c r="E37">
        <v>2</v>
      </c>
      <c r="F37">
        <v>415.79708728194203</v>
      </c>
      <c r="G37">
        <v>2</v>
      </c>
      <c r="H37">
        <v>5</v>
      </c>
      <c r="I37" t="s">
        <v>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analysis</vt:lpstr>
      <vt:lpstr>best</vt:lpstr>
      <vt:lpstr>magma</vt:lpstr>
      <vt:lpstr>CLISAT</vt:lpstr>
      <vt:lpstr>CCStim</vt:lpstr>
      <vt:lpstr>bposd</vt:lpstr>
      <vt:lpstr>bposdO8I10</vt:lpstr>
      <vt:lpstr>m4ri_CC-start1</vt:lpstr>
      <vt:lpstr>m4ri_CC</vt:lpstr>
      <vt:lpstr>m4ri_RW</vt:lpstr>
      <vt:lpstr>m4riRW1M</vt:lpstr>
      <vt:lpstr>GEStim</vt:lpstr>
      <vt:lpstr>Gurobi</vt:lpstr>
      <vt:lpstr>MIP-SCIP</vt:lpstr>
      <vt:lpstr>bposd Sens</vt:lpstr>
      <vt:lpstr>bplsd</vt:lpstr>
      <vt:lpstr>bposd-serial</vt:lpstr>
      <vt:lpstr>bposd-order8</vt:lpstr>
      <vt:lpstr>bposd-order0</vt:lpstr>
      <vt:lpstr>bposd-addstabs</vt:lpstr>
      <vt:lpstr>bposd-maxiter0</vt:lpstr>
      <vt:lpstr>bposd-maxiter10</vt:lpstr>
      <vt:lpstr>bposd-maxiter1000</vt:lpstr>
      <vt:lpstr>QDistEvol20251221</vt:lpstr>
      <vt:lpstr>QDistEvol</vt:lpstr>
      <vt:lpstr>QDistRndMW20251221</vt:lpstr>
      <vt:lpstr>QDistRndMW</vt:lpstr>
      <vt:lpstr>QDistRndHL</vt:lpstr>
      <vt:lpstr>UEStim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Mark Webster</dc:creator>
  <cp:keywords/>
  <dc:description/>
  <cp:lastModifiedBy>Mark Webster</cp:lastModifiedBy>
  <cp:revision/>
  <dcterms:created xsi:type="dcterms:W3CDTF">2025-12-23T14:15:23Z</dcterms:created>
  <dcterms:modified xsi:type="dcterms:W3CDTF">2026-02-21T07:07:25Z</dcterms:modified>
  <cp:category/>
  <cp:contentStatus/>
</cp:coreProperties>
</file>