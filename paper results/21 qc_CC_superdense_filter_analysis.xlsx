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E6FD1CD8-82AF-144A-BB9E-DB0587E5FCCD}" xr6:coauthVersionLast="47" xr6:coauthVersionMax="47" xr10:uidLastSave="{00000000-0000-0000-0000-000000000000}"/>
  <bookViews>
    <workbookView xWindow="0" yWindow="720" windowWidth="29400" windowHeight="18400" xr2:uid="{FA3102E6-BC84-1241-816A-5EDAB7CFE8D6}"/>
  </bookViews>
  <sheets>
    <sheet name="Filtering" sheetId="1" r:id="rId1"/>
    <sheet name="UEStim-F" sheetId="27" r:id="rId2"/>
    <sheet name="GEStim-F" sheetId="26" r:id="rId3"/>
    <sheet name="CCStim-F" sheetId="24" r:id="rId4"/>
    <sheet name="bposd-U" sheetId="9" r:id="rId5"/>
    <sheet name="bposd-F" sheetId="13" r:id="rId6"/>
    <sheet name="m4ri_RW-U" sheetId="4" r:id="rId7"/>
    <sheet name="m4ri_RW-F" sheetId="14" r:id="rId8"/>
    <sheet name="QDistEvol-U" sheetId="2" r:id="rId9"/>
    <sheet name="QDistEvol-F" sheetId="15" r:id="rId10"/>
    <sheet name="qDistRndMW-U" sheetId="11" r:id="rId11"/>
    <sheet name="QDistRndMW-F" sheetId="16" r:id="rId12"/>
    <sheet name="m4ri_CC-U" sheetId="3" r:id="rId13"/>
    <sheet name="m4ri_CC-F" sheetId="17" r:id="rId14"/>
    <sheet name="MIP-SCIP-U" sheetId="5" r:id="rId15"/>
    <sheet name="MIP-SCIP-F" sheetId="18" r:id="rId16"/>
    <sheet name="CCStim-U" sheetId="6" r:id="rId17"/>
    <sheet name="GEStim-U" sheetId="7" r:id="rId18"/>
    <sheet name="CLISAT-U" sheetId="8" r:id="rId19"/>
    <sheet name="CLISAT-F" sheetId="21" r:id="rId20"/>
    <sheet name="gurobi-U" sheetId="10" r:id="rId21"/>
    <sheet name="gurobi-F" sheetId="23" r:id="rId22"/>
    <sheet name="UEStim-U" sheetId="12"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C19" i="1"/>
  <c r="C20" i="1" s="1"/>
  <c r="C21" i="1" s="1"/>
  <c r="B20" i="1"/>
  <c r="B21" i="1" s="1"/>
  <c r="F20" i="1"/>
  <c r="F19" i="1"/>
  <c r="E19" i="1"/>
  <c r="F21" i="1"/>
  <c r="L19" i="1"/>
  <c r="L21" i="1"/>
  <c r="E20" i="1"/>
  <c r="L20" i="1"/>
  <c r="E21" i="1"/>
  <c r="H19" i="1" l="1"/>
  <c r="O19" i="1"/>
  <c r="G19" i="1"/>
  <c r="Q20" i="1" s="1"/>
  <c r="G20" i="1"/>
  <c r="Q21" i="1" s="1"/>
  <c r="P21" i="1"/>
  <c r="H21" i="1"/>
  <c r="O21" i="1"/>
  <c r="H20" i="1"/>
  <c r="P20" i="1"/>
  <c r="O20" i="1"/>
  <c r="G21" i="1"/>
  <c r="K19" i="1"/>
  <c r="K21" i="1"/>
  <c r="K20" i="1"/>
  <c r="R21" i="1" l="1"/>
  <c r="M20" i="1"/>
  <c r="V20" i="1"/>
  <c r="V21" i="1"/>
  <c r="M21" i="1"/>
  <c r="X21" i="1" s="1"/>
  <c r="M19" i="1"/>
  <c r="J20" i="1"/>
  <c r="S20" i="1"/>
  <c r="S21" i="1"/>
  <c r="J21" i="1"/>
  <c r="U21" i="1" s="1"/>
  <c r="S19" i="1"/>
  <c r="J19" i="1"/>
  <c r="R20" i="1"/>
  <c r="U20" i="1" l="1"/>
  <c r="T21" i="1"/>
  <c r="X19" i="1"/>
  <c r="W20" i="1"/>
  <c r="T20" i="1"/>
  <c r="X20" i="1"/>
  <c r="W21" i="1"/>
  <c r="O14" i="1" l="1"/>
  <c r="O9" i="1"/>
  <c r="E4" i="1" l="1"/>
  <c r="F5" i="1"/>
  <c r="G5" i="1" s="1"/>
  <c r="H5" i="1" s="1"/>
  <c r="L5" i="1"/>
  <c r="P7" i="1"/>
  <c r="S7" i="1"/>
  <c r="V7" i="1"/>
  <c r="P8" i="1"/>
  <c r="Q8" i="1"/>
  <c r="R8" i="1"/>
  <c r="S8" i="1"/>
  <c r="T8" i="1"/>
  <c r="U8" i="1"/>
  <c r="V8" i="1"/>
  <c r="W8" i="1"/>
  <c r="X8" i="1"/>
  <c r="J15" i="1"/>
  <c r="B16" i="1"/>
  <c r="B17" i="1" s="1"/>
  <c r="C16" i="1"/>
  <c r="C17" i="1" s="1"/>
  <c r="J16" i="1"/>
  <c r="F10" i="1"/>
  <c r="E16" i="1"/>
  <c r="E17" i="1"/>
  <c r="E15" i="1"/>
  <c r="L15" i="1"/>
  <c r="F16" i="1"/>
  <c r="F15" i="1"/>
  <c r="O17" i="1" l="1"/>
  <c r="P17" i="1"/>
  <c r="H17" i="1"/>
  <c r="G16" i="1"/>
  <c r="R16" i="1" s="1"/>
  <c r="O16" i="1"/>
  <c r="P16" i="1"/>
  <c r="O15" i="1"/>
  <c r="P15" i="1"/>
  <c r="G15" i="1"/>
  <c r="R15" i="1" s="1"/>
  <c r="Q15" i="1"/>
  <c r="W15" i="1"/>
  <c r="C18" i="1"/>
  <c r="S16" i="1"/>
  <c r="I5" i="1"/>
  <c r="S15" i="1"/>
  <c r="B18" i="1"/>
  <c r="B10" i="1" s="1"/>
  <c r="B11" i="1" s="1"/>
  <c r="B12" i="1" s="1"/>
  <c r="B13" i="1" s="1"/>
  <c r="L10" i="1"/>
  <c r="L17" i="1"/>
  <c r="K17" i="1"/>
  <c r="L16" i="1"/>
  <c r="F12" i="1"/>
  <c r="L11" i="1"/>
  <c r="K16" i="1"/>
  <c r="F11" i="1"/>
  <c r="M17" i="1" l="1"/>
  <c r="X17" i="1" s="1"/>
  <c r="V17" i="1"/>
  <c r="V16" i="1"/>
  <c r="M16" i="1"/>
  <c r="X16" i="1" s="1"/>
  <c r="Q16" i="1"/>
  <c r="T16" i="1"/>
  <c r="J5" i="1"/>
  <c r="T17" i="1"/>
  <c r="T15" i="1"/>
  <c r="S17" i="1"/>
  <c r="J17" i="1"/>
  <c r="T18" i="1" s="1"/>
  <c r="F17" i="1"/>
  <c r="L12" i="1"/>
  <c r="K15" i="1"/>
  <c r="V15" i="1" l="1"/>
  <c r="M15" i="1"/>
  <c r="X15" i="1" s="1"/>
  <c r="G17" i="1"/>
  <c r="R17" i="1" s="1"/>
  <c r="Q17" i="1"/>
  <c r="E18" i="1"/>
  <c r="L13" i="1"/>
  <c r="L18" i="1"/>
  <c r="V19" i="1" l="1"/>
  <c r="W18" i="1"/>
  <c r="H18" i="1"/>
  <c r="R19" i="1" s="1"/>
  <c r="O18" i="1"/>
  <c r="P18" i="1"/>
  <c r="U17" i="1"/>
  <c r="W17" i="1"/>
  <c r="U16" i="1"/>
  <c r="U15" i="1"/>
  <c r="W16" i="1"/>
  <c r="F13" i="1"/>
  <c r="F18" i="1"/>
  <c r="P19" i="1" l="1"/>
  <c r="G18" i="1"/>
  <c r="Q19" i="1" s="1"/>
  <c r="Q18" i="1"/>
  <c r="E10" i="1"/>
  <c r="K18" i="1"/>
  <c r="U19" i="1" l="1"/>
  <c r="O10" i="1"/>
  <c r="P10" i="1"/>
  <c r="H10" i="1"/>
  <c r="G10" i="1"/>
  <c r="V18" i="1"/>
  <c r="M18" i="1"/>
  <c r="W19" i="1" s="1"/>
  <c r="J18" i="1"/>
  <c r="T19" i="1" s="1"/>
  <c r="S18" i="1"/>
  <c r="R18" i="1"/>
  <c r="Q10" i="1"/>
  <c r="K10" i="1"/>
  <c r="E11" i="1"/>
  <c r="H11" i="1" l="1"/>
  <c r="O11" i="1"/>
  <c r="P11" i="1"/>
  <c r="G11" i="1"/>
  <c r="M10" i="1"/>
  <c r="V10" i="1"/>
  <c r="U18" i="1"/>
  <c r="T10" i="1"/>
  <c r="R10" i="1"/>
  <c r="Q11" i="1"/>
  <c r="S10" i="1"/>
  <c r="J10" i="1"/>
  <c r="X18" i="1"/>
  <c r="W10" i="1"/>
  <c r="E12" i="1"/>
  <c r="K11" i="1"/>
  <c r="M11" i="1" l="1"/>
  <c r="V11" i="1"/>
  <c r="O12" i="1"/>
  <c r="P12" i="1"/>
  <c r="H12" i="1"/>
  <c r="G12" i="1"/>
  <c r="X10" i="1"/>
  <c r="W11" i="1"/>
  <c r="R11" i="1"/>
  <c r="Q12" i="1"/>
  <c r="U10" i="1"/>
  <c r="T11" i="1"/>
  <c r="S11" i="1"/>
  <c r="J11" i="1"/>
  <c r="E13" i="1"/>
  <c r="K12" i="1"/>
  <c r="H13" i="1" l="1"/>
  <c r="O13" i="1"/>
  <c r="P13" i="1"/>
  <c r="G13" i="1"/>
  <c r="M12" i="1"/>
  <c r="V12" i="1"/>
  <c r="J12" i="1"/>
  <c r="S12" i="1"/>
  <c r="U11" i="1"/>
  <c r="T12" i="1"/>
  <c r="X11" i="1"/>
  <c r="W12" i="1"/>
  <c r="R12" i="1"/>
  <c r="Q13" i="1"/>
  <c r="K13" i="1"/>
  <c r="M13" i="1" l="1"/>
  <c r="V13" i="1"/>
  <c r="U12" i="1"/>
  <c r="T13" i="1"/>
  <c r="X12" i="1"/>
  <c r="W13" i="1"/>
  <c r="R13" i="1"/>
  <c r="S13" i="1"/>
  <c r="J13" i="1"/>
  <c r="X13" i="1" l="1"/>
  <c r="U13" i="1"/>
</calcChain>
</file>

<file path=xl/sharedStrings.xml><?xml version="1.0" encoding="utf-8"?>
<sst xmlns="http://schemas.openxmlformats.org/spreadsheetml/2006/main" count="988" uniqueCount="239">
  <si>
    <t>\end{center}</t>
  </si>
  <si>
    <t>\end{tabular}</t>
  </si>
  <si>
    <t>\hline</t>
  </si>
  <si>
    <t>m4riCC</t>
  </si>
  <si>
    <t>m4ri_CC</t>
  </si>
  <si>
    <t>CLISAT</t>
  </si>
  <si>
    <t>MIP-SCIP</t>
  </si>
  <si>
    <t>Gurobi</t>
  </si>
  <si>
    <t>BP-OSD</t>
  </si>
  <si>
    <t>BPOSD</t>
  </si>
  <si>
    <t>QDistEvol</t>
  </si>
  <si>
    <t>QDistRndMW</t>
  </si>
  <si>
    <t>m4riRW</t>
  </si>
  <si>
    <t>-U</t>
  </si>
  <si>
    <t>m4ri_RW</t>
  </si>
  <si>
    <t>Filtered</t>
  </si>
  <si>
    <t>Unfiltered</t>
  </si>
  <si>
    <t>&amp;</t>
  </si>
  <si>
    <t>Processing time</t>
  </si>
  <si>
    <t>At lowest distance</t>
  </si>
  <si>
    <t>Completed</t>
  </si>
  <si>
    <t>r|}</t>
  </si>
  <si>
    <t>r|</t>
  </si>
  <si>
    <t>\begin{tabular}{ |r|</t>
  </si>
  <si>
    <t>1k iterations</t>
  </si>
  <si>
    <t>\begin{center}</t>
  </si>
  <si>
    <t>0.0%</t>
  </si>
  <si>
    <t>0.0E+00</t>
  </si>
  <si>
    <t>#,##0;;-</t>
  </si>
  <si>
    <t>maxTime</t>
  </si>
  <si>
    <t>04_r=9,d=9,p=0.0005,noise=uniform,c=superdense_color_code_Z,q=121,gates=all.stim</t>
  </si>
  <si>
    <t>03_r=7,d=7,p=0.0005,noise=uniform,c=superdense_color_code_Z,q=73,gates=all.stim</t>
  </si>
  <si>
    <t>02_r=5,d=5,p=0.0005,noise=uniform,c=superdense_color_code_Z,q=37,gates=all.stim</t>
  </si>
  <si>
    <t>01_r=3,d=3,p=0.0005,noise=uniform,c=superdense_color_code_Z,q=13,gates=all.stim</t>
  </si>
  <si>
    <t>Progress</t>
  </si>
  <si>
    <t>T</t>
  </si>
  <si>
    <t>R</t>
  </si>
  <si>
    <t>Time</t>
  </si>
  <si>
    <t>delta d</t>
  </si>
  <si>
    <t>d</t>
  </si>
  <si>
    <t>k</t>
  </si>
  <si>
    <t>n</t>
  </si>
  <si>
    <t>name</t>
  </si>
  <si>
    <t>#########################################</t>
  </si>
  <si>
    <t>addStabs: 0</t>
  </si>
  <si>
    <t>CCstart: 1</t>
  </si>
  <si>
    <t>sMut: 1.0</t>
  </si>
  <si>
    <t>pMut: 2.0</t>
  </si>
  <si>
    <t>offspring: 10</t>
  </si>
  <si>
    <t>genCount: 100</t>
  </si>
  <si>
    <t>HL: 0</t>
  </si>
  <si>
    <t>fourBlock: 1</t>
  </si>
  <si>
    <t>SingleQubitPauliErrors: 1</t>
  </si>
  <si>
    <t>PauliProductType: X</t>
  </si>
  <si>
    <t>filterCircuit: 0</t>
  </si>
  <si>
    <t>maxErr: -1</t>
  </si>
  <si>
    <t>verbose: False</t>
  </si>
  <si>
    <t>nThreads: 1</t>
  </si>
  <si>
    <t>maxTime: 28800</t>
  </si>
  <si>
    <t>iterCount: 1000</t>
  </si>
  <si>
    <t>nMax: 100000</t>
  </si>
  <si>
    <t>nMin: 1</t>
  </si>
  <si>
    <t>resume: 0</t>
  </si>
  <si>
    <t>ignoreTrivialCodes: 1</t>
  </si>
  <si>
    <t>method: QDistEvol</t>
  </si>
  <si>
    <t>datafile: 04_colorcodes_superdense</t>
  </si>
  <si>
    <t>dataset: stim_circuit</t>
  </si>
  <si>
    <t>repeat: 1</t>
  </si>
  <si>
    <t>maxCount: 10000</t>
  </si>
  <si>
    <t>runMode: serial</t>
  </si>
  <si>
    <t># cluster algorithm failed to find a codeword up to wmax=1\n\n# cluster algorithm failed to find a codeword up to wmax=2\n\n# cluster algorithm failed to find a codeword up to wmax=3\n\n# cluster algorithm failed to find a codeword up to wmax=4\n\n# wmax=5 found cw of weight 5: [0 1 51 168 263]\n5\n</t>
  </si>
  <si>
    <t># cluster algorithm failed to find a codeword up to wmax=1\n\n# cluster algorithm failed to find a codeword up to wmax=2\n\n# wmax=3 found cw of weight 3: [0 1 63]\n3\n</t>
  </si>
  <si>
    <t>outfile: /home/ucapmwe/dist-benchmark/results/stim_circuit-04_colorcodes_superdense-dist_m4ri_CC-20251016_171839.012535_85062422.txt</t>
  </si>
  <si>
    <t xml:space="preserve">MIP_solver: </t>
  </si>
  <si>
    <t>magma_minword: False</t>
  </si>
  <si>
    <t>iterCount: 100</t>
  </si>
  <si>
    <t>ignoreTrivialCodes: True</t>
  </si>
  <si>
    <t>method: dist_m4ri_CC</t>
  </si>
  <si>
    <t>06_r=1,d=15,p=0.161473,noise=data_qubit_X,c=color_code_mpp,q=169,gates=mpp.stim</t>
  </si>
  <si>
    <t>05_r=11,d=11,p=0.0005,noise=uniform,c=superdense_color_code_Z,q=181,gates=all.stim</t>
  </si>
  <si>
    <t>method: dist_m4ri_RW</t>
  </si>
  <si>
    <t>Objective value = 15\nProblem solved in 675598 milliseconds\nProblem solved in 3261972 iterations</t>
  </si>
  <si>
    <t>Objective value = 0\nProblem solved in 28800804 milliseconds\nProblem solved in 5322050 iterations</t>
  </si>
  <si>
    <t>Objective value = 10\nProblem solved in 28811499 milliseconds\nProblem solved in 5684848 iterations</t>
  </si>
  <si>
    <t>Objective value = 7\nProblem solved in 28801079 milliseconds\nProblem solved in 8977215 iterations</t>
  </si>
  <si>
    <t>Objective value = 5\nProblem solved in 594304 milliseconds\nProblem solved in 554398 iterations</t>
  </si>
  <si>
    <t>Objective value = 3\nProblem solved in 954 milliseconds\nProblem solved in 4286 iterations</t>
  </si>
  <si>
    <t>outfile: /home/ucapmwe/dist-benchmark/results/stim_circuit-04_colorcodes_superdense-MIPDist-SCIP-20251016_095207.404796_85062422.txt</t>
  </si>
  <si>
    <t>MIP_solver: SCIP</t>
  </si>
  <si>
    <t>method: MIPDist</t>
  </si>
  <si>
    <t>dont_explore_detection_event_sets_with_size_above=3,dont_explore_edges_with_degree_above=84\nfound lo of weight 15</t>
  </si>
  <si>
    <t>dont_explore_detection_event_sets_with_size_above=3,dont_explore_edges_with_degree_above=990\nfound lo of weight 11</t>
  </si>
  <si>
    <t>dont_explore_detection_event_sets_with_size_above=3,dont_explore_edges_with_degree_above=540\nfound lo of weight 9</t>
  </si>
  <si>
    <t>dont_explore_detection_event_sets_with_size_above=3,dont_explore_edges_with_degree_above=252\nfound lo of weight 7</t>
  </si>
  <si>
    <t>dont_explore_detection_event_sets_with_size_above=3,dont_explore_edges_with_degree_above=90\nfound lo of weight 5</t>
  </si>
  <si>
    <t>dont_explore_detection_event_sets_with_size_above=3,dont_explore_edges_with_degree_above=18\nfound lo of weight 3</t>
  </si>
  <si>
    <t>outfile: /home/ucapmwe/dist-benchmark/results/stim_circuit-04_colorcodes_superdense-ColourCodeDistStim-20251016_085820.971908_85062422.txt</t>
  </si>
  <si>
    <t>method: ColourCodeDistStim</t>
  </si>
  <si>
    <t>dont_explore_detection_event_sets_with_size_above=2,dont_explore_edges_with_degree_above=2\nfound lo of weight 15</t>
  </si>
  <si>
    <t>dont_explore_detection_event_sets_with_size_above=2,dont_explore_edges_with_degree_above=2\nfound lo of weight 11</t>
  </si>
  <si>
    <t>dont_explore_detection_event_sets_with_size_above=2,dont_explore_edges_with_degree_above=2\nfound lo of weight 9</t>
  </si>
  <si>
    <t>dont_explore_detection_event_sets_with_size_above=2,dont_explore_edges_with_degree_above=2\nfound lo of weight 7</t>
  </si>
  <si>
    <t>dont_explore_detection_event_sets_with_size_above=2,dont_explore_edges_with_degree_above=2\nfound lo of weight 5</t>
  </si>
  <si>
    <t>dont_explore_detection_event_sets_with_size_above=2,dont_explore_edges_with_degree_above=2\nfound lo of weight 3</t>
  </si>
  <si>
    <t>outfile: /home/ucapmwe/dist-benchmark/results/stim_circuit-04_colorcodes_superdense-GraphLikeErrorStim-20251016_085822.309427_85062422.txt</t>
  </si>
  <si>
    <t>method: GraphLikeErrorStim</t>
  </si>
  <si>
    <t>c Parsing MaxSAT file...\nc ============================[  Problem Statistics ]============================\nc |  Number of variables:           476                                         |\nc |  Number of clauses:            1398                                         |\nc ===============================================================================\nc Using SCIP solver, version 7.0.3, https://www.scipopt.org\nc scip_time = 0.000000\nc Starting SCIP solver in a separate thread (with time-limit = 0s) ...\nc Using COMiniSatPS SAT solver by Chanseok Oh (2016)\no 15\nc _x001B_[1mOptimal solution: 15_x001B_[0m\nc _______________________________________________________________________________\nc \nc restarts               : 4384\nc conflicts              : 533666         (6410 /sec)\nc decisions              : 747570         (0.00 % random) (8979 /sec)\nc propagations           : 98187213       (1179270 /sec)\nc conflict literals      : 13877375       (34.03 % deleted)\nc =======================[ UWrMaxSat resources usage ]===========================\nc Memory used            : 152.00 MB\nc CPU time               : 83.261 s\nc Wall clock time        : 84 s\nc OptExp Enc: Srt/BDD/Add: 112 0 0\nc _______________________________________________________________________________\nv 001100001000000100000000000100000000000010000000000000000010000000000000000001000000000000000000000001000000000000000001000000000000000010000000000010000000000100000100100110001001010011000000000010010000100000000000000001010011000000000000000000000000010010000100000000000000000000000000000001010011000000000000000000000000000000000000000010010000100000000000000000000000000000000000000000000010100110000000000000000000000000000000000000001001000010000000000000000000000000000001010011000000000000000000000000100100001000000000000000101001100000000010010000101\ns OPTIMUM FOUND\n</t>
  </si>
  <si>
    <t>c Parsing MaxSAT file...\nc ============================[  Problem Statistics ]============================\nc |  Number of variables:        247504                                         |\nc |  Number of clauses:          817994                                         |\nc ===============================================================================\nc Using COMiniSatPS SAT solver by Chanseok Oh (2016)\no 1099\n</t>
  </si>
  <si>
    <t>c Parsing MaxSAT file...\nc ============================[  Problem Statistics ]============================\nc |  Number of variables:        126103                                         |\nc |  Number of clauses:          415262                                         |\nc ===============================================================================\nc Using COMiniSatPS SAT solver by Chanseok Oh (2016)\no 117\no 52\n</t>
  </si>
  <si>
    <t>c Parsing MaxSAT file...\nc ============================[  Problem Statistics ]============================\nc |  Number of variables:         52695                                         |\nc |  Number of clauses:          172494                                         |\nc ===============================================================================\nc Using COMiniSatPS SAT solver by Chanseok Oh (2016)\no 343\no 31\no 10\n</t>
  </si>
  <si>
    <t>c Parsing MaxSAT file...\nc ============================[  Problem Statistics ]============================\nc |  Number of variables:         15238                                         |\nc |  Number of clauses:           49298                                         |\nc ===============================================================================\nc Using SCIP solver, version 7.0.3, https://www.scipopt.org\nc scip_time = 0.000000\nc Starting SCIP solver in a separate thread (with time-limit = 0s) ...\nc Using COMiniSatPS SAT solver by Chanseok Oh (2016)\no 61\no 40\no 5\nc _x001B_[1mOptimal solution: 5_x001B_[0m\nc _______________________________________________________________________________\nc \nc restarts               : 11285\nc conflicts              : 3394745        (820 /sec)\nc decisions              : 7041751        (0.00 % random) (1701 /sec)\nc propagations           : 7947366443     (1919421 /sec)\nc conflict literals      : 342280370      (60.02 % deleted)\nc =======================[ UWrMaxSat resources usage ]===========================\nc Memory used            : 780.00 MB\nc CPU time               : 4140.5 s\nc Wall clock time        : 2847 s\nc OptExp Enc: Srt/BDD/Add: 15 0 0\nc _______________________________________________________________________________\nv 00000000000000000000000000000000000000000000000000000100000000000000001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001010100100000100001001100001000100011001100001001100010110000110000001100001000110011100100011000100001100010011001110100110101001000000000000000000000000000000000000000100100100101000101000100011000000000000000000001010010001010010011000000000010000000000100000000000001001000001000000000000000000000000101000010000000000000000010010010000010001000000000000010010000000000000100100000000000000000000101000100000000000000000100110010101100000000000000100000000100010100000000000000000000000000000000000000000000000100001000000000000000000000000000001000100000000000000000000000000000000000000000000000000000000000000000000000000000000000000000010000010000100001000100000000000000000010001000100100000000000000000000000000000000000000000010000000000100100000001000001000000000010001000000100010000000100100001000001000100100000100100100010100101010101011000000001010001000010010110011001101101110000100000001000010000000000000000100000001000000000000100010000000010010010000100010000010000100000000000100100000000000000100010000000010000000001101000100100010001000000000000000000000000000000010001000000000000000000000000000000000000000100100000000001010000001000100000100001000000000000000000000000100000100000100001010010100001000001000001000010001000000000000000000100000100000000000000000010000000001000000000100000000010000000000001000000010000010101000100000100001000110010001000100000000010000001000000000000000010000100001000001000000000000000001000100000000001001000000000000000000000010001010010010000100100100000101000100000101010001000001000100010001000010001000001000100001000100001000000000000000000010000010000000000000000000000000001000100000100000000000000000000000000000000000000000001000100000000000000000000000000000000000000000000000000000000000000010100001001000001000000000100000001000000010000010000010000001100001001010100100010000010000100010110000000000000000000000000000000000000000000000000000000000000000000000000000000000000000000000000000000000000000000000000000000000000000000000000000000000000000000000000000000000000000000000000000000000000000001000000001000000000000000000000000000000001000000000000000100001000000000010000000000000000000000001000010000000000100001000000000000000000000000000000000000000000000000000000000000000000000000000000000100000000000000000000010000000000000000000000000000000000000000000000000000000000000100000010000000001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1000000000000000000100000000000001000000100000000000001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1000000000000001000000000000000000000000000000000000000001000000000000000000000010000100001000000000010000000001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10000000000000000000000000000000000000000000000000000000000000000000000000000000000000000000000000000000000000000000000000000100010000000001000000000001000001000000100000000010000000001001000000001000001000000010001000000000000000000001001000000000000000000000000101000000000000000000000000100000000000000000000000000000000000000000000001000000000000000000000000100000000000000000001000000010100000000000000000000000000000000000000000000000000000000000000000000000000000000000000000000000000000000000000000000000000000000000000000000100000000010000000001000000000100000000000010000000100000100000000000000000000000000000000000000000000100000000000000000000000100001000010000000000000000000000010001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10000010000010000001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1000000000000000100001000000000010000000000000000000000001000010000000000100001000000000000000000000000000000000000000000000000000000000000000000000000000000000100000000000000000000010000000000000000000000000000000000000000000000000000000000000100000010000000001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1000000000000000000100000000000001000000100000000000001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1000000000000001000000000000000000000000000000000000000001000000000000000000000010000100001000000000010000000001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10000000000000000000000000000000000000000000000000000000000000000000000000000000000000000000000000000000000000000000000000000100010000000001000000000001000001000000100000000010000000001001000000001000001000000010001000000000000000000001001000000000000000000000000101000000000000000000000000100000000000000000000000000000000000000000000001000000000000000000000000100000000000000000001000000010100000000000000000000000000000000000000000000000000000000000000000000000000000000000000000000000000000000000000000000000000000000000000000000100000000010000000001000000000100000000000010000000100000100000000000000000000000000000000000000000000100000000000000000000000100001000010000000000000000000000010001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10000010000010000001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1000000000000000100001000000000010000000000000000000000001000010000000000100001000000000000000000000000000000000000000000000000000000000000000000000000000000000100000000000000000000010000000000000000000000000000000000000000000000000000000000000100000010000000001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1000000000000000000100000000000001000000100000000000001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1000000000000001000000000000000000000000000000000000000001000000000000000000000010000100001000000000010000000001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10000000000000000000000000000000000000000000000000000000000000000000000000000000000000000000000000000000000000000000000000000100010000000001000000000001000001000000100000000010000000001001000000001000001000000010001000000000000000000000000000000000000000010000000000000000100100000000000000000000000000000000010000000010001001000000000000000000000001000100000000000000000000000000000000000000000000000000000000000000000000000000000000000000000000000000000000000000000000000000010000000000001010000000000000000000000000000000001000100000010010100000000000000000000000000000000000000000000000000000000000000000000000000000000000000000000000000000000000000000000000000010000000100000001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10000000100000100000100000000000000000000000000000000000100000000000000000000000010000000000000000000000000000000000000000000000000000000000000000000000000000000000000000000000000000000000000000000000000000000000000000000000000000000000000000000100000000001000000000000000000000000000100000001000100000000000000000010010000000000000000000000000000000000000000000000000000000000000000000000000000000000000001000000001000000000000000000000000000000010001000001001000000000000000000000000000000000000000000000000001001000101\ns OPTIMUM FOUND\n</t>
  </si>
  <si>
    <t>c Parsing MaxSAT file...\nc ============================[  Problem Statistics ]============================\nc |  Number of variables:          1615                                         |\nc |  Number of clauses:            5066                                         |\nc ===============================================================================\nc Using SCIP solver, version 7.0.3, https://www.scipopt.org\nc scip_time = 0.000000\nc Starting SCIP solver in a separate thread (with time-limit = 0s) ...\nc Using COMiniSatPS SAT solver by Chanseok Oh (2016)\no 29\no 10\no 8\no 3\nc _x001B_[1mOptimal solution: 3_x001B_[0m\nc _______________________________________________________________________________\nc \nc restarts               : 319\nc conflicts              : 8285           (7906 /sec)\nc decisions              : 59591          (0.00 % random) (56868 /sec)\nc propagations           : 1437492        (1371806 /sec)\nc conflict literals      : 804603         (6.32 % deleted)\nc =======================[ UWrMaxSat resources usage ]===========================\nc Memory used            : 157.00 MB\nc CPU time               : 1.04788 s\nc Wall clock time        : 1 s\nc OptExp Enc: Srt/BDD/Add: 6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011101011111110110100000101000000000000001100011000100010000100000000000000000000010110001000010000000000000000011000100010010000000000000110101101001010101000100010000010011101001001001001000100010011011001100110110001100110001100011001100110000100000000000000000000100100000000000000000000000000000000000000000000000000010000000000001010000000000000000000000000000000010001000001001010000000000000000000000000000000000000001001000101\ns OPTIMUM FOUND\n</t>
  </si>
  <si>
    <t>outfile: /home/ucapmwe/dist-benchmark/results/stim_circuit-04_colorcodes_superdense-CLISATDist-20251011_175254.816570_85062422.txt</t>
  </si>
  <si>
    <t>iterCount: 10000</t>
  </si>
  <si>
    <t>method: CLISATDist</t>
  </si>
  <si>
    <t>osd_order: 1</t>
  </si>
  <si>
    <t>osd_method: OSD_CS</t>
  </si>
  <si>
    <t>bp_max_iter: 100</t>
  </si>
  <si>
    <t>bp_schedule: parallel</t>
  </si>
  <si>
    <t>bp_method: product_sum</t>
  </si>
  <si>
    <t>decoder: bposd</t>
  </si>
  <si>
    <t>method: decoderDist</t>
  </si>
  <si>
    <t>outfile: /home/ucapmwe/dist-benchmark/results/stim_circuit-04_colorcodes_superdense-GurobiDist-20251011_175254.178517_85062422.txt</t>
  </si>
  <si>
    <t>method: GurobiDist</t>
  </si>
  <si>
    <t>method: QDistRndMW</t>
  </si>
  <si>
    <t>dont_explore_detection_event_sets_with_size_above=2,dont_explore_edges_with_degree_above=84\nfound lo of weight 15\ndont_explore_detection_event_sets_with_size_above=3,dont_explore_edges_with_degree_above=84\nfound lo of weight 15\nBreaking - same result for 2 rounds</t>
  </si>
  <si>
    <t>dont_explore_detection_event_sets_with_size_above=2,dont_explore_edges_with_degree_above=990\nfound lo of weight 11\ndont_explore_detection_event_sets_with_size_above=3,dont_explore_edges_with_degree_above=990\nfound lo of weight 11\nBreaking - same result for 2 rounds</t>
  </si>
  <si>
    <t>dont_explore_detection_event_sets_with_size_above=2,dont_explore_edges_with_degree_above=540\nfound lo of weight 9\ndont_explore_detection_event_sets_with_size_above=3,dont_explore_edges_with_degree_above=540\nfound lo of weight 9\nBreaking - same result for 2 rounds</t>
  </si>
  <si>
    <t>dont_explore_detection_event_sets_with_size_above=2,dont_explore_edges_with_degree_above=252\nfound lo of weight 7\ndont_explore_detection_event_sets_with_size_above=3,dont_explore_edges_with_degree_above=252\nfound lo of weight 7\nBreaking - same result for 2 rounds</t>
  </si>
  <si>
    <t>dont_explore_detection_event_sets_with_size_above=2,dont_explore_edges_with_degree_above=90\nfound lo of weight 5\ndont_explore_detection_event_sets_with_size_above=3,dont_explore_edges_with_degree_above=90\nfound lo of weight 5\nBreaking - same result for 2 rounds</t>
  </si>
  <si>
    <t>dont_explore_detection_event_sets_with_size_above=2,dont_explore_edges_with_degree_above=18\nfound lo of weight 3\ndont_explore_detection_event_sets_with_size_above=3,dont_explore_edges_with_degree_above=18\nfound lo of weight 3\nBreaking - same result for 2 rounds</t>
  </si>
  <si>
    <t>outfile: /home/ucapmwe/dist-benchmark/results/stim_circuit-04_colorcodes_superdense-UndetectableErrorStim-20251016_085822.220624_85062422.txt</t>
  </si>
  <si>
    <t>method: UndetectableErrorStim</t>
  </si>
  <si>
    <t>Trial:0 w:15; pErr:0.0000, weight 15 CW found:1</t>
  </si>
  <si>
    <t>filterCircuit: 1</t>
  </si>
  <si>
    <t>CCstart: -1</t>
  </si>
  <si>
    <t>outfile: /home/ucapmwe/dist-benchmark/results/stim_circuit-04_colorcodes_superdense-decoderDist-bposd-20260117_152146.399880_85062422.txt</t>
  </si>
  <si>
    <t>Trial:0 w:3; pErr:0.0246, weight 3 CW found:270</t>
  </si>
  <si>
    <t>Trial:0 w:5; pErr:0.3532, weight 5 CW found:961</t>
  </si>
  <si>
    <t>Trial:0 w:7; pErr:0.3671, weight 7 CW found:998</t>
  </si>
  <si>
    <t>Trial:0 w:9; pErr:0.3675, weight 9 CW found:999</t>
  </si>
  <si>
    <t>outfile: /home/ucapmwe/dist-benchmark/results/stim_circuit-04_colorcodes_superdense-decoderDist-bposd-20260117_152146.400930_85062422.txt</t>
  </si>
  <si>
    <t>Trial:0 w:3; pErr:0.0000, weight 3 CW found:97</t>
  </si>
  <si>
    <t>Trial:0 w:5; pErr:0.3222, weight 5 CW found:883</t>
  </si>
  <si>
    <t>Trial:0 w:7; pErr:0.3660, weight 7 CW found:995</t>
  </si>
  <si>
    <t>Trial:0 w:11; pErr:0.3679, weight 11 CW found:1000</t>
  </si>
  <si>
    <t>outfile: /home/ucapmwe/dist-benchmark/results/stim_circuit-04_colorcodes_superdense-dist_m4ri_RW-20260117_152146.401214_85062422.txt</t>
  </si>
  <si>
    <t># step=0 row=4 minW=71 found cw of W=4: [3 7 17 22]\n# step=0 row=5 minW=4 found cw of W=3: [1 8 9]\n# round=1000 of 1000 minW=3\nRW algorithm upper bound for the distance d=3\n</t>
  </si>
  <si>
    <t># step=0 row=1 minW=472 found cw of W=7: [2 4 13 25 126 187 240]\n# step=0 row=3 minW=7 found cw of W=6: [4 5 107 125 139 240]\n# step=0 row=11 minW=6 found cw of W=5: [13 14 126 187 240]\n# round=1000 of 1000 minW=5\nRW algorithm upper bound for the distance d=5\n</t>
  </si>
  <si>
    <t># step=0 row=0 minW=1434 found cw of W=30: [1 3 12 29 39 188 321 409 413 481 540 603 661 685 709 787 862 952 953 1004 1027 1053 1080 1141 1153 1154 1182 1186 1198 1206]\n# step=0 row=1 minW=30 found cw of W=28: [2 3 12 39 271 321 399 409 413 486 540 685 709 787 862 952 953 1004 1027 1053 1080 1141 1153 1154 1182 1186 1198 1206]\n# step=0 row=22 minW=28 found cw of W=26: [27 29 188 253 321 468 479 603 623 681 757 782 833 890 914 1004 1027 1050 1141 1153 1154 1182 1186 1197 1198 1206]\n# step=0 row=101 minW=26 found cw of W=24: [113 115 316 366 409 540 623 757 782 787 833 937 940 952 953 957 1004 1141 1153 1154 1182 1186 1198 1206]\n# step=0 row=105 minW=24 found cw of W=22: [119 120 152 321 366 413 481 603 623 661 685 709 757 782 833 862 937 940 957 1027 1053 1080]\n# step=0 row=141 minW=22 found cw of W=21: [156 162 321 366 413 481 603 623 661 685 709 757 782 833 862 937 940 957 1027 1053 1080]\n# step=0 row=372 minW=21 found cw of W=10: [366 369 409 413 420 481 486 526 603 661]\n# step=0 row=480 minW=10 found cw of W=7: [481 486 535 603 623 661 782]\n# round=1000 of 1000 minW=7\nRW algorithm upper bound for the distance d=7\n</t>
  </si>
  <si>
    <t># step=0 row=0 minW=3216 found cw of W=63: [1 8 14 63 68 72 81 86 93 111 114 122 169 170 208 216 225 227 269 370 519 539 540 548 566 623 670 684 735 738 794 809 834 840 906 961 981 1042 1044 1095 1102 1119 1128 1145 1274 1321 1348 1356 1415 1458 1488 1579 1594 1670 1714 1775 1875 1881 1951 2025 2035 2116 2131]\n# step=0 row=2 minW=63 found cw of W=26: [3 8 27 72 76 86 93 122 477 840 851 857 981 986 1342 1348 1714 1747 1816 2057 2065 2090 2122 2123 2177 2467]\n# step=0 row=89 minW=26 found cw of W=23: [107 108 188 490 519 530 539 566 596 840 851 857 961 981 1321 1356 1670 1709 1714 2014 2025 2035 2116]\n# step=0 row=320 minW=23 found cw of W=20: [368 370 670 738 1095 1119 1415 1488 1579 1594 1709 1714 1775 1875 1881 1951 2025 2035 2116 2131]\n# step=0 row=594 minW=20 found cw of W=19: [668 670 738 1095 1119 1415 1488 1579 1594 1709 1714 1775 1875 1881 1951 2025 2035 2116 2131]\n# step=0 row=650 minW=19 found cw of W=18: [240 244 346 519 530 539 540 596 651 726 961 986 1015 1321 1348 1356 1670 1709]\n# step=0 row=658 minW=18 found cw of W=17: [734 735 1119 1415 1488 1579 1594 1709 1714 1775 1875 1881 1951 2025 2035 2116 2131]\n# step=0 row=1066 minW=17 found cw of W=15: [1180 1181 1415 1579 1594 1709 1714 1775 1875 1881 1951 2025 2035 2116 2131]\n# step=0 row=1514 minW=15 found cw of W=12: [1627 1628 1667 1670 1951 2043 2051 2086 2122 2123 2177 2467]\n# step=0 row=1516 minW=12 found cw of W=11: [1627 1628 1669 1670 2043 2051 2086 2122 2123 2177 2467]\n# step=0 row=1624 minW=11 found cw of W=9: [1478 1482 1763 1775 1786 1996 2065 2086 2090]\n# round=1000 of 1000 minW=9\nRW algorithm upper bound for the distance d=9\n</t>
  </si>
  <si>
    <t># step=0 row=26 minW=6070 found cw of W=52: [1 3 9 31 50 67 68 72 86 93 119 120 127 200 219 224 240 324 485 538 563 565 584 590 594 620 646 678 703 1031 1035 1041 1138 1188 1749 2168 2302 2336 2357 2366 2380 2401 2405 2452 2456 2510 2514 2585 2586 2752 3003 3071]\n# step=0 row=27 minW=52 found cw of W=25: [1 3 9 32 68 72 86 93 119 120 127 200 219 224 240 324 538 594 599 620 646 678 703 1041 1138]\n# step=0 row=29 minW=25 found cw of W=24: [1 3 9 34 72 86 93 119 120 127 200 219 224 240 324 538 594 599 620 646 678 703 1041 1138]\n# step=0 row=51 minW=24 found cw of W=20: [59 67 72 86 93 147 153 219 224 240 324 485 538 563 565 584 594 599 1031 1035]\n# step=0 row=157 minW=20 found cw of W=19: [147 153 180 181 219 224 240 324 499 538 563 565 584 646 678 1031 1035 1041 1138]\n# step=0 row=1167 minW=19 found cw of W=17: [1092 1291 1296 1376 1409 1430 1491 1645 1654 1911 1993 1994 2043 2048 2585 2586 2597]\n# step=0 row=1247 minW=17 found cw of W=15: [1084 1092 1379 1409 1430 1457 1491 1654 1993 1994 2043 2048 2585 2586 2597]\n# step=0 row=3030 minW=15 found cw of W=14: [2585 2586 2667 2673 2702 3148 3160 3173 3239 3325 3337 3617 3673 3674]\n# step=1 row=3375 minW=14 found cw of W=13: [3698 3701 4091 4095 4425 4638 4787 4788 4845 4846 5007 5008 5318]\n# step=3 row=590 minW=13 found cw of W=11: [661 662 1269 1628 1798 1799 1834 1867 1936 2348 2498]\n# round=1000 of 1000 minW=11\nRW algorithm upper bound for the distance d=11\n</t>
  </si>
  <si>
    <t># step=0 row=1 minW=170 found cw of W=21: [2 3 6 10 14 22 24 37 48 66 68 71 87 90 91 93 95 98 113 115 116]\n# step=1 row=5 minW=21 found cw of W=17: [1 3 5 11 13 23 31 47 62 83 86 87 88 90 111 131 134]\n# step=3 row=10 minW=17 found cw of W=15: [21 22 34 46 65 83 101 102 103 104 105 126 140 155 163]\n# round=1000 of 1000 minW=15\nRW algorithm upper bound for the distance d=15\n</t>
  </si>
  <si>
    <t>outfile: /home/ucapmwe/dist-benchmark/results/stim_circuit-04_colorcodes_superdense-dist_m4ri_RW-20260117_152146.401357_85062422.txt</t>
  </si>
  <si>
    <t># step=0 row=0 minW=359 found cw of W=7: [1 15 34 69 97 218 247]\n# step=0 row=13 minW=7 found cw of W=3: [15 16 218]\n# round=1000 of 1000 minW=3\nRW algorithm upper bound for the distance d=3\n</t>
  </si>
  <si>
    <t># step=0 row=0 minW=2960 found cw of W=38: [1 12 26 126 147 157 430 440 528 575 765 841 845 854 989 1027 1030 1041 1079 1230 1270 1317 1418 1537 1625 1819 1936 1959 2007 2025 2224 2353 2484 2551 2819 2822 2848 2887]\n# step=0 row=2 minW=38 found cw of W=26: [3 6 26 126 440 516 528 632 717 765 783 841 845 990 1027 1041 1113 1317 1413 1467 1537 1625 1684 2353 2577 2822]\n# step=0 row=11 minW=26 found cw of W=17: [6 14 75 111 126 157 160 575 626 632 717 854 1041 1317 1413 1537 1684]\n# step=0 row=29 minW=17 found cw of W=15: [26 33 111 440 516 528 575 783 841 845 854 990 1041 1413 1418]\n# step=0 row=116 minW=15 found cw of W=14: [124 126 157 160 575 632 989 990 1027 1467 1625 2353 2577 2822]\n# step=0 row=1263 minW=14 found cw of W=13: [157 160 765 841 1027 1030 1041 1304 1413 1418 1467 1625 1819]\n# step=0 row=1285 minW=13 found cw of W=11: [1027 1030 1113 1317 1327 1413 1418 1467 1514 1625 1819]\n# step=0 row=1372 minW=11 found cw of W=7: [1027 1030 1417 1467 1514 1625 1819]\n# step=1 row=725 minW=7 found cw of W=5: [464 467 748 1174 1509]\n# round=1000 of 1000 minW=5\nRW algorithm upper bound for the distance d=5\n</t>
  </si>
  <si>
    <t># step=0 row=15 minW=9699 found cw of W=91: [17 18 665 943 964 1130 1181 1230 1249 1325 1473 1505 1575 1741 1788 2384 2497 2506 2662 2672 2764 2829 2908 3002 3064 3286 3550 3612 3621 3667 3741 3986 3992 4250 4589 4777 4849 4863 4912 4993 5059 5060 5293 5294 5360 5375 5570 5612 5687 5753 5816 5992 6081 6161 6265 6313 6431 6478 6494 6522 6637 6787 7023 7077 7296 7342 7373 7541 7729 7791 7810 7893 7958 8323 8383 8485 8487 8633 8643 8680 8687 8718 8791 8879 8908 8916 9015 9141 9246 9576 9690]\n# step=0 row=18 minW=91 found cw of W=46: [18 21 33 49 120 359 380 528 627 665 890 980 1048 1172 1230 1361 1529 1575 1631 1741 1788 1832 1840 2384 2492 2497 2506 2672 2764 2767 3002 3009 3064 3109 3674 3741 3986 3990 3992 4849 4912 5345 5570 5687 6637 6787]\n# step=0 row=23 minW=46 found cw of W=34: [26 33 120 627 706 717 890 980 985 1016 1172 1181 1529 1753 1759 1832 2101 2492 2662 2764 3008 3009 3170 3674 3741 3990 4017 4849 4912 5345 5570 5687 6637 6787]\n# step=0 row=106 minW=34 found cw of W=33: [111 120 627 706 717 1016 1172 1181 1325 1529 1753 1759 1832 2101 2384 2642 3008 3009 3056 3109 3364 3550 3621 3674 3741 4017 5293 5294 5375 6494 6516 6923 7017]\n# step=0 row=448 minW=33 found cw of W=28: [465 476 810 1130 1181 1249 1473 1741 1759 1866 1870 2148 2166 2384 2642 2662 2672 2767 2821 2829 2908 3002 3009 3056 3109 3823 3990 3992]\n# step=0 row=1971 minW=28 found cw of W=26: [810 1130 1181 1249 1473 1741 1759 1866 1870 2032 2166 2384 2642 2662 2672 2767 2821 2829 2908 3002 3009 3056 3109 3823 3990 3992]\n# step=0 row=2698 minW=26 found cw of W=23: [2497 2506 2642 2764 2767 2776 2812 2829 2908 3056 3064 3364 3986 4458 4589 4666 4907 4912 5293 6494 6516 6923 7017]\n# step=0 row=5509 minW=23 found cw of W=19: [4458 4464 5293 5294 5654 5992 6225 6265 6494 6516 6616 6923 7017 7597 7608 7893 8908 8916 9015]\n# step=0 row=6081 minW=19 found cw of W=18: [4458 4464 5293 5294 5992 6239 6265 6494 6516 6616 6923 7017 7597 7608 7893 8908 8916 9015]\n# step=1 row=8330 minW=18 found cw of W=17: [7233 7342 7347 7480 7580 7596 7796 7875 8342 8380 8544 8551 8598 8726 8740 8841 9141]\n# step=1 row=9128 minW=17 found cw of W=15: [7342 7727 7730 8342 8380 8598 8726 8740 8841 9026 9038 9115 9206 9371 9599]\n# step=5 row=1013 minW=15 found cw of W=13: [630 1007 1045 1094 1296 1317 1397 1788 1796 2360 2428 3755 3769]\n# step=5 row=1246 minW=13 found cw of W=12: [630 1007 1282 1296 1317 1397 1788 1796 2360 2428 3755 3769]\n# step=5 row=8175 minW=12 found cw of W=11: [8378 8381 8788 8831 8958 8964 9012 9057 9382 9491 9605]\n# step=11 row=1057 minW=11 found cw of W=10: [673 847 848 1079 1098 1766 1769 2030 2033 2386]\n# step=11 row=2432 minW=10 found cw of W=8: [1766 1769 2030 2033 2366 2386 2472 2501]\n# step=41 row=2410 minW=8 found cw of W=7: [1763 1769 2438 2483 2538 2561 3633]\n# round=1000 of 1000 minW=7\nRW algorithm upper bound for the distance d=7\n</t>
  </si>
  <si>
    <t># step=0 row=0 minW=22559 found cw of W=194: [1 6 36 66 1503 1547 1659 1678 1831 1969 2010 2041 2062 2213 2405 2412 2428 2619 2626 3094 3101 3156 3513 4197 4340 4341 4386 4470 4663 4894 4964 5122 5194 5199 5702 5735 5752 5891 5969 6015 6296 6321 6396 6448 6960 7190 7298 7310 7321 7412 7431 7600 7769 7946 8117 8259 8273 8282 8290 8351 8362 8608 8626 8690 8721 8781 8801 8960 9091 9205 9273 9854 9877 10186 10193 10451 10514 10567 10580 10585 10629 10681 10779 10847 10951 11008 11189 11197 11234 11264 11304 11330 11339 11389 11499 11579 11705 11750 11815 11837 11894 12167 12192 12209 12214 12224 12302 12660 12711 12970 12987 13229 13274 13320 13353 13606 13681 13710 13731 13770 13795 13848 13896 13904 13944 14019 14054 14086 14174 14258 14383 14385 14483 14541 14578 14612 14744 14787 14816 14910 14956 14970 15132 15322 15512 15892 15896 16060 16090 16180 16191 16240 16291 16334 16355 16356 16382 16528 16581 16684 16817 16846 16867 17040 17164 17241 17597 17640 17658 17749 17890 17935 18023 18029 18125 18194 18292 18294 18828 18995 19087 19167 19221 19268 19330 19623 19734 20012 20296 20493 20878 21052 21585 22119]\n# step=0 row=4 minW=194 found cw of W=166: [5 6 1175 1547 1678 1859 1876 1887 2010 2041 2213 2292 2405 2428 2612 2619 2626 2735 3156 3513 4340 4341 4386 4470 4741 4882 5364 6053 6321 6960 6973 7190 7298 7313 7412 7542 7600 7617 7769 7946 7953 8273 8290 8351 8362 8370 8374 8393 8506 8801 8919 8960 9273 9877 10186 10305 10392 10451 10514 10567 10585 10599 10603 10779 10833 10847 11008 11185 11189 11234 11264 11304 11389 11469 11541 11719 11750 11815 12100 12151 12192 12214 12302 12355 12414 12445 12492 12597 12618 12743 12970 13076 13125 13229 13353 13356 13606 13681 13731 13770 13848 13896 13904 14054 14086 14234 14383 14483 14612 14717 14744 14787 14832 14910 14956 14970 15023 15075 15322 15373 15418 15500 15512 15818 15896 15900 15990 16060 16179 16180 16325 16334 16382 16528 16581 16846 16867 16898 17448 17554 17597 17608 17660 17749 17912 18023 18029 18125 18194 18294 18635 18827 18995 19188 19194 19221 19327 19330 19342 19475 19734 19826 19936 20012 20878 21052]\n# step=0 row=9 minW=166 found cw of W=155: [6 11 66 512 523 1074 1090 1175 1319 1503 1659 1678 1773 1831 1859 1867 1876 1887 2010 2041 2292 2302 2405 2428 2612 2619 2626 2735 2799 3156 3462 3513 4341 4349 4386 4627 4789 4964 5045 5095 5290 5364 5487 6053 6321 7190 7310 7313 7412 7431 7542 7597 7946 8282 8290 8362 8374 8459 8690 8781 8877 9205 9854 10186 10585 10603 10629 10681 10779 10833 10847 10864 10999 11008 11188 11189 11197 11264 11339 11366 11499 11541 11719 11750 12100 12167 12209 12249 12272 12355 12386 12468 12505 12618 12711 12970 13229 13274 13320 13353 13356 13501 13606 13731 13770 13783 13848 13865 13944 14086 14234 14258 14385 14483 14578 14832 14910 14956 15023 15075 15336 15892 15896 16090 16179 16180 16240 16291 16325 16355 16356 16370 16382 16404 16581 16686 16846 16898 17164 17749 18125 18194 18258 18259 18827 18833 18847 18995 19221 19226 19330 19623 20878 21052 21585]\n# step=0 row=26 minW=155 found cw of W=77: [28 36 1090 1547 1659 1678 1772 1831 1859 1887 1969 2010 2041 2118 2213 2428 4197 4340 4341 4420 4470 4741 4894 6973 7190 7313 7769 8282 8290 8362 8374 9205 10186 10305 10494 10580 10585 10629 10951 11185 11188 11197 11705 11750 12167 12192 12249 12272 12302 12355 12386 12505 12618 12970 13229 13320 13353 13356 13501 13770 13865 14019 14612 14816 14910 14956 14970 15014 15075 15322 15500 17241 17749 18125 18194 20878 21052]\n# step=0 row=7064 minW=77 found cw of W=59: [4340 4341 4627 4789 7190 7238 7298 7321 7769 8282 8290 8362 8374 9205 10186 10305 10494 10580 10585 10629 10951 11185 11188 11197 11705 11750 12167 12192 12249 12272 12302 12355 12386 12505 12618 12970 13229 13320 13353 13356 13501 13770 13865 14019 14612 14816 14910 14956 14970 15014 15075 15322 15500 17241 17749 18125 18194 20878 21052]\n# step=0 row=8077 minW=59 found cw of W=50: [6973 7313 7597 7600 7617 7759 8271 8273 8282 8351 8370 8626 8801 8919 9205 10389 10392 10585 10621 10681 10779 10864 11008 11113 11185 11188 11197 11469 11650 11719 11750 12100 12167 12192 12224 12249 12272 12386 12468 13274 14956 14970 15014 15075 15322 17749 18125 18194 20878 21052]\n# step=0 row=10741 minW=50 found cw of W=49: [8273 8282 8351 8370 8781 8801 8877 8919 8960 9205 9273 9854 10389 10392 10567 10580 10629 10681 10864 10951 10993 11113 11185 11188 11197 11469 11650 11719 11750 12100 12192 12224 12249 12272 12302 12468 13274 13353 13770 13783 13795 13944 14483 14541 14787 14816 14832 15014 15075]\n# step=0 row=10833 minW=49 found cw of W=48: [8273 8282 8351 8370 8781 8801 8877 8919 8960 9205 9273 9854 10389 10392 10567 10580 10629 10681 10864 11087 11113 11185 11188 11197 11469 11650 11719 11750 12100 12192 12224 12249 12272 12302 12468 13274 13353 13770 13783 13795 13944 14483 14541 14787 14816 14832 15014 15075]\n# step=0 row=14835 minW=48 found cw of W=47: [8282 8290 8362 8374 9205 9854 10599 10629 10864 10951 11008 11185 11188 11197 11650 11705 11750 12100 12167 12192 12224 12249 12272 12302 12386 12468 13353 13356 13501 13681 13770 13783 13795 13865 13896 13904 13944 14019 14483 14787 14816 15014 15075 15194 16060 18258 18259]\n# step=1 row=3162 minW=47 found cw of W=22: [911 920 1425 3118 3149 3228 3254 3331 3416 3579 3703 3712 3906 4303 5908 5911 6124 6130 6213 6244 6277 6431]\n# step=7 row=8764 minW=22 found cw of W=13: [6588 6590 7108 8735 8744 8975 8980 9334 9492 9493 9526 9722 9771]\n# step=10 row=11035 minW=13 found cw of W=11: [11317 11318 11801 11857 11906 12244 14406 14408 14813 14917 15194]\n# step=242 row=8876 minW=11 found cw of W=10: [5916 5918 8545 9095 9125 9487 9945 12156 12204 12416]\n# round=1000 of 1000 minW=10\nRW algorithm upper bound for the distance d=10\n</t>
  </si>
  <si>
    <t># step=0 row=0 minW=43502 found cw of W=240: [1 8 25 91 139 304 596 602 1670 1704 1732 1924 1987 1989 2025 2386 2442 2533 2674 2780 2875 3006 3037 3119 3671 3690 4285 4353 4531 5020 5214 6499 6704 6875 6961 7030 7070 7129 7223 7288 7360 7473 7730 7873 7948 8000 8243 8270 8316 8317 8368 8658 8923 9450 9485 9568 10758 10774 10792 10839 11066 11174 11293 11606 11634 11755 11799 11804 11814 11872 12000 12065 12081 12093 12169 12197 12208 12408 12443 12495 12543 12609 12714 12792 12793 12857 12905 13030 13089 13097 13155 13382 13407 13717 13783 13864 14025 14045 14450 14548 15276 15316 15374 15432 15453 15613 15682 15807 16094 16323 16759 17417 17420 17422 17492 17521 17726 18060 18101 18106 18255 19469 19540 19574 20253 20279 20355 20404 20445 21065 21662 21678 21679 21703 21818 21905 22023 22614 22691 23042 23046 23212 23575 23870 23910 23951 23970 24066 24071 24115 24128 24221 24290 24499 24576 24606 25091 25100 25285 25581 25588 25844 25911 25968 26050 26414 26487 26501 26576 26672 26700 27002 27035 27186 27225 27243 27526 27582 27795 27806 28061 28063 28347 28913 29306 29748 29796 29807 29850 29906 29941 30084 30234 30273 30687 30764 30772 30913 30960 31196 31282 31288 31668 31741 31831 31999 32012 32199 32392 32653 32687 32709 33776 33811 34412 34730 34823 34842 34846 34895 34927 35117 35262 35443 35553 35786 36436 36933 38809 39126 39255 39257 39306 39342 39515 39934 39942 39974 40237 40724]\n# step=0 row=6 minW=240 found cw of W=228: [7 8 1689 1732 2373 2386 2533 2620 2656 2780 3006 6704 6758 6779 6872 6961 6975 6987 7030 7066 7200 7223 7463 7890 7956 8464 10758 10774 10837 11066 11160 11174 11606 11634 11691 11755 11778 11799 11804 11814 11889 12113 12208 12250 12609 12714 12792 12793 12857 12905 12906 13009 13089 13097 13382 13391 13407 13700 13783 13844 13864 13917 14045 14450 14548 14550 15177 15210 15276 15317 15374 15432 15453 15613 15682 15738 15765 15807 16094 16150 16295 16323 16325 16339 16367 16509 16600 16829 16991 17105 17198 17420 17667 17690 17726 18224 18255 18795 19540 19589 20253 20355 20445 20504 20551 20688 20856 21065 21560 21662 21678 21679 21703 21905 21913 21934 22127 22184 22253 22282 22580 22614 22691 22817 23206 23212 23562 23818 23870 23910 23951 23958 23970 24121 24128 24424 24499 24576 24645 25091 25100 25285 25588 25844 25911 25968 26050 26414 26487 26492 26501 26576 26638 26672 26700 27035 27227 27243 27307 27526 27582 27771 27795 27806 28061 28063 28137 28347 28913 29306 29426 29748 29796 29807 29850 29941 30057 30234 30273 30687 30764 30772 30819 30903 30913 30925 30960 31196 31282 31288 31668 31741 31831 31872 31999 32091 32133 32199 32330 32392 32653 32687 32709 32736 34730 34823 34842 34846 34895 34927 35117 35262 35443 35553 35786 36436 36648 36703 36784 36933 39126 39255 39257 39306 39342 39934 39942 39974]\n# step=0 row=16 minW=228 found cw of W=225: [8 14 19 25 74 91 139 304 596 602 1924 1987 1989 2025 2533 2575 2620 2780 2875 3037 3119 3671 3690 4285 4353 4531 5020 5214 6430 6440 6499 6875 6975 6987 7070 7360 7463 7730 7873 7948 8270 8316 8317 8368 8658 8923 9450 9485 9568 10758 10774 10792 10794 10839 11160 11174 11334 11594 11634 11689 11755 11778 11799 11804 11814 11889 12065 12081 12093 12169 12197 12208 12397 12408 12495 12537 12609 12714 12792 12793 12905 13030 13097 13114 13155 13391 13719 13864 13917 14450 14550 14806 14809 15177 15316 15317 15318 15453 15578 15648 15716 15765 15807 15893 16295 16323 16509 16600 16759 16829 17172 17198 17210 17312 17346 17417 17420 17422 17521 17667 17933 18101 18162 18255 18556 18711 19079 19540 19569 19574 20856 21065 21560 21662 21678 21679 21703 21818 21905 21979 22147 22184 22253 22432 22614 22641 22797 23042 23046 23212 23575 23910 23951 23958 23970 25091 25106 25581 25844 25911 25968 26050 26414 26487 26492 26576 26672 26700 27002 27035 27243 27526 27582 27795 27806 28061 28063 28347 29426 29748 29796 29807 29850 29906 30234 30273 30687 30764 30772 30913 30960 31196 31282 31288 31668 31741 31831 31999 32012 32199 32392 32653 32687 32709 34730 34823 34842 34846 34895 34927 35117 35262 35443 35553 35786 36436 36933 39126 39255 39257 39306 39342 39934 39942 39974]\n# step=0 row=95 minW=225 found cw of W=180: [8 14 91 102 139 304 596 602 1670 1732 1924 2386 2575 2620 2651 2780 2854 2875 3037 3119 3671 3690 4285 4336 5214 6430 6499 6531 6704 6758 6779 6872 6875 6975 6987 7066 7070 7200 7223 7360 7473 7862 7948 7956 8131 8133 8270 8316 8317 8699 8923 9485 9549 10758 10839 11066 11160 11293 11599 11691 11720 11778 11799 11804 11872 11889 12053 12065 12081 12093 12197 12348 12408 12443 12495 12543 12609 12714 12733 12792 12793 12905 12906 13089 13097 13114 13155 13382 13407 13717 13719 13783 13864 13917 14045 14450 14550 14806 14809 15177 15202 15210 15316 15317 15318 15374 15432 15738 15765 16158 16317 16339 16367 16509 16600 16991 17105 17172 17198 17210 17346 17667 17933 18060 18106 18162 18556 18711 19079 19469 19569 20046 20047 20279 20404 20445 20654 20856 21560 21979 22023 22147 22184 22253 22432 22641 22691 22797 23870 23958 24066 24071 24115 24121 24221 24290 24360 24424 24645 24967 25091 25100 25106 25285 25588 26492 26501 27186 27225 28137 29486 29906 30084 33776 33811 34412 38809 39515 40237 40724]\n# step=0 row=110 minW=180 found cw of W=173: [8 14 91 117 139 304 596 602 1670 1689 1704 1732 1924 2373 2442 2620 2651 2780 2854 2875 3037 3119 3671 3690 4285 4336 5214 6430 6440 6531 6758 6779 6872 6875 6975 7030 7066 7070 7200 7288 7360 7473 7862 7948 7956 8149 8270 8316 8317 8699 8923 9485 9549 10792 10794 10839 11160 11174 11293 11334 11594 11599 11634 11689 11799 11804 11872 11889 12053 12065 12081 12093 12197 12348 12408 12443 12495 12537 12543 12609 12714 12733 12792 12793 12905 12906 13009 13030 13089 13114 13155 13382 13407 13700 13717 13719 13783 13844 13917 14025 14045 14548 14806 14809 15318 15453 15578 15648 15730 15738 15807 15893 16158 16295 16339 16509 16600 16907 17172 17198 17312 17492 17667 17933 18060 18162 18352 18556 18711 19079 19978 20001 20279 20404 20445 20795 20856 20927 21560 22023 22147 22184 22253 22432 22641 22691 22797 23818 23870 23958 24071 24128 24139 24221 24253 24290 24424 24528 24576 25100 25106 25285 25588 26492 27186 27225 28137 28678 28705 28913 28956 29306 29906]\n# step=0 row=112 minW=173 found cw of W=172: [8 14 91 119 139 304 596 602 1670 1689 1732 1924 2373 2442 2620 2651 2780 2854 2875 3037 3119 3671 3690 4285 4336 5214 6430 6440 6531 6758 6779 6872 6875 6975 7030 7066 7070 7200 7288 7360 7473 7862 7948 7956 8149 8270 8316 8317 8699 8923 9485 9549 10792 10794 10839 11160 11174 11293 11334 11594 11599 11634 11689 11799 11804 11872 11889 12053 12065 12081 12093 12197 12348 12408 12443 12495 12537 12543 12609 12714 12733 12792 12793 12905 12906 13009 13030 13089 13114 13155 13382 13407 13700 13717 13719 13783 13844 13917 14025 14045 14548 14806 14809 15318 15453 15578 15648 15730 15738 15807 15893 16158 16295 16339 16509 16600 16907 17172 17198 17312 17492 17667 17933 18060 18162 18352 18556 18711 19079 19978 20001 20279 20404 20445 20795 20856 20927 21560 22023 22147 22184 22253 22432 22641 22691 22797 23818 23870 23958 24071 24128 24139 24221 24253 24290 24424 24528 24576 25100 25106 25285 25588 26492 27186 27225 28137 28678 28705 28913 28956 29306 29906]\n# step=0 row=118 minW=172 found cw of W=128: [91 125 139 304 596 602 1657 1924 2373 2533 2620 2651 2656 2674 2780 2854 3037 3119 3671 3690 4285 4336 5214 6440 6499 6531 6975 6987 7066 7223 7288 7463 7862 7948 7956 8000 8131 8133 8243 8270 8316 8317 8699 8923 9485 9549 10758 10774 10792 10794 10839 11160 11174 11293 11516 11594 11599 11720 11799 11804 12000 12053 12065 12081 12093 12197 12348 12397 12408 12495 12537 12609 12714 12733 12792 12793 12857 12905 12906 13097 13155 13391 13864 14025 14450 14548 15202 15210 15276 15316 15453 15613 15682 15738 15765 15807 16094 16158 16295 16317 16323 16339 16367 16829 16991 17105 17312 17492 17726 20046 20047 20253 20307 20654 24066 24071 24115 24128 24221 24290 24499 24576 24606 24967 25581 28913 29306 29941]\n# step=0 row=121 minW=128 found cw of W=121: [91 128 139 304 596 602 1704 1924 2651 3037 3119 3671 3690 4285 4336 5214 6440 6499 6531 6975 6987 7066 7223 7288 7463 7862 7948 7956 8000 8131 8133 8243 8270 8316 8317 8699 8923 9485 9549 10758 10774 10792 10794 10839 11160 11174 11293 11516 11594 11599 11720 11799 11804 12000 12053 12065 12081 12093 12197 12348 12397 12408 12495 12537 12609 12714 12733 12792 12793 12857 12905 12906 13097 13155 13391 13864 14025 14450 14548 15202 15210 15276 15316 15453 15613 15682 15738 15765 15807 16094 16158 16295 16317 16323 16339 16367 16829 16991 17105 17312 17492 17726 20046 20047 20253 20307 20654 24066 24071 24115 24128 24221 24290 24499 24576 24606 24967 25581 28913 29306 29941]\n# step=0 row=130 minW=121 found cw of W=120: [91 137 139 304 596 602 1924 2651 3037 3119 3671 3690 4285 4336 5214 6440 6499 6531 6975 6987 7066 7223 7288 7463 7862 7948 7956 8000 8131 8133 8243 8270 8316 8317 8699 8923 9485 9549 10758 10774 10792 10794 10839 11160 11174 11293 11516 11594 11599 11720 11799 11804 12000 12053 12065 12081 12093 12197 12348 12397 12408 12495 12537 12609 12714 12733 12792 12793 12857 12905 12906 13097 13155 13391 13864 14025 14450 14548 15202 15210 15276 15316 15453 15613 15682 15738 15765 15807 16094 16158 16295 16317 16323 16339 16367 16829 16991 17105 17312 17492 17726 20046 20047 20253 20307 20654 24066 24071 24115 24128 24221 24290 24499 24576 24606 24967 25581 28913 29306 29941]\n# step=0 row=564 minW=120 found cw of W=87: [581 602 862 1141 1167 1987 4281 4336 5138 5175 5751 7956 8000 8133 8149 8243 8658 8681 8699 8850 9450 9568 10758 10774 10792 10839 11160 11174 11599 11606 11778 11799 11804 12000 12053 12197 12348 12397 12408 12495 12609 12733 13097 13155 13391 13717 13783 13844 13864 14450 14548 14550 15202 15210 15316 15317 15453 15613 15682 15738 15765 15807 16158 16317 16323 16339 16829 16991 17105 17726 20046 20047 20253 20654 24121 24128 24360 24424 24499 24576 24606 24967 25581 28137 28913 29306 29941]\n# step=0 row=832 minW=87 found cw of W=86: [860 862 1141 1167 1987 4281 4336 5138 5175 5751 7956 8000 8133 8149 8243 8658 8681 8699 8850 9450 9568 10758 10774 10792 10839 11160 11174 11599 11606 11778 11799 11804 12000 12053 12197 12348 12397 12408 12495 12609 12733 13097 13155 13391 13717 13783 13844 13864 14450 14548 14550 15202 15210 15316 15317 15453 15613 15682 15738 15765 15807 16158 16317 16323 16339 16829 16991 17105 17726 20046 20047 20253 20654 24121 24128 24360 24424 24499 24576 24606 24967 25581 28137 28913 29306 29941]\n# step=0 row=4283 minW=86 found cw of W=80: [1141 1167 2025 4281 4285 4336 4353 4399 4531 5138 5175 5214 5751 6499 6531 7463 7473 7862 7873 7948 8131 8133 8149 8243 8316 8317 8658 8699 8837 8850 8923 9450 9485 9549 10792 10837 11634 11689 11691 11720 11778 11799 11872 11889 12065 12081 12093 12113 12250 12348 12397 12443 12714 12792 12793 12857 12905 12906 13089 13097 13114 13382 13391 13407 13717 13783 13844 13917 14025 14045 14550 15177 15210 15276 15317 16829 16907 16991 17105 17726]\n# step=0 row=4550 minW=80 found cw of W=67: [1987 4285 4671 5138 5751 6499 6531 6987 7030 7066 7070 7129 7360 7463 7531 7540 7890 8000 8101 8133 8464 9485 9549 10758 10774 10794 10837 11160 11293 11516 11594 11606 11689 11755 11778 11799 11872 12000 12197 12208 12250 12443 12543 12714 12792 12793 12905 12906 13009 13097 13700 14548 15210 16094 16339 16367 16991 17105 17312 17492 20355 24645 25091 25581 29426 29486 29906]\n# step=0 row=4981 minW=67 found cw of W=66: [1987 2025 4285 4336 4353 4531 5111 7862 7873 7948 8000 8316 8317 8681 8837 8923 9450 9549 9568 9943 9949 10792 10837 10839 11599 11606 11634 11689 11691 11720 11755 11799 11872 12000 12053 12065 12081 12093 12197 12250 12408 12443 12495 12714 12733 12792 12793 12857 12905 12906 13009 13155 13391 13700 13717 13783 13831 13844 13864 15177 15202 16339 16829 17312 17492 17726]\n# step=1 row=333 minW=66 found cw of W=65: [273 319 347 490 538 565 891 892 1784 1902 3072 3195 3503 3811 3886 3912 5174 5177 6501 6502 6928 6936 7246 7270 7283 7301 7430 7431 7480 7537 7561 7650 7692 7695 7792 7943 8079 8081 8090 8099 8155 8228 8381 8558 8765 8966 9000 11583 11940 12071 12179 12380 12433 12450 12480 12495 12499 12521 12625 12691 12705 12854 13331 15172 16887]\n# step=1 row=547 minW=65 found cw of W=63: [565 571 891 892 1784 1902 1935 3072 3501 3503 3670 3695 3912 4664 5174 5177 6501 6502 6928 6936 7246 7270 7283 7301 7430 7431 7480 7561 7692 7695 7792 8054 8155 8228 8381 8706 8765 8898 8966 9579 9708 11583 11940 12071 12179 12480 12495 12521 12691 12705 12854 13118 13134 13250 13331 13405 15172 15194 16815 16887 17477 17567 17579]\n# step=1 row=3036 minW=63 found cw of W=54: [3072 3129 3195 3501 3503 3695 3912 6501 6502 6928 6936 7246 7270 7283 7301 7430 7431 7480 7537 7561 7650 7692 7695 7792 8081 8090 8099 8228 8381 8706 8898 8966 9579 9708 11583 11940 12071 12179 12450 12480 12521 12691 12705 12854 13035 13134 13250 13331 15172 16815 16887 17477 17567 17579]\n# step=1 row=3116 minW=54 found cw of W=53: [3195 3210 3501 3503 3695 3912 6501 6502 6928 6936 7246 7270 7283 7301 7430 7431 7480 7537 7561 7650 7692 7695 7792 8081 8090 8099 8228 8381 8706 8898 8966 9579 9708 11583 11940 12071 12179 12450 12480 12521 12691 12705 12854 13035 13134 13250 13331 15172 16815 16887 17477 17567 17579]\n# step=1 row=3597 minW=53 found cw of W=51: [1784 3072 3695 3701 6501 6502 6928 6936 7246 7270 7283 7301 7430 7431 7480 7537 7561 7650 7692 7695 7792 8081 8090 8099 8228 8381 8706 8898 8966 9579 9708 11583 11940 12071 12179 12450 12480 12521 12691 12705 12854 13035 13134 13250 13331 15172 16815 16887 17477 17567 17579]\n# step=1 row=6294 minW=51 found cw of W=50: [1784 3072 6459 6501 6502 6928 6936 7246 7270 7283 7301 7430 7431 7480 7537 7561 7650 7692 7695 7792 8081 8090 8099 8228 8381 8706 8898 8966 9579 9708 11583 11940 12071 12179 12450 12480 12521 12691 12705 12854 13035 13134 13250 13331 15172 16815 16887 17477 17567 17579]\n# step=1 row=7347 minW=50 found cw of W=45: [1784 3072 6501 6502 6928 6936 7246 7270 7283 7301 7430 7431 7480 7536 7537 7561 7650 7692 7695 7792 8054 8081 8090 8099 8228 8381 8765 8966 9043 11583 11940 12071 12179 12450 12480 12499 12521 12625 12691 12705 12854 13331 13405 15172 16887]\n# step=4 row=13665 minW=45 found cw of W=38: [794 798 841 909 1110 1166 1934 2110 2236 3945 4320 4337 5055 5075 5077 5146 5605 5719 6115 6581 6615 9302 9321 9860 9862 9961 10387 13977 14188 14256 14490 14637 14640 14924 14929 15087 15089 15358]\n# step=6 row=40857 minW=38 found cw of W=37: [36914 37037 37428 37441 37607 37701 37712 37794 38016 38047 38122 38296 38603 38745 38801 38804 38891 39548 39588 39625 39744 40022 40111 40251 40362 40382 40434 40494 41511 41792 42646 42867 42983 42995 43002 43096 43310]\n# step=21 row=40131 minW=37 found cw of W=36: [34753 34760 34779 34784 34925 34954 34969 34980 35122 35551 35604 36105 36107 36924 39088 39233 39452 39836 39909 39947 40119 40126 40314 40457 40644 40852 40949 41040 41044 41049 41136 41173 42531 43357 43379 43397]\n# step=21 row=40135 minW=36 found cw of W=35: [34753 34760 34779 34784 34925 34954 34969 34980 35122 35551 35604 36105 36107 36924 39088 39233 39452 39836 39909 39947 40119 40126 40314 40457 40644 40852 40949 41040 41044 41053 41143 41173 42531 43379 43397]\n# step=25 row=2224 minW=35 found cw of W=20: [465 471 674 676 1539 1546 1777 1859 2047 2291 2883 2909 3445 3533 5280 6400 6672 6897 7172 7176]\n# step=150 row=506 minW=20 found cw of W=19: [526 527 750 757 1072 1077 1915 2204 3423 3472 3982 4303 4621 4906 4989 5708 5829 6553 8177]\n# step=690 row=19781 minW=19 found cw of W=18: [10890 10936 12357 12394 12501 12638 13401 16211 16238 16637 16638 19998 20001 20041 20060 20249 20260 23827]\n# step=713 row=6688 minW=18 found cw of W=16: [1928 2066 3298 3304 3944 4713 6418 6512 6870 6906 6915 6976 7009 7192 7303 7626]\n# round=1000 of 1000 minW=16\nRW algorithm upper bound for the distance d=16\n</t>
  </si>
  <si>
    <t># step=0 row=0 minW=170 found cw of W=27: [1 4 6 11 13 21 25 33 34 47 62 84 103 104 108 121 124 126 128 140 141 142 153 154 155 161 164]\n# step=0 row=12 minW=27 found cw of W=25: [21 22 27 28 34 42 45 46 62 84 103 104 108 121 124 126 128 140 141 142 153 154 155 161 164]\n# step=0 row=35 minW=25 found cw of W=19: [27 28 33 34 37 42 45 47 49 51 68 71 72 73 91 93 94 95 98]\n# step=0 row=36 minW=19 found cw of W=17: [27 28 33 34 37 42 45 47 49 51 68 71 72 74 75 95 98]\n# step=1 row=4 minW=17 found cw of W=15: [2 4 5 11 13 22 24 37 48 67 85 109 112 132 146]\n# round=1000 of 1000 minW=15\nRW algorithm upper bound for the distance d=15\n</t>
  </si>
  <si>
    <t>outfile: /home/ucapmwe/dist-benchmark/results/stim_circuit-04_colorcodes_superdense-QDistEvol-20260117_152146.401842_85062422.txt</t>
  </si>
  <si>
    <t>Gen:0 Trial:0 w:3; pErr:0.0000, weight 3 CW found:81, wDict:3:1000</t>
  </si>
  <si>
    <t>Gen:0 Trial:0 w:5; pErr:0.0000, weight 5 CW found:612, wDict:5:999,7:1</t>
  </si>
  <si>
    <t>Gen:0 Trial:0 w:7; pErr:0.0000, weight 7 CW found:152, wDict:7:986,8:13,9:1</t>
  </si>
  <si>
    <t>Gen:0 Trial:0 w:9; pErr:0.0000, weight 9 CW found:98, wDict:9:982,10:14,11:1,12:1,13:2</t>
  </si>
  <si>
    <t>Gen:0 Trial:0 w:15; Trial:1 w:13; Gen:71 Trial:711 w:12; pErr:0.0000, weight 12 CW found:11, wDict:12:276,13:706,14:13,15:4,18:1</t>
  </si>
  <si>
    <t>Gen:0 Trial:0 w:15; pErr:0.0000, weight 15 CW found:395, wDict:15:984,17:13,19:3</t>
  </si>
  <si>
    <t>outfile: /home/ucapmwe/dist-benchmark/results/stim_circuit-04_colorcodes_superdense-QDistEvol-20260117_152239.367180_85062422.txt</t>
  </si>
  <si>
    <t>Gen:0 Trial:0 w:3; pErr:0.0000, weight 3 CW found:122, wDict:3:999,4:1</t>
  </si>
  <si>
    <t>Gen:0 Trial:0 w:5; pErr:0.0000, weight 5 CW found:32, wDict:5:990,6:5,7:2,8:2,9:1</t>
  </si>
  <si>
    <t>Gen:0 Trial:0 w:9; pErr:0.0000, weight 9 CW found:21, wDict:9:988,11:3,13:2,14:1,16:1,19:1,21:1,23:1,24:1,26:1</t>
  </si>
  <si>
    <t>Gen:0 Trial:0 w:48; Trial:1 w:41; Trial:2 w:35; Trial:3 w:27; Gen:2 Trial:29 w:26; Gen:27 Trial:278 w:18; Gen:29 Trial:299 w:16; pErr:0.0000, weight 16 CW found:10, wDict:16:695,18:22,22:3,26:246,27:23,28:2,33:1,35:1,36:1,40:3,41:1,44:1,48:1</t>
  </si>
  <si>
    <t>Gen:0 Trial:0 w:51; Trial:5 w:42; Trial:8 w:24; pErr:0.0000, weight 24 CW found:5, wDict:24:987,31:1,42:1,51:1,62:1,66:4,69:1,79:1,108:1,112:1,123:1</t>
  </si>
  <si>
    <t>Gen:0 Trial:0 w:15; pErr:0.0000, weight 15 CW found:217, wDict:15:989,17:8,19:2,21:1</t>
  </si>
  <si>
    <t>outfile: /home/ucapmwe/dist-benchmark/results/stim_circuit-04_colorcodes_superdense-QDistRndMW-20260117_152146.399855_85062422.txt</t>
  </si>
  <si>
    <t>Trial:0 w:3; pErr:0.0000, weight 3 CW found:95, wDict:3:998,4:2</t>
  </si>
  <si>
    <t>Trial:0 w:5; pErr:0.3223, weight 5 CW found:6324, wDict:5:913,6:76,7:10,8:1</t>
  </si>
  <si>
    <t>Trial:0 w:7; pErr:0.3679, weight 7 CW found:4336, wDict:7:617,8:259,9:87,10:20,11:10,12:5,13:1,16:1</t>
  </si>
  <si>
    <t>Trial:0 w:10; Trial:5 w:9; pErr:0.3679, weight 9 CW found:3198, wDict:9:273,10:255,11:223,12:150,13:54,14:25,15:11,16:4,17:2,18:2,21:1</t>
  </si>
  <si>
    <t>Trial:0 w:13; Trial:11 w:12; Trial:14 w:11; pErr:0.3679, weight 11 CW found:2523, wDict:11:86,12:124,13:164,14:193,15:132,16:110,17:72,18:52,19:23,20:17,21:12,22:8,23:2,24:2,27:2,28:1</t>
  </si>
  <si>
    <t>Trial:0 w:21; Trial:1 w:15; pErr:0.3628, weight 15 CW found:2151, wDict:15:315,17:361,19:209,21:77,23:22,25:13,27:2,41:1</t>
  </si>
  <si>
    <t>outfile: /home/ucapmwe/dist-benchmark/results/stim_circuit-04_colorcodes_superdense-QDistRndMW-20260117_152146.402471_85062422.txt</t>
  </si>
  <si>
    <t>Trial:0 w:3; pErr:0.0153, weight 3 CW found:830, wDict:3:926,4:68,5:6</t>
  </si>
  <si>
    <t>Trial:0 w:7; Trial:1 w:5; pErr:0.3679, weight 5 CW found:2195, wDict:5:224,6:271,7:184,8:152,9:88,10:47,11:23,12:7,13:2,14:2</t>
  </si>
  <si>
    <t>Trial:0 w:12; Trial:8 w:11; Trial:11 w:10; Trial:12 w:9; Trial:44 w:8; Trial:162 w:7; pErr:0.3679, weight 7 CW found:1368, wDict:7:6,8:21,9:39,10:74,11:88,12:85,13:90,14:93,15:82,16:84,17:69,18:57,19:36,20:43,21:31,22:23,23:17,24:18,25:12,26:9,27:5,28:4,29:2,30:4,31:4,32:2,34:1,35:1</t>
  </si>
  <si>
    <t>Trial:0 w:23; Trial:4 w:16; Trial:17 w:14; Trial:61 w:11; Trial:283 w:10; Trial:901 w:9; pErr:0.3679, weight 9 CW found:134, wDict:9:1,10:1,11:6,12:9,13:12,14:8,15:15,16:14,17:18,18:23,19:29,20:25,21:24,22:37,23:38,24:41,25:38,26:43,27:32,28:33,29:37,30:37,31:41,32:35,33:25,34:35,35:20,36:32,37:28,38:24,39:26,40:23,41:16,42:20,43:18,44:17,45:21,46:9,47:6,48:8,49:7,50:5,51:5,52:9,53:8,54:8,55:5,56:3,57:3,58:2,59:2,60:5,61:1,63:1,64:1,65:1,66:1,68:1,70:1,71:1,72:1,79:1,80:1,89:2</t>
  </si>
  <si>
    <t>Trial:0 w:50; Trial:7 w:36; Trial:17 w:34; Trial:51 w:32; Trial:55 w:22; Trial:175 w:19; Trial:348 w:15; pErr:0.3679, weight 15 CW found:860, wDict:15:2,17:2,19:2,20:3,21:1,22:5,23:6,24:6,25:3,26:5,27:9,28:6,29:5,30:9,31:8,32:10,33:12,34:14,35:17,36:14,37:15,38:14,39:16,40:17,41:12,42:12,43:16,44:15,45:22,46:17,47:17,48:17,49:15,50:17,51:13,52:22,53:28,54:18,55:15,56:18,57:12,58:18,59:17,60:15,61:25,62:15,63:10,64:19,65:10,66:9,67:11,68:10,69:16,70:15,71:9,72:13,73:14,74:20,75:9,76:11,77:9,78:9,79:12,80:6,81:7,82:7,83:10,84:6,85:4,86:4,87:4,88:9,89:7,90:5,91:10,92:7,93:8,94:8,95:3,96:3,97:2,98:2,99:2,100:3,101:4,102:1,103:5,104:3,105:4,106:3,107:2,108:2,109:4,110:5,111:4,112:3,113:2,114:4,115:5,116:5,117:5,118:1,119:2,120:1,121:1,122:2,123:2,126:2,127:1,128:1,131:1,132:1,133:1,134:2,138:1,139:1,141:1,144:2,147:1,148:1,150:1,151:1,152:1,153:1,154:1,155:1,159:2,160:1,163:1,172:1,178:1,183:1,200:1</t>
  </si>
  <si>
    <t>Trial:0 w:17; Trial:2 w:15; pErr:0.3648, weight 15 CW found:2239, wDict:15:311,17:365,19:204,21:74,23:36,25:7,29:3</t>
  </si>
  <si>
    <t>-F</t>
  </si>
  <si>
    <t># wmax=99 found cw of weight 3: [0 1 20]\n3\n</t>
  </si>
  <si>
    <t># wmax=99 found cw of weight 5: [0 1 18 51 78]\n5\n</t>
  </si>
  <si>
    <t># wmax=99 found cw of weight 7: [0 1 18 52 105 145 172]\n7\n</t>
  </si>
  <si>
    <t># wmax=99 found cw of weight 15: [0 1 7 14 26 39 57 76 100 118 135 147 158 164 168]\n15\n</t>
  </si>
  <si>
    <t>resume: 1</t>
  </si>
  <si>
    <t>outfile: /home/ucapmwe/dist-benchmark/results/stim_circuit-04_colorcodes_superdense-MIPDist-SCIP-20260116_091621.201465_85062422.txt</t>
  </si>
  <si>
    <t>w:3; T:154ms; iterations:765</t>
  </si>
  <si>
    <t>w:5; T:14229ms; iterations:46243</t>
  </si>
  <si>
    <t>w:7; T:9720887ms; iterations:26852439</t>
  </si>
  <si>
    <t>w:9; T:28800076ms; iterations:22687720</t>
  </si>
  <si>
    <t>w:11; T:28800100ms; iterations:10113113</t>
  </si>
  <si>
    <t>w:15; T:645225ms; iterations:3261972</t>
  </si>
  <si>
    <t>outfile: /home/ucapmwe/dist-benchmark/results/stim_circuit-04_colorcodes_superdense-CLISATDist-20260116_091621.164308_85062422.txt</t>
  </si>
  <si>
    <t>c Parsing MaxSAT file...\nc ============================[  Problem Statistics ]============================\nc |  Number of variables:           212                                         |\nc |  Number of clauses:             594                                         |\nc ===============================================================================\nc Using SCIP solver, version 7.0.3, https://www.scipopt.org\nc scip_time = 0.000000\nc Starting SCIP solver in a separate thread (with time-limit = 0s) ...\nc Using COMiniSatPS SAT solver by Chanseok Oh (2016)\no 9\no 8\no 3\nc _x001B_[1mOptimal solution: 3_x001B_[0m\nc _______________________________________________________________________________\nc \nc restarts               : 328\nc conflicts              : 2817           (46072 /sec)\nc decisions              : 8525           (0.00 % random) (139427 /sec)\nc propagations           : 86762          (1419001 /sec)\nc conflict literals      : 61194          (5.06 % deleted)\nc =======================[ UWrMaxSat resources usage ]===========================\nc Memory used            : 151.00 MB\nc CPU time               : 0.061143 s\nc Wall clock time        : 0 s\nc OptExp Enc: Srt/BDD/Add: 6 0 0\nc _______________________________________________________________________________\nv 000110000000000000000000000001000000000000000000000000000000000000000000001001010101000000000000101000000001010001010100010001000001000000000000000000000001000001000010000000000101000000000000000000100101000000000000000000101\ns OPTIMUM FOUND\n</t>
  </si>
  <si>
    <t>c Parsing MaxSAT file...\nc ============================[  Problem Statistics ]============================\nc |  Number of variables:          1619                                         |\nc |  Number of clauses:            4702                                         |\nc ===============================================================================\nc Using SCIP solver, version 7.0.3, https://www.scipopt.org\nc scip_time = 0.000000\nc Starting SCIP solver in a separate thread (with time-limit = 0s) ...\nc Using COMiniSatPS SAT solver by Chanseok Oh (2016)\no 9\no 8\no 5\nc _x001B_[1mOptimal solution: 5_x001B_[0m\nc _______________________________________________________________________________\nc \nc restarts               : 763\nc conflicts              : 89932          (6418 /sec)\nc decisions              : 235930         (0.00 % random) (16837 /sec)\nc propagations           : 37613306       (2684315 /sec)\nc conflict literals      : 4455104        (34.74 % deleted)\nc =======================[ UWrMaxSat resources usage ]===========================\nc Memory used            : 157.00 MB\nc CPU time               : 14.0123 s\nc Wall clock time        : 14 s\nc OptExp Enc: Srt/BDD/Add: 15 0 0\nc _______________________________________________________________________________\nv 000000000000000000000000000000000000000000000000000000000000000000000000000000000000000000000000000000000000000000000000000000000000000000000000100010001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101000100000000011001101000000000000110110010000101100100011011000101000001010001000000010100101011001001101010000000000010000010000000100010000010000000000000000000000000000001000000001000000000000010010000000000000000000000000000000000000000000000000000000000000100000000100000000000000000000000000000000000000000000000000001000001000000010100000000000001000000000000000010000010000000100010000010000000000000000000000000000001000000001000000000000010010000000000000000000000000000000000000000000000000000000000000100000000100000000000000000000000000000000000000000000000000001000001000010000000000101000000000000000000010010100000000000000000000000000000000000000000000100001000001000000000000000000000001000000000000000000000000000000000000000000000000000000000000000000000100000001000000000000000001001000000000000000000000000000101\ns OPTIMUM FOUND\n</t>
  </si>
  <si>
    <t>c Parsing MaxSAT file...\nc ============================[  Problem Statistics ]============================\nc |  Number of variables:          5141                                         |\nc |  Number of clauses:           15122                                         |\nc ===============================================================================\nc Using SCIP solver, version 7.0.3, https://www.scipopt.org\nc scip_time = 0.000000\nc Starting SCIP solver in a separate thread (with time-limit = 0s) ...\nc Using COMiniSatPS SAT solver by Chanseok Oh (2016)\no 25\no 15\no 7\nc _x001B_[1mOptimal solution: 7_x001B_[0m\nc _______________________________________________________________________________\nc \nc restarts               : 77617\nc conflicts              : 23988164       (1093 /sec)\nc decisions              : 36851819       (0.00 % random) (1679 /sec)\nc propagations           : 34434309775    (1569025 /sec)\nc conflict literals      : 1557053923     (51.29 % deleted)\nc =======================[ UWrMaxSat resources usage ]===========================\nc Memory used            : 3458.00 MB\nc CPU time               : 21946.3 s\nc Wall clock time        : 22018 s\nc OptExp Enc: Srt/BDD/Add: 28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10000000000000000000000000000000000000000000000000000000000000001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1001000000000000000000000000000000000000000000000000000000000000000000000000000000000000100000000000000000000000100100000000000000000000000000000000000000000000000000000000000000000000000000000000000000000000000000000000000000000000000000000000000000010010100000000001000010010000000000000000000000000000000000000000000000000000000000000000000000000000000000000000000000000000000000000000000000000001001000010000000000000000000000000010010000000000000000000000000000000000010000000000000000000000000000000000100100100100100100010001101000001001000000000000000000000100000001010000000000010101000000000000000000000000000100000000000000000000000000001001000000000000000000000000000000000010000000000000000001010110100000000000000000000000000000000000000000000000000000000000000000000000000000000000000000000001001000000000100000001000010010000000000000000000000000000000000000000000000000000000000000000000000000000000000000000000010010000100000000000000000000000000000010010000000000000000000000000000000000000000000000000001000000000000000100100100100100100010010001100000100000000000000000000000000000000000000000000000000000000000000000000000000000000000000000000000000000000001100100000101000000000000000000100000100000000100100000000000000000000000000000000000000000000000000000000000001000000000000000001001000000000000000000000000000000000000000000000000000000000000000010010000000000000010111000001000000000000000000100100100000000000000000000000000000000000000000000000000000000000000000000100100000000000000000000000000000000000000000000000000000000000000000000000000000000000000010100100000000100000000000000000000000000000000000000000000000000000000000000000000000000000000000000000000000000000000000000000000000000000000000000000010000000010000000000000100100000000000000000000000000000000000000000000000000000000000000000000000000000000000000100000000100000000000000000000000000000000000000000000000000001000001000010000000000101000000000000000000010010100000000000000000000000000000000000000000000100001000001000000000000000000000001000000000000000000000000000000000000000000000000000000000000000000000000000000000000001000000010000000000000000001001000000000000000000000000000000000000000000000000000000000000000000000000000000000000000000000000000000000000000000000000000000000000000000000000000000000000010000100000100000000000000000000000100000000000000000000000000000000000000000000000000000000000000000000000000100000001000000000000000001001000000000000000000000000000101\ns OPTIMUM FOUND\n</t>
  </si>
  <si>
    <t>c Parsing MaxSAT file...\nc ============================[  Problem Statistics ]============================\nc |  Number of variables:         11790                                         |\nc |  Number of clauses:           34902                                         |\nc ===============================================================================\nc Using SCIP solver, version 7.0.3, https://www.scipopt.org\nc scip_time = 0.000000\nc Starting SCIP solver in a separate thread (with time-limit = 0s) ...\nc Using COMiniSatPS SAT solver by Chanseok Oh (2016)\no 23\no 14\no 11\n</t>
  </si>
  <si>
    <t>c Parsing MaxSAT file...\nc ============================[  Problem Statistics ]============================\nc |  Number of variables:         22556                                         |\nc |  Number of clauses:           67030                                         |\nc ===============================================================================\nc Using SCIP solver, version 7.0.3, https://www.scipopt.org\nc scip_time = 0.000000\nc Starting SCIP solver in a separate thread (with time-limit = 0s) ...\nc Using COMiniSatPS SAT solver by Chanseok Oh (2016)\no 37\no 17\n</t>
  </si>
  <si>
    <t>c Parsing MaxSAT file...\nc ============================[  Problem Statistics ]============================\nc |  Number of variables:           476                                         |\nc |  Number of clauses:            1398                                         |\nc ===============================================================================\nc Using SCIP solver, version 7.0.3, https://www.scipopt.org\nc scip_time = 0.000000\nc Starting SCIP solver in a separate thread (with time-limit = 0s) ...\nc Using COMiniSatPS SAT solver by Chanseok Oh (2016)\no 15\nc _x001B_[1mOptimal solution: 15_x001B_[0m\nc _______________________________________________________________________________\nc \nc restarts               : 4384\nc conflicts              : 533666         (6576 /sec)\nc decisions              : 747570         (0.00 % random) (9212 /sec)\nc propagations           : 98187213       (1209910 /sec)\nc conflict literals      : 13877375       (34.03 % deleted)\nc =======================[ UWrMaxSat resources usage ]===========================\nc Memory used            : 152.00 MB\nc CPU time               : 81.1525 s\nc Wall clock time        : 82 s\nc OptExp Enc: Srt/BDD/Add: 112 0 0\nc _______________________________________________________________________________\nv 001100001000000100000000000100000000000010000000000000000010000000000000000001000000000000000000000001000000000000000001000000000000000010000000000010000000000100000100100110001001010011000000000010010000100000000000000001010011000000000000000000000000010010000100000000000000000000000000000001010011000000000000000000000000000000000000000010010000100000000000000000000000000000000000000000000010100110000000000000000000000000000000000000001001000010000000000000000000000000000001010011000000000000000000000000100100001000000000000000101001100000000010010000101\ns OPTIMUM FOUND\n</t>
  </si>
  <si>
    <t>outfile: /home/ucapmwe/dist-benchmark/results/stim_circuit-04_colorcodes_superdense-GurobiDist-20260116_091621.201494_85062422.txt</t>
  </si>
  <si>
    <t>Exact Methods</t>
  </si>
  <si>
    <t>Heuristic Methods</t>
  </si>
  <si>
    <t>l|</t>
  </si>
  <si>
    <t>nMax: 288</t>
  </si>
  <si>
    <t>outfile: /home/ucapmwe/dist-benchmark/results/stim_circuit-04_colorcodes_superdense-ColourCodeDistStim-20260120_131503.050405_85062422.txt</t>
  </si>
  <si>
    <t>dont_explore_detection_event_sets_with_size_above=3,dont_explore_edges_with_degree_above=12; Found w:3</t>
  </si>
  <si>
    <t>dont_explore_detection_event_sets_with_size_above=3,dont_explore_edges_with_degree_above=54; Found w:5</t>
  </si>
  <si>
    <t>dont_explore_detection_event_sets_with_size_above=3,dont_explore_edges_with_degree_above=144; Found w:7</t>
  </si>
  <si>
    <t>dont_explore_detection_event_sets_with_size_above=3,dont_explore_edges_with_degree_above=300; Found w:9</t>
  </si>
  <si>
    <t>dont_explore_detection_event_sets_with_size_above=3,dont_explore_edges_with_degree_above=540; Found w:11</t>
  </si>
  <si>
    <t>dont_explore_detection_event_sets_with_size_above=3,dont_explore_edges_with_degree_above=84; Found w:15</t>
  </si>
  <si>
    <t>nMin: 289</t>
  </si>
  <si>
    <t>outfile: /home/ucapmwe/dist-benchmark/results/stim_circuit-04_colorcodes_superdense-GraphLikeErrorStim-20260120_131503.056896_85062422.txt</t>
  </si>
  <si>
    <t>dont_explore_detection_event_sets_with_size_above=2,dont_explore_edges_with_degree_above=2; Found w:3</t>
  </si>
  <si>
    <t>dont_explore_detection_event_sets_with_size_above=2,dont_explore_edges_with_degree_above=2; Found w:5</t>
  </si>
  <si>
    <t>dont_explore_detection_event_sets_with_size_above=2,dont_explore_edges_with_degree_above=2; Found w:7</t>
  </si>
  <si>
    <t>dont_explore_detection_event_sets_with_size_above=2,dont_explore_edges_with_degree_above=2; Found w:9</t>
  </si>
  <si>
    <t>dont_explore_detection_event_sets_with_size_above=2,dont_explore_edges_with_degree_above=2; Found w:11</t>
  </si>
  <si>
    <t>dont_explore_detection_event_sets_with_size_above=2,dont_explore_edges_with_degree_above=2; Found w:15</t>
  </si>
  <si>
    <t>outfile: /home/ucapmwe/dist-benchmark/results/stim_circuit-04_colorcodes_superdense-UndetectableErrorStim-20260120_131503.050395_85062422.txt</t>
  </si>
  <si>
    <t>dont_explore_detection_event_sets_with_size_above=2,dont_explore_edges_with_degree_above=12; Found w:3; dont_explore_detection_event_sets_with_size_above=3,dont_explore_edges_with_degree_above=12; Found w:3; Breaking - same result 2 times</t>
  </si>
  <si>
    <t>dont_explore_detection_event_sets_with_size_above=2,dont_explore_edges_with_degree_above=54; Found w:5; dont_explore_detection_event_sets_with_size_above=3,dont_explore_edges_with_degree_above=54; Found w:5; Breaking - same result 2 times</t>
  </si>
  <si>
    <t>dont_explore_detection_event_sets_with_size_above=2,dont_explore_edges_with_degree_above=144; Found w:7; dont_explore_detection_event_sets_with_size_above=3,dont_explore_edges_with_degree_above=144; Found w:7; Breaking - same result 2 times</t>
  </si>
  <si>
    <t>dont_explore_detection_event_sets_with_size_above=2,dont_explore_edges_with_degree_above=300; Found w:9; dont_explore_detection_event_sets_with_size_above=3,dont_explore_edges_with_degree_above=300; Found w:9; Breaking - same result 2 times</t>
  </si>
  <si>
    <t>dont_explore_detection_event_sets_with_size_above=2,dont_explore_edges_with_degree_above=540; Found w:11; dont_explore_detection_event_sets_with_size_above=3,dont_explore_edges_with_degree_above=540; Found w:11; Breaking - same result 2 times</t>
  </si>
  <si>
    <t>dont_explore_detection_event_sets_with_size_above=2,dont_explore_edges_with_degree_above=84; Found w:15; dont_explore_detection_event_sets_with_size_above=3,dont_explore_edges_with_degree_above=84; Found w:15; Breaking - same result 2 times</t>
  </si>
  <si>
    <t>GEStim</t>
  </si>
  <si>
    <t>CCSTim</t>
  </si>
  <si>
    <t>Incr</t>
  </si>
  <si>
    <t>Decr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</si>
</sst>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EE69-17FF-C643-948A-F2ABFE194E3B}">
  <sheetPr codeName="Sheet1"/>
  <dimension ref="A4:Y23"/>
  <sheetViews>
    <sheetView tabSelected="1" topLeftCell="B2" workbookViewId="0">
      <selection activeCell="G9" sqref="G9"/>
    </sheetView>
  </sheetViews>
  <sheetFormatPr baseColWidth="10" defaultRowHeight="16" x14ac:dyDescent="0.2"/>
  <sheetData>
    <row r="4" spans="1:25" x14ac:dyDescent="0.2">
      <c r="A4" t="s">
        <v>29</v>
      </c>
      <c r="E4">
        <f>8*60*60</f>
        <v>28800</v>
      </c>
    </row>
    <row r="5" spans="1:25" x14ac:dyDescent="0.2">
      <c r="E5" s="4" t="s">
        <v>28</v>
      </c>
      <c r="F5" t="str">
        <f>E5</f>
        <v>#,##0;;-</v>
      </c>
      <c r="G5" t="str">
        <f>F5</f>
        <v>#,##0;;-</v>
      </c>
      <c r="H5" t="str">
        <f>G5</f>
        <v>#,##0;;-</v>
      </c>
      <c r="I5" t="str">
        <f>H5</f>
        <v>#,##0;;-</v>
      </c>
      <c r="J5" t="str">
        <f>I5</f>
        <v>#,##0;;-</v>
      </c>
      <c r="K5" s="4" t="s">
        <v>27</v>
      </c>
      <c r="L5" t="str">
        <f>K5</f>
        <v>0.0E+00</v>
      </c>
      <c r="M5" s="4" t="s">
        <v>26</v>
      </c>
      <c r="O5" t="s">
        <v>25</v>
      </c>
    </row>
    <row r="6" spans="1:25" x14ac:dyDescent="0.2">
      <c r="A6" t="s">
        <v>24</v>
      </c>
      <c r="O6" t="s">
        <v>23</v>
      </c>
      <c r="P6" t="s">
        <v>211</v>
      </c>
      <c r="Q6" t="s">
        <v>22</v>
      </c>
      <c r="R6" t="s">
        <v>22</v>
      </c>
      <c r="S6" t="s">
        <v>22</v>
      </c>
      <c r="T6" t="s">
        <v>22</v>
      </c>
      <c r="U6" t="s">
        <v>22</v>
      </c>
      <c r="V6" t="s">
        <v>22</v>
      </c>
      <c r="W6" t="s">
        <v>22</v>
      </c>
      <c r="X6" t="s">
        <v>21</v>
      </c>
      <c r="Y6" t="s">
        <v>2</v>
      </c>
    </row>
    <row r="7" spans="1:25" x14ac:dyDescent="0.2">
      <c r="E7" t="s">
        <v>20</v>
      </c>
      <c r="H7" t="s">
        <v>19</v>
      </c>
      <c r="K7" t="s">
        <v>18</v>
      </c>
      <c r="O7" s="4" t="s">
        <v>17</v>
      </c>
      <c r="P7" t="str">
        <f>"\multicolumn{3}{l|}{\textbf{"&amp;E7&amp;"}}&amp;"</f>
        <v>\multicolumn{3}{l|}{\textbf{Completed}}&amp;</v>
      </c>
      <c r="S7" t="str">
        <f>"\multicolumn{3}{l|}{\textbf{"&amp;H7&amp;"}}&amp;"</f>
        <v>\multicolumn{3}{l|}{\textbf{At lowest distance}}&amp;</v>
      </c>
      <c r="V7" t="str">
        <f>"\multicolumn{3}{l|}{\textbf{"&amp;K7&amp;"}}\\"</f>
        <v>\multicolumn{3}{l|}{\textbf{Processing time}}\\</v>
      </c>
      <c r="Y7" t="s">
        <v>2</v>
      </c>
    </row>
    <row r="8" spans="1:25" x14ac:dyDescent="0.2">
      <c r="E8" t="s">
        <v>16</v>
      </c>
      <c r="F8" t="s">
        <v>15</v>
      </c>
      <c r="G8" t="s">
        <v>237</v>
      </c>
      <c r="H8" t="s">
        <v>16</v>
      </c>
      <c r="I8" t="s">
        <v>15</v>
      </c>
      <c r="J8" t="s">
        <v>237</v>
      </c>
      <c r="K8" t="s">
        <v>16</v>
      </c>
      <c r="L8" t="s">
        <v>15</v>
      </c>
      <c r="M8" t="s">
        <v>238</v>
      </c>
      <c r="O8" t="s">
        <v>17</v>
      </c>
      <c r="P8" t="str">
        <f t="shared" ref="P8:X8" si="0">"\textbf{"&amp;E8&amp;"}"&amp;IF(F8="","\\","&amp;")</f>
        <v>\textbf{Unfiltered}&amp;</v>
      </c>
      <c r="Q8" t="str">
        <f t="shared" si="0"/>
        <v>\textbf{Filtered}&amp;</v>
      </c>
      <c r="R8" t="str">
        <f t="shared" si="0"/>
        <v>\textbf{Incr}&amp;</v>
      </c>
      <c r="S8" t="str">
        <f t="shared" si="0"/>
        <v>\textbf{Unfiltered}&amp;</v>
      </c>
      <c r="T8" t="str">
        <f t="shared" si="0"/>
        <v>\textbf{Filtered}&amp;</v>
      </c>
      <c r="U8" t="str">
        <f t="shared" si="0"/>
        <v>\textbf{Incr}&amp;</v>
      </c>
      <c r="V8" t="str">
        <f t="shared" si="0"/>
        <v>\textbf{Unfiltered}&amp;</v>
      </c>
      <c r="W8" t="str">
        <f t="shared" si="0"/>
        <v>\textbf{Filtered}&amp;</v>
      </c>
      <c r="X8" t="str">
        <f t="shared" si="0"/>
        <v>\textbf{Decr}\\</v>
      </c>
      <c r="Y8" t="s">
        <v>2</v>
      </c>
    </row>
    <row r="9" spans="1:25" x14ac:dyDescent="0.2">
      <c r="D9" t="s">
        <v>209</v>
      </c>
      <c r="O9" t="str">
        <f>"\multicolumn{10}{|c|}{\textbf{"&amp;D9&amp;"}}\\"</f>
        <v>\multicolumn{10}{|c|}{\textbf{Exact Methods}}\\</v>
      </c>
      <c r="Y9" t="s">
        <v>2</v>
      </c>
    </row>
    <row r="10" spans="1:25" x14ac:dyDescent="0.2">
      <c r="A10" t="s">
        <v>7</v>
      </c>
      <c r="B10" t="str">
        <f>B18</f>
        <v>-U</v>
      </c>
      <c r="C10" s="4" t="s">
        <v>188</v>
      </c>
      <c r="D10" t="s">
        <v>7</v>
      </c>
      <c r="E10">
        <f t="shared" ref="E10:F13" ca="1" si="1">COUNT(INDIRECT("'"&amp;$A10&amp;B10&amp;"'!F:F"))</f>
        <v>1</v>
      </c>
      <c r="F10">
        <f t="shared" ca="1" si="1"/>
        <v>6</v>
      </c>
      <c r="G10">
        <f t="shared" ref="G10:G13" ca="1" si="2">F10-E10</f>
        <v>5</v>
      </c>
      <c r="H10">
        <f t="shared" ref="H10:H13" ca="1" si="3">E10</f>
        <v>1</v>
      </c>
      <c r="I10">
        <v>6</v>
      </c>
      <c r="J10">
        <f t="shared" ref="J10:J13" ca="1" si="4">I10-H10</f>
        <v>5</v>
      </c>
      <c r="K10" s="2">
        <f ca="1">SUM(INDIRECT("'"&amp;$A10&amp;B10&amp;"'!F:F"))+(6-E10)*$E$4</f>
        <v>144000.20963493601</v>
      </c>
      <c r="L10" s="2">
        <f ca="1">SUM(INDIRECT("'"&amp;$A10&amp;C10&amp;"'!F:F"))</f>
        <v>59109.671726968954</v>
      </c>
      <c r="M10" s="1">
        <f t="shared" ref="M10:M13" ca="1" si="5">(K10-L10)/K10</f>
        <v>0.58951676614345494</v>
      </c>
      <c r="O10" t="str">
        <f t="shared" ref="O10:O13" ca="1" si="6">"\textbf{"&amp;D10&amp;"}"&amp;IF(E10="","\\","&amp;")</f>
        <v>\textbf{Gurobi}&amp;</v>
      </c>
      <c r="P10" t="str">
        <f t="shared" ref="P10:X10" ca="1" si="7">SUBSTITUTE(TEXT(E10,E$5)&amp;IF(F18="","\\","&amp;"),"%","\%")</f>
        <v>1&amp;</v>
      </c>
      <c r="Q10" t="str">
        <f t="shared" ca="1" si="7"/>
        <v>6&amp;</v>
      </c>
      <c r="R10" t="str">
        <f t="shared" ca="1" si="7"/>
        <v>5&amp;</v>
      </c>
      <c r="S10" t="str">
        <f t="shared" ca="1" si="7"/>
        <v>1&amp;</v>
      </c>
      <c r="T10" t="str">
        <f t="shared" ca="1" si="7"/>
        <v>6&amp;</v>
      </c>
      <c r="U10" t="str">
        <f t="shared" ca="1" si="7"/>
        <v>5&amp;</v>
      </c>
      <c r="V10" t="str">
        <f t="shared" ca="1" si="7"/>
        <v>1.4E+05&amp;</v>
      </c>
      <c r="W10" t="str">
        <f t="shared" ca="1" si="7"/>
        <v>5.9E+04&amp;</v>
      </c>
      <c r="X10" t="str">
        <f t="shared" ca="1" si="7"/>
        <v>59.0\%\\</v>
      </c>
    </row>
    <row r="11" spans="1:25" x14ac:dyDescent="0.2">
      <c r="A11" t="s">
        <v>6</v>
      </c>
      <c r="B11" t="str">
        <f t="shared" ref="B11:B13" si="8">B10</f>
        <v>-U</v>
      </c>
      <c r="C11" s="4" t="s">
        <v>188</v>
      </c>
      <c r="D11" t="s">
        <v>6</v>
      </c>
      <c r="E11">
        <f t="shared" ca="1" si="1"/>
        <v>6</v>
      </c>
      <c r="F11">
        <f t="shared" ca="1" si="1"/>
        <v>6</v>
      </c>
      <c r="G11">
        <f t="shared" ca="1" si="2"/>
        <v>0</v>
      </c>
      <c r="H11">
        <f t="shared" ca="1" si="3"/>
        <v>6</v>
      </c>
      <c r="I11">
        <v>6</v>
      </c>
      <c r="J11">
        <f t="shared" ca="1" si="4"/>
        <v>0</v>
      </c>
      <c r="K11" s="2">
        <f ca="1">SUM(INDIRECT("'"&amp;$A11&amp;B11&amp;"'!F:F"))+(6-E11)*$E$4</f>
        <v>87740.37757953479</v>
      </c>
      <c r="L11" s="2">
        <f ca="1">SUM(INDIRECT("'"&amp;$A11&amp;C11&amp;"'!F:F"))</f>
        <v>68022.792139859739</v>
      </c>
      <c r="M11" s="1">
        <f t="shared" ca="1" si="5"/>
        <v>0.2247264712509526</v>
      </c>
      <c r="O11" t="str">
        <f t="shared" ca="1" si="6"/>
        <v>\textbf{MIP-SCIP}&amp;</v>
      </c>
      <c r="P11" t="str">
        <f t="shared" ref="P11:X13" ca="1" si="9">SUBSTITUTE(TEXT(E11,E$5)&amp;IF(F10="","\\","&amp;"),"%","\%")</f>
        <v>6&amp;</v>
      </c>
      <c r="Q11" t="str">
        <f t="shared" ca="1" si="9"/>
        <v>6&amp;</v>
      </c>
      <c r="R11" t="str">
        <f t="shared" ca="1" si="9"/>
        <v>-&amp;</v>
      </c>
      <c r="S11" t="str">
        <f t="shared" ca="1" si="9"/>
        <v>6&amp;</v>
      </c>
      <c r="T11" t="str">
        <f t="shared" ca="1" si="9"/>
        <v>6&amp;</v>
      </c>
      <c r="U11" t="str">
        <f t="shared" ca="1" si="9"/>
        <v>-&amp;</v>
      </c>
      <c r="V11" t="str">
        <f t="shared" ca="1" si="9"/>
        <v>8.8E+04&amp;</v>
      </c>
      <c r="W11" t="str">
        <f t="shared" ca="1" si="9"/>
        <v>6.8E+04&amp;</v>
      </c>
      <c r="X11" t="str">
        <f t="shared" ca="1" si="9"/>
        <v>22.5\%\\</v>
      </c>
    </row>
    <row r="12" spans="1:25" x14ac:dyDescent="0.2">
      <c r="A12" t="s">
        <v>5</v>
      </c>
      <c r="B12" t="str">
        <f t="shared" si="8"/>
        <v>-U</v>
      </c>
      <c r="C12" s="4" t="s">
        <v>188</v>
      </c>
      <c r="D12" t="s">
        <v>5</v>
      </c>
      <c r="E12">
        <f t="shared" ca="1" si="1"/>
        <v>6</v>
      </c>
      <c r="F12">
        <f t="shared" ca="1" si="1"/>
        <v>6</v>
      </c>
      <c r="G12">
        <f t="shared" ca="1" si="2"/>
        <v>0</v>
      </c>
      <c r="H12">
        <f t="shared" ca="1" si="3"/>
        <v>6</v>
      </c>
      <c r="I12">
        <v>6</v>
      </c>
      <c r="J12">
        <f t="shared" ca="1" si="4"/>
        <v>0</v>
      </c>
      <c r="K12" s="2">
        <f ca="1">SUM(INDIRECT("'"&amp;$A12&amp;B12&amp;"'!F:F"))+(6-E12)*$E$4</f>
        <v>89347.885314146843</v>
      </c>
      <c r="L12" s="2">
        <f ca="1">SUM(INDIRECT("'"&amp;$A12&amp;C12&amp;"'!F:F"))</f>
        <v>79718.359271330599</v>
      </c>
      <c r="M12" s="1">
        <f t="shared" ca="1" si="5"/>
        <v>0.1077756458248437</v>
      </c>
      <c r="O12" t="str">
        <f t="shared" ca="1" si="6"/>
        <v>\textbf{CLISAT}&amp;</v>
      </c>
      <c r="P12" t="str">
        <f t="shared" ca="1" si="9"/>
        <v>6&amp;</v>
      </c>
      <c r="Q12" t="str">
        <f t="shared" ca="1" si="9"/>
        <v>6&amp;</v>
      </c>
      <c r="R12" t="str">
        <f t="shared" ca="1" si="9"/>
        <v>-&amp;</v>
      </c>
      <c r="S12" t="str">
        <f t="shared" ca="1" si="9"/>
        <v>6&amp;</v>
      </c>
      <c r="T12" t="str">
        <f t="shared" ca="1" si="9"/>
        <v>6&amp;</v>
      </c>
      <c r="U12" t="str">
        <f t="shared" ca="1" si="9"/>
        <v>-&amp;</v>
      </c>
      <c r="V12" t="str">
        <f t="shared" ca="1" si="9"/>
        <v>8.9E+04&amp;</v>
      </c>
      <c r="W12" t="str">
        <f t="shared" ca="1" si="9"/>
        <v>8.0E+04&amp;</v>
      </c>
      <c r="X12" t="str">
        <f t="shared" ca="1" si="9"/>
        <v>10.8\%\\</v>
      </c>
    </row>
    <row r="13" spans="1:25" x14ac:dyDescent="0.2">
      <c r="A13" t="s">
        <v>4</v>
      </c>
      <c r="B13" t="str">
        <f t="shared" si="8"/>
        <v>-U</v>
      </c>
      <c r="C13" s="4" t="s">
        <v>188</v>
      </c>
      <c r="D13" t="s">
        <v>3</v>
      </c>
      <c r="E13">
        <f t="shared" ca="1" si="1"/>
        <v>2</v>
      </c>
      <c r="F13">
        <f t="shared" ca="1" si="1"/>
        <v>6</v>
      </c>
      <c r="G13">
        <f t="shared" ca="1" si="2"/>
        <v>4</v>
      </c>
      <c r="H13">
        <f t="shared" ca="1" si="3"/>
        <v>2</v>
      </c>
      <c r="I13">
        <v>6</v>
      </c>
      <c r="J13">
        <f t="shared" ca="1" si="4"/>
        <v>4</v>
      </c>
      <c r="K13" s="2">
        <f ca="1">SUM(INDIRECT("'"&amp;$A13&amp;B13&amp;"'!F:F"))+(6-E13)*$E$4</f>
        <v>115282.93705713598</v>
      </c>
      <c r="L13" s="2">
        <f ca="1">SUM(INDIRECT("'"&amp;$A13&amp;C13&amp;"'!F:F"))</f>
        <v>57654.547618803394</v>
      </c>
      <c r="M13" s="1">
        <f t="shared" ca="1" si="5"/>
        <v>0.49988654790926323</v>
      </c>
      <c r="O13" t="str">
        <f t="shared" ca="1" si="6"/>
        <v>\textbf{m4riCC}&amp;</v>
      </c>
      <c r="P13" t="str">
        <f t="shared" ca="1" si="9"/>
        <v>2&amp;</v>
      </c>
      <c r="Q13" t="str">
        <f t="shared" ca="1" si="9"/>
        <v>6&amp;</v>
      </c>
      <c r="R13" t="str">
        <f t="shared" ca="1" si="9"/>
        <v>4&amp;</v>
      </c>
      <c r="S13" t="str">
        <f t="shared" ca="1" si="9"/>
        <v>2&amp;</v>
      </c>
      <c r="T13" t="str">
        <f t="shared" ca="1" si="9"/>
        <v>6&amp;</v>
      </c>
      <c r="U13" t="str">
        <f t="shared" ca="1" si="9"/>
        <v>4&amp;</v>
      </c>
      <c r="V13" t="str">
        <f t="shared" ca="1" si="9"/>
        <v>1.2E+05&amp;</v>
      </c>
      <c r="W13" t="str">
        <f t="shared" ca="1" si="9"/>
        <v>5.8E+04&amp;</v>
      </c>
      <c r="X13" t="str">
        <f t="shared" ca="1" si="9"/>
        <v>50.0\%\\</v>
      </c>
      <c r="Y13" t="s">
        <v>2</v>
      </c>
    </row>
    <row r="14" spans="1:25" x14ac:dyDescent="0.2">
      <c r="C14" s="4"/>
      <c r="D14" t="s">
        <v>210</v>
      </c>
      <c r="K14" s="2"/>
      <c r="L14" s="2"/>
      <c r="M14" s="1"/>
      <c r="O14" t="str">
        <f>"\multicolumn{10}{|c|}{\textbf{"&amp;D14&amp;"}}\\"</f>
        <v>\multicolumn{10}{|c|}{\textbf{Heuristic Methods}}\\</v>
      </c>
      <c r="Y14" t="s">
        <v>2</v>
      </c>
    </row>
    <row r="15" spans="1:25" x14ac:dyDescent="0.2">
      <c r="A15" t="s">
        <v>14</v>
      </c>
      <c r="B15" s="4" t="s">
        <v>13</v>
      </c>
      <c r="C15" s="4" t="s">
        <v>188</v>
      </c>
      <c r="D15" t="s">
        <v>12</v>
      </c>
      <c r="E15" s="3">
        <f t="shared" ref="E15:F18" ca="1" si="10">COUNT(INDIRECT("'"&amp;$A15&amp;B15&amp;"'!F:F"))</f>
        <v>6</v>
      </c>
      <c r="F15">
        <f t="shared" ca="1" si="10"/>
        <v>6</v>
      </c>
      <c r="G15">
        <f ca="1">F15-E15</f>
        <v>0</v>
      </c>
      <c r="H15">
        <v>4</v>
      </c>
      <c r="I15">
        <v>6</v>
      </c>
      <c r="J15">
        <f>I15-H15</f>
        <v>2</v>
      </c>
      <c r="K15" s="2">
        <f ca="1">SUM(INDIRECT("'"&amp;$A15&amp;B15&amp;"'!F:F"))+(6-E15)*$E$4</f>
        <v>127.77284528594383</v>
      </c>
      <c r="L15" s="2">
        <f ca="1">SUM(INDIRECT("'"&amp;$A15&amp;C15&amp;"'!F:F"))</f>
        <v>7.0165283214300747</v>
      </c>
      <c r="M15" s="1">
        <f ca="1">(K15-L15)/K15</f>
        <v>0.9450859194242115</v>
      </c>
      <c r="O15" t="str">
        <f ca="1">"\textbf{"&amp;D15&amp;"}"&amp;IF(E15="","\\","&amp;")</f>
        <v>\textbf{m4riRW}&amp;</v>
      </c>
      <c r="P15" t="str">
        <f t="shared" ref="P15:X15" ca="1" si="11">SUBSTITUTE(TEXT(E15,E$5)&amp;IF(F8="","\\","&amp;"),"%","\%")</f>
        <v>6&amp;</v>
      </c>
      <c r="Q15" t="str">
        <f t="shared" ca="1" si="11"/>
        <v>6&amp;</v>
      </c>
      <c r="R15" t="str">
        <f t="shared" ca="1" si="11"/>
        <v>-&amp;</v>
      </c>
      <c r="S15" t="str">
        <f t="shared" si="11"/>
        <v>4&amp;</v>
      </c>
      <c r="T15" t="str">
        <f t="shared" si="11"/>
        <v>6&amp;</v>
      </c>
      <c r="U15" t="str">
        <f t="shared" si="11"/>
        <v>2&amp;</v>
      </c>
      <c r="V15" t="str">
        <f t="shared" ca="1" si="11"/>
        <v>1.3E+02&amp;</v>
      </c>
      <c r="W15" t="str">
        <f t="shared" ca="1" si="11"/>
        <v>7.0E+00&amp;</v>
      </c>
      <c r="X15" t="str">
        <f t="shared" ca="1" si="11"/>
        <v>94.5\%\\</v>
      </c>
    </row>
    <row r="16" spans="1:25" x14ac:dyDescent="0.2">
      <c r="A16" t="s">
        <v>11</v>
      </c>
      <c r="B16" t="str">
        <f t="shared" ref="B16:C18" si="12">B15</f>
        <v>-U</v>
      </c>
      <c r="C16" t="str">
        <f t="shared" si="12"/>
        <v>-F</v>
      </c>
      <c r="D16" t="s">
        <v>11</v>
      </c>
      <c r="E16">
        <f t="shared" ca="1" si="10"/>
        <v>6</v>
      </c>
      <c r="F16">
        <f t="shared" ca="1" si="10"/>
        <v>6</v>
      </c>
      <c r="G16">
        <f ca="1">F16-E16</f>
        <v>0</v>
      </c>
      <c r="H16">
        <v>5</v>
      </c>
      <c r="I16">
        <v>6</v>
      </c>
      <c r="J16">
        <f>I16-H16</f>
        <v>1</v>
      </c>
      <c r="K16" s="2">
        <f ca="1">SUM(INDIRECT("'"&amp;$A16&amp;B16&amp;"'!F:F"))+(6-E16)*$E$4</f>
        <v>9609.0331332897676</v>
      </c>
      <c r="L16" s="2">
        <f ca="1">SUM(INDIRECT("'"&amp;$A16&amp;C16&amp;"'!F:F"))</f>
        <v>216.67577984277111</v>
      </c>
      <c r="M16" s="1">
        <f ca="1">(K16-L16)/K16</f>
        <v>0.97745082394480309</v>
      </c>
      <c r="O16" t="str">
        <f ca="1">"\textbf{"&amp;D16&amp;"}"&amp;IF(E16="","\\","&amp;")</f>
        <v>\textbf{QDistRndMW}&amp;</v>
      </c>
      <c r="P16" t="str">
        <f t="shared" ref="P16:X18" ca="1" si="13">SUBSTITUTE(TEXT(E16,E$5)&amp;IF(F15="","\\","&amp;"),"%","\%")</f>
        <v>6&amp;</v>
      </c>
      <c r="Q16" t="str">
        <f t="shared" ca="1" si="13"/>
        <v>6&amp;</v>
      </c>
      <c r="R16" t="str">
        <f t="shared" ca="1" si="13"/>
        <v>-&amp;</v>
      </c>
      <c r="S16" t="str">
        <f t="shared" si="13"/>
        <v>5&amp;</v>
      </c>
      <c r="T16" t="str">
        <f t="shared" si="13"/>
        <v>6&amp;</v>
      </c>
      <c r="U16" t="str">
        <f t="shared" ca="1" si="13"/>
        <v>1&amp;</v>
      </c>
      <c r="V16" t="str">
        <f t="shared" ca="1" si="13"/>
        <v>9.6E+03&amp;</v>
      </c>
      <c r="W16" t="str">
        <f t="shared" ca="1" si="13"/>
        <v>2.2E+02&amp;</v>
      </c>
      <c r="X16" t="str">
        <f t="shared" ca="1" si="13"/>
        <v>97.7\%\\</v>
      </c>
    </row>
    <row r="17" spans="1:25" x14ac:dyDescent="0.2">
      <c r="A17" t="s">
        <v>10</v>
      </c>
      <c r="B17" t="str">
        <f t="shared" si="12"/>
        <v>-U</v>
      </c>
      <c r="C17" t="str">
        <f t="shared" si="12"/>
        <v>-F</v>
      </c>
      <c r="D17" t="s">
        <v>10</v>
      </c>
      <c r="E17">
        <f t="shared" ca="1" si="10"/>
        <v>6</v>
      </c>
      <c r="F17">
        <f t="shared" ca="1" si="10"/>
        <v>6</v>
      </c>
      <c r="G17">
        <f ca="1">F17-E17</f>
        <v>0</v>
      </c>
      <c r="H17">
        <f ca="1">E17</f>
        <v>6</v>
      </c>
      <c r="I17">
        <v>6</v>
      </c>
      <c r="J17">
        <f ca="1">I17-H17</f>
        <v>0</v>
      </c>
      <c r="K17" s="2">
        <f ca="1">SUM(INDIRECT("'"&amp;$A17&amp;B17&amp;"'!F:F"))+(6-E17)*$E$4</f>
        <v>9000.4205749537723</v>
      </c>
      <c r="L17" s="2">
        <f ca="1">SUM(INDIRECT("'"&amp;$A17&amp;C17&amp;"'!F:F"))</f>
        <v>233.14644528739086</v>
      </c>
      <c r="M17" s="1">
        <f ca="1">(K17-L17)/K17</f>
        <v>0.97409604991835741</v>
      </c>
      <c r="O17" t="str">
        <f ca="1">"\textbf{"&amp;D17&amp;"}"&amp;IF(E17="","\\","&amp;")</f>
        <v>\textbf{QDistEvol}&amp;</v>
      </c>
      <c r="P17" t="str">
        <f t="shared" ca="1" si="13"/>
        <v>6&amp;</v>
      </c>
      <c r="Q17" t="str">
        <f t="shared" ca="1" si="13"/>
        <v>6&amp;</v>
      </c>
      <c r="R17" t="str">
        <f t="shared" ca="1" si="13"/>
        <v>-&amp;</v>
      </c>
      <c r="S17" t="str">
        <f t="shared" ca="1" si="13"/>
        <v>6&amp;</v>
      </c>
      <c r="T17" t="str">
        <f t="shared" si="13"/>
        <v>6&amp;</v>
      </c>
      <c r="U17" t="str">
        <f t="shared" ca="1" si="13"/>
        <v>-&amp;</v>
      </c>
      <c r="V17" t="str">
        <f t="shared" ca="1" si="13"/>
        <v>9.0E+03&amp;</v>
      </c>
      <c r="W17" t="str">
        <f t="shared" ca="1" si="13"/>
        <v>2.3E+02&amp;</v>
      </c>
      <c r="X17" t="str">
        <f t="shared" ca="1" si="13"/>
        <v>97.4\%\\</v>
      </c>
    </row>
    <row r="18" spans="1:25" x14ac:dyDescent="0.2">
      <c r="A18" t="s">
        <v>9</v>
      </c>
      <c r="B18" t="str">
        <f t="shared" si="12"/>
        <v>-U</v>
      </c>
      <c r="C18" t="str">
        <f t="shared" si="12"/>
        <v>-F</v>
      </c>
      <c r="D18" t="s">
        <v>8</v>
      </c>
      <c r="E18">
        <f t="shared" ca="1" si="10"/>
        <v>4</v>
      </c>
      <c r="F18">
        <f t="shared" ca="1" si="10"/>
        <v>6</v>
      </c>
      <c r="G18">
        <f ca="1">F18-E18</f>
        <v>2</v>
      </c>
      <c r="H18">
        <f ca="1">E18</f>
        <v>4</v>
      </c>
      <c r="I18">
        <v>6</v>
      </c>
      <c r="J18">
        <f ca="1">I18-H18</f>
        <v>2</v>
      </c>
      <c r="K18" s="2">
        <f ca="1">SUM(INDIRECT("'"&amp;$A18&amp;B18&amp;"'!F:F"))+(6-E18)*$E$4</f>
        <v>107347.09236472748</v>
      </c>
      <c r="L18" s="2">
        <f ca="1">SUM(INDIRECT("'"&amp;$A18&amp;C18&amp;"'!F:F"))</f>
        <v>638.97180083300827</v>
      </c>
      <c r="M18" s="1">
        <f ca="1">(K18-L18)/K18</f>
        <v>0.99404760961142746</v>
      </c>
      <c r="O18" t="str">
        <f ca="1">"\textbf{"&amp;D18&amp;"}"&amp;IF(E18="","\\","&amp;")</f>
        <v>\textbf{BP-OSD}&amp;</v>
      </c>
      <c r="P18" t="str">
        <f t="shared" ca="1" si="13"/>
        <v>4&amp;</v>
      </c>
      <c r="Q18" t="str">
        <f t="shared" ca="1" si="13"/>
        <v>6&amp;</v>
      </c>
      <c r="R18" t="str">
        <f t="shared" ca="1" si="13"/>
        <v>2&amp;</v>
      </c>
      <c r="S18" t="str">
        <f t="shared" ca="1" si="13"/>
        <v>4&amp;</v>
      </c>
      <c r="T18" t="str">
        <f t="shared" ca="1" si="13"/>
        <v>6&amp;</v>
      </c>
      <c r="U18" t="str">
        <f t="shared" ca="1" si="13"/>
        <v>2&amp;</v>
      </c>
      <c r="V18" t="str">
        <f t="shared" ca="1" si="13"/>
        <v>1.1E+05&amp;</v>
      </c>
      <c r="W18" t="str">
        <f t="shared" ca="1" si="13"/>
        <v>6.4E+02&amp;</v>
      </c>
      <c r="X18" t="str">
        <f t="shared" ca="1" si="13"/>
        <v>99.4\%\\</v>
      </c>
    </row>
    <row r="19" spans="1:25" x14ac:dyDescent="0.2">
      <c r="A19" t="s">
        <v>235</v>
      </c>
      <c r="B19" t="str">
        <f t="shared" ref="B19:B21" si="14">B18</f>
        <v>-U</v>
      </c>
      <c r="C19" t="str">
        <f t="shared" ref="C19:C21" si="15">C18</f>
        <v>-F</v>
      </c>
      <c r="D19" t="s">
        <v>235</v>
      </c>
      <c r="E19">
        <f t="shared" ref="E19:E21" ca="1" si="16">COUNT(INDIRECT("'"&amp;$A19&amp;B19&amp;"'!F:F"))</f>
        <v>6</v>
      </c>
      <c r="F19">
        <f t="shared" ref="F19:F21" ca="1" si="17">COUNT(INDIRECT("'"&amp;$A19&amp;C19&amp;"'!F:F"))</f>
        <v>6</v>
      </c>
      <c r="G19">
        <f t="shared" ref="G19:G21" ca="1" si="18">F19-E19</f>
        <v>0</v>
      </c>
      <c r="H19">
        <f t="shared" ref="H19:H21" ca="1" si="19">E19</f>
        <v>6</v>
      </c>
      <c r="I19">
        <v>6</v>
      </c>
      <c r="J19">
        <f t="shared" ref="J19:J21" ca="1" si="20">I19-H19</f>
        <v>0</v>
      </c>
      <c r="K19" s="2">
        <f t="shared" ref="K19:K21" ca="1" si="21">SUM(INDIRECT("'"&amp;$A19&amp;B19&amp;"'!F:F"))+(6-E19)*$E$4</f>
        <v>8.4009801130741675</v>
      </c>
      <c r="L19" s="2">
        <f t="shared" ref="L19:L21" ca="1" si="22">SUM(INDIRECT("'"&amp;$A19&amp;C19&amp;"'!F:F"))</f>
        <v>3.1155393421649897</v>
      </c>
      <c r="M19" s="1">
        <f t="shared" ref="M19:M21" ca="1" si="23">(K19-L19)/K19</f>
        <v>0.62914573058965118</v>
      </c>
      <c r="O19" t="str">
        <f t="shared" ref="O19:O21" ca="1" si="24">"\textbf{"&amp;D19&amp;"}"&amp;IF(E19="","\\","&amp;")</f>
        <v>\textbf{GEStim}&amp;</v>
      </c>
      <c r="P19" t="str">
        <f t="shared" ref="P19:P21" ca="1" si="25">SUBSTITUTE(TEXT(E19,E$5)&amp;IF(F18="","\\","&amp;"),"%","\%")</f>
        <v>6&amp;</v>
      </c>
      <c r="Q19" t="str">
        <f t="shared" ref="Q19:Q21" ca="1" si="26">SUBSTITUTE(TEXT(F19,F$5)&amp;IF(G18="","\\","&amp;"),"%","\%")</f>
        <v>6&amp;</v>
      </c>
      <c r="R19" t="str">
        <f t="shared" ref="R19:R21" ca="1" si="27">SUBSTITUTE(TEXT(G19,G$5)&amp;IF(H18="","\\","&amp;"),"%","\%")</f>
        <v>-&amp;</v>
      </c>
      <c r="S19" t="str">
        <f t="shared" ref="S19:S21" ca="1" si="28">SUBSTITUTE(TEXT(H19,H$5)&amp;IF(I18="","\\","&amp;"),"%","\%")</f>
        <v>6&amp;</v>
      </c>
      <c r="T19" t="str">
        <f t="shared" ref="T19:T21" ca="1" si="29">SUBSTITUTE(TEXT(I19,I$5)&amp;IF(J18="","\\","&amp;"),"%","\%")</f>
        <v>6&amp;</v>
      </c>
      <c r="U19" t="str">
        <f t="shared" ref="U19:U21" ca="1" si="30">SUBSTITUTE(TEXT(J19,J$5)&amp;IF(K18="","\\","&amp;"),"%","\%")</f>
        <v>-&amp;</v>
      </c>
      <c r="V19" t="str">
        <f t="shared" ref="V19:V21" ca="1" si="31">SUBSTITUTE(TEXT(K19,K$5)&amp;IF(L18="","\\","&amp;"),"%","\%")</f>
        <v>8.4E+00&amp;</v>
      </c>
      <c r="W19" t="str">
        <f t="shared" ref="W19:W21" ca="1" si="32">SUBSTITUTE(TEXT(L19,L$5)&amp;IF(M18="","\\","&amp;"),"%","\%")</f>
        <v>3.1E+00&amp;</v>
      </c>
      <c r="X19" t="str">
        <f t="shared" ref="X19:X21" ca="1" si="33">SUBSTITUTE(TEXT(M19,M$5)&amp;IF(N18="","\\","&amp;"),"%","\%")</f>
        <v>62.9\%\\</v>
      </c>
    </row>
    <row r="20" spans="1:25" x14ac:dyDescent="0.2">
      <c r="A20" t="s">
        <v>236</v>
      </c>
      <c r="B20" t="str">
        <f t="shared" si="14"/>
        <v>-U</v>
      </c>
      <c r="C20" t="str">
        <f t="shared" si="15"/>
        <v>-F</v>
      </c>
      <c r="D20" t="s">
        <v>236</v>
      </c>
      <c r="E20">
        <f t="shared" ca="1" si="16"/>
        <v>6</v>
      </c>
      <c r="F20">
        <f t="shared" ca="1" si="17"/>
        <v>6</v>
      </c>
      <c r="G20">
        <f t="shared" ca="1" si="18"/>
        <v>0</v>
      </c>
      <c r="H20">
        <f t="shared" ca="1" si="19"/>
        <v>6</v>
      </c>
      <c r="I20">
        <v>6</v>
      </c>
      <c r="J20">
        <f t="shared" ca="1" si="20"/>
        <v>0</v>
      </c>
      <c r="K20" s="2">
        <f t="shared" ca="1" si="21"/>
        <v>998.66620158101409</v>
      </c>
      <c r="L20" s="2">
        <f t="shared" ca="1" si="22"/>
        <v>45.713972695171805</v>
      </c>
      <c r="M20" s="1">
        <f t="shared" ca="1" si="23"/>
        <v>0.95422497264571393</v>
      </c>
      <c r="O20" t="str">
        <f t="shared" ca="1" si="24"/>
        <v>\textbf{CCSTim}&amp;</v>
      </c>
      <c r="P20" t="str">
        <f t="shared" ca="1" si="25"/>
        <v>6&amp;</v>
      </c>
      <c r="Q20" t="str">
        <f t="shared" ca="1" si="26"/>
        <v>6&amp;</v>
      </c>
      <c r="R20" t="str">
        <f t="shared" ca="1" si="27"/>
        <v>-&amp;</v>
      </c>
      <c r="S20" t="str">
        <f t="shared" ca="1" si="28"/>
        <v>6&amp;</v>
      </c>
      <c r="T20" t="str">
        <f t="shared" ca="1" si="29"/>
        <v>6&amp;</v>
      </c>
      <c r="U20" t="str">
        <f t="shared" ca="1" si="30"/>
        <v>-&amp;</v>
      </c>
      <c r="V20" t="str">
        <f t="shared" ca="1" si="31"/>
        <v>1.0E+03&amp;</v>
      </c>
      <c r="W20" t="str">
        <f t="shared" ca="1" si="32"/>
        <v>4.6E+01&amp;</v>
      </c>
      <c r="X20" t="str">
        <f t="shared" ca="1" si="33"/>
        <v>95.4\%\\</v>
      </c>
    </row>
    <row r="21" spans="1:25" x14ac:dyDescent="0.2">
      <c r="A21" t="s">
        <v>235</v>
      </c>
      <c r="B21" t="str">
        <f t="shared" si="14"/>
        <v>-U</v>
      </c>
      <c r="C21" t="str">
        <f t="shared" si="15"/>
        <v>-F</v>
      </c>
      <c r="D21" t="s">
        <v>235</v>
      </c>
      <c r="E21">
        <f t="shared" ca="1" si="16"/>
        <v>6</v>
      </c>
      <c r="F21">
        <f t="shared" ca="1" si="17"/>
        <v>6</v>
      </c>
      <c r="G21">
        <f t="shared" ca="1" si="18"/>
        <v>0</v>
      </c>
      <c r="H21">
        <f t="shared" ca="1" si="19"/>
        <v>6</v>
      </c>
      <c r="I21">
        <v>6</v>
      </c>
      <c r="J21">
        <f t="shared" ca="1" si="20"/>
        <v>0</v>
      </c>
      <c r="K21" s="2">
        <f t="shared" ca="1" si="21"/>
        <v>8.4009801130741675</v>
      </c>
      <c r="L21" s="2">
        <f t="shared" ca="1" si="22"/>
        <v>3.1155393421649897</v>
      </c>
      <c r="M21" s="1">
        <f t="shared" ca="1" si="23"/>
        <v>0.62914573058965118</v>
      </c>
      <c r="O21" t="str">
        <f t="shared" ca="1" si="24"/>
        <v>\textbf{GEStim}&amp;</v>
      </c>
      <c r="P21" t="str">
        <f t="shared" ca="1" si="25"/>
        <v>6&amp;</v>
      </c>
      <c r="Q21" t="str">
        <f t="shared" ca="1" si="26"/>
        <v>6&amp;</v>
      </c>
      <c r="R21" t="str">
        <f t="shared" ca="1" si="27"/>
        <v>-&amp;</v>
      </c>
      <c r="S21" t="str">
        <f t="shared" ca="1" si="28"/>
        <v>6&amp;</v>
      </c>
      <c r="T21" t="str">
        <f t="shared" ca="1" si="29"/>
        <v>6&amp;</v>
      </c>
      <c r="U21" t="str">
        <f t="shared" ca="1" si="30"/>
        <v>-&amp;</v>
      </c>
      <c r="V21" t="str">
        <f t="shared" ca="1" si="31"/>
        <v>8.4E+00&amp;</v>
      </c>
      <c r="W21" t="str">
        <f t="shared" ca="1" si="32"/>
        <v>3.1E+00&amp;</v>
      </c>
      <c r="X21" t="str">
        <f t="shared" ca="1" si="33"/>
        <v>62.9\%\\</v>
      </c>
      <c r="Y21" t="s">
        <v>2</v>
      </c>
    </row>
    <row r="22" spans="1:25" x14ac:dyDescent="0.2">
      <c r="O22" t="s">
        <v>1</v>
      </c>
    </row>
    <row r="23" spans="1:25" x14ac:dyDescent="0.2">
      <c r="O23"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41F03-E899-9646-9C19-8B98FE95D3FD}">
  <dimension ref="A1:I35"/>
  <sheetViews>
    <sheetView workbookViewId="0">
      <selection activeCell="D10" sqref="D10"/>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132</v>
      </c>
    </row>
    <row r="7" spans="1:1" x14ac:dyDescent="0.2">
      <c r="A7" t="s">
        <v>63</v>
      </c>
    </row>
    <row r="8" spans="1:1" x14ac:dyDescent="0.2">
      <c r="A8" t="s">
        <v>193</v>
      </c>
    </row>
    <row r="9" spans="1:1" x14ac:dyDescent="0.2">
      <c r="A9" t="s">
        <v>220</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228</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2.74927541613578E-2</v>
      </c>
      <c r="G30">
        <v>2</v>
      </c>
      <c r="H30">
        <v>2</v>
      </c>
      <c r="I30" t="s">
        <v>229</v>
      </c>
    </row>
    <row r="31" spans="1:9" x14ac:dyDescent="0.2">
      <c r="A31" t="s">
        <v>32</v>
      </c>
      <c r="B31">
        <v>37</v>
      </c>
      <c r="C31">
        <v>1</v>
      </c>
      <c r="D31">
        <v>5</v>
      </c>
      <c r="E31">
        <v>5</v>
      </c>
      <c r="F31">
        <v>0.10772455483675</v>
      </c>
      <c r="G31">
        <v>2</v>
      </c>
      <c r="H31">
        <v>2</v>
      </c>
      <c r="I31" t="s">
        <v>230</v>
      </c>
    </row>
    <row r="32" spans="1:9" x14ac:dyDescent="0.2">
      <c r="A32" t="s">
        <v>31</v>
      </c>
      <c r="B32">
        <v>73</v>
      </c>
      <c r="C32">
        <v>1</v>
      </c>
      <c r="D32">
        <v>7</v>
      </c>
      <c r="E32">
        <v>7</v>
      </c>
      <c r="F32">
        <v>0.96542182564735401</v>
      </c>
      <c r="G32">
        <v>2</v>
      </c>
      <c r="H32">
        <v>2</v>
      </c>
      <c r="I32" t="s">
        <v>231</v>
      </c>
    </row>
    <row r="33" spans="1:9" x14ac:dyDescent="0.2">
      <c r="A33" t="s">
        <v>30</v>
      </c>
      <c r="B33">
        <v>121</v>
      </c>
      <c r="C33">
        <v>1</v>
      </c>
      <c r="D33">
        <v>9</v>
      </c>
      <c r="E33">
        <v>9</v>
      </c>
      <c r="F33">
        <v>7.2036994025111198</v>
      </c>
      <c r="G33">
        <v>2</v>
      </c>
      <c r="H33">
        <v>2</v>
      </c>
      <c r="I33" t="s">
        <v>232</v>
      </c>
    </row>
    <row r="34" spans="1:9" x14ac:dyDescent="0.2">
      <c r="A34" t="s">
        <v>79</v>
      </c>
      <c r="B34">
        <v>181</v>
      </c>
      <c r="C34">
        <v>1</v>
      </c>
      <c r="D34">
        <v>11</v>
      </c>
      <c r="E34">
        <v>11</v>
      </c>
      <c r="F34">
        <v>38.246142596006301</v>
      </c>
      <c r="G34">
        <v>2</v>
      </c>
      <c r="H34">
        <v>2</v>
      </c>
      <c r="I34" t="s">
        <v>233</v>
      </c>
    </row>
    <row r="35" spans="1:9" x14ac:dyDescent="0.2">
      <c r="A35" t="s">
        <v>78</v>
      </c>
      <c r="B35">
        <v>169</v>
      </c>
      <c r="C35">
        <v>1</v>
      </c>
      <c r="D35">
        <v>15</v>
      </c>
      <c r="E35">
        <v>15</v>
      </c>
      <c r="F35">
        <v>5.3278312087059E-2</v>
      </c>
      <c r="G35">
        <v>2</v>
      </c>
      <c r="H35">
        <v>2</v>
      </c>
      <c r="I35" t="s">
        <v>234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EF37-9BCB-F94A-86F2-D8FF9538D0D6}">
  <dimension ref="A1:I35"/>
  <sheetViews>
    <sheetView workbookViewId="0">
      <selection activeCell="H14" sqref="H14"/>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105</v>
      </c>
    </row>
    <row r="7" spans="1:1" x14ac:dyDescent="0.2">
      <c r="A7" t="s">
        <v>63</v>
      </c>
    </row>
    <row r="8" spans="1:1" x14ac:dyDescent="0.2">
      <c r="A8" t="s">
        <v>193</v>
      </c>
    </row>
    <row r="9" spans="1:1" x14ac:dyDescent="0.2">
      <c r="A9" t="s">
        <v>220</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221</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1.3426341116428301E-2</v>
      </c>
      <c r="G30">
        <v>1</v>
      </c>
      <c r="H30">
        <v>1</v>
      </c>
      <c r="I30" t="s">
        <v>222</v>
      </c>
    </row>
    <row r="31" spans="1:9" x14ac:dyDescent="0.2">
      <c r="A31" t="s">
        <v>32</v>
      </c>
      <c r="B31">
        <v>37</v>
      </c>
      <c r="C31">
        <v>1</v>
      </c>
      <c r="D31">
        <v>5</v>
      </c>
      <c r="E31">
        <v>5</v>
      </c>
      <c r="F31">
        <v>8.9054532349109594E-2</v>
      </c>
      <c r="G31">
        <v>1</v>
      </c>
      <c r="H31">
        <v>1</v>
      </c>
      <c r="I31" t="s">
        <v>223</v>
      </c>
    </row>
    <row r="32" spans="1:9" x14ac:dyDescent="0.2">
      <c r="A32" t="s">
        <v>31</v>
      </c>
      <c r="B32">
        <v>73</v>
      </c>
      <c r="C32">
        <v>1</v>
      </c>
      <c r="D32">
        <v>7</v>
      </c>
      <c r="E32">
        <v>7</v>
      </c>
      <c r="F32">
        <v>0.32483538985252303</v>
      </c>
      <c r="G32">
        <v>1</v>
      </c>
      <c r="H32">
        <v>1</v>
      </c>
      <c r="I32" t="s">
        <v>224</v>
      </c>
    </row>
    <row r="33" spans="1:9" x14ac:dyDescent="0.2">
      <c r="A33" t="s">
        <v>30</v>
      </c>
      <c r="B33">
        <v>121</v>
      </c>
      <c r="C33">
        <v>1</v>
      </c>
      <c r="D33">
        <v>9</v>
      </c>
      <c r="E33">
        <v>9</v>
      </c>
      <c r="F33">
        <v>0.816923908889293</v>
      </c>
      <c r="G33">
        <v>1</v>
      </c>
      <c r="H33">
        <v>1</v>
      </c>
      <c r="I33" t="s">
        <v>225</v>
      </c>
    </row>
    <row r="34" spans="1:9" x14ac:dyDescent="0.2">
      <c r="A34" t="s">
        <v>79</v>
      </c>
      <c r="B34">
        <v>181</v>
      </c>
      <c r="C34">
        <v>1</v>
      </c>
      <c r="D34">
        <v>11</v>
      </c>
      <c r="E34">
        <v>11</v>
      </c>
      <c r="F34">
        <v>1.8497825190424899</v>
      </c>
      <c r="G34">
        <v>1</v>
      </c>
      <c r="H34">
        <v>1</v>
      </c>
      <c r="I34" t="s">
        <v>226</v>
      </c>
    </row>
    <row r="35" spans="1:9" x14ac:dyDescent="0.2">
      <c r="A35" t="s">
        <v>78</v>
      </c>
      <c r="B35">
        <v>169</v>
      </c>
      <c r="C35">
        <v>1</v>
      </c>
      <c r="D35">
        <v>15</v>
      </c>
      <c r="E35">
        <v>15</v>
      </c>
      <c r="F35">
        <v>2.1516650915145801E-2</v>
      </c>
      <c r="G35">
        <v>1</v>
      </c>
      <c r="H35">
        <v>1</v>
      </c>
      <c r="I35" t="s">
        <v>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6B47C-A85E-6241-9498-F9A0736C2391}">
  <dimension ref="A1:I35"/>
  <sheetViews>
    <sheetView topLeftCell="A8" workbookViewId="0">
      <selection activeCell="D41" sqref="D41"/>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97</v>
      </c>
    </row>
    <row r="7" spans="1:1" x14ac:dyDescent="0.2">
      <c r="A7" t="s">
        <v>63</v>
      </c>
    </row>
    <row r="8" spans="1:1" x14ac:dyDescent="0.2">
      <c r="A8" t="s">
        <v>193</v>
      </c>
    </row>
    <row r="9" spans="1:1" x14ac:dyDescent="0.2">
      <c r="A9" t="s">
        <v>61</v>
      </c>
    </row>
    <row r="10" spans="1:1" x14ac:dyDescent="0.2">
      <c r="A10" t="s">
        <v>212</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213</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2.6858627796172999E-2</v>
      </c>
      <c r="G30">
        <v>1</v>
      </c>
      <c r="H30">
        <v>1</v>
      </c>
      <c r="I30" t="s">
        <v>214</v>
      </c>
    </row>
    <row r="31" spans="1:9" x14ac:dyDescent="0.2">
      <c r="A31" t="s">
        <v>32</v>
      </c>
      <c r="B31">
        <v>37</v>
      </c>
      <c r="C31">
        <v>1</v>
      </c>
      <c r="D31">
        <v>5</v>
      </c>
      <c r="E31">
        <v>5</v>
      </c>
      <c r="F31">
        <v>0.11056331545114501</v>
      </c>
      <c r="G31">
        <v>1</v>
      </c>
      <c r="H31">
        <v>1</v>
      </c>
      <c r="I31" t="s">
        <v>215</v>
      </c>
    </row>
    <row r="32" spans="1:9" x14ac:dyDescent="0.2">
      <c r="A32" t="s">
        <v>31</v>
      </c>
      <c r="B32">
        <v>73</v>
      </c>
      <c r="C32">
        <v>1</v>
      </c>
      <c r="D32">
        <v>7</v>
      </c>
      <c r="E32">
        <v>7</v>
      </c>
      <c r="F32">
        <v>0.93616759032010999</v>
      </c>
      <c r="G32">
        <v>1</v>
      </c>
      <c r="H32">
        <v>1</v>
      </c>
      <c r="I32" t="s">
        <v>216</v>
      </c>
    </row>
    <row r="33" spans="1:9" x14ac:dyDescent="0.2">
      <c r="A33" t="s">
        <v>30</v>
      </c>
      <c r="B33">
        <v>121</v>
      </c>
      <c r="C33">
        <v>1</v>
      </c>
      <c r="D33">
        <v>9</v>
      </c>
      <c r="E33">
        <v>9</v>
      </c>
      <c r="F33">
        <v>7.0466314703226001</v>
      </c>
      <c r="G33">
        <v>1</v>
      </c>
      <c r="H33">
        <v>1</v>
      </c>
      <c r="I33" t="s">
        <v>217</v>
      </c>
    </row>
    <row r="34" spans="1:9" x14ac:dyDescent="0.2">
      <c r="A34" t="s">
        <v>79</v>
      </c>
      <c r="B34">
        <v>181</v>
      </c>
      <c r="C34">
        <v>1</v>
      </c>
      <c r="D34">
        <v>11</v>
      </c>
      <c r="E34">
        <v>11</v>
      </c>
      <c r="F34">
        <v>37.541667707264402</v>
      </c>
      <c r="G34">
        <v>1</v>
      </c>
      <c r="H34">
        <v>1</v>
      </c>
      <c r="I34" t="s">
        <v>218</v>
      </c>
    </row>
    <row r="35" spans="1:9" x14ac:dyDescent="0.2">
      <c r="A35" t="s">
        <v>78</v>
      </c>
      <c r="B35">
        <v>169</v>
      </c>
      <c r="C35">
        <v>1</v>
      </c>
      <c r="D35">
        <v>15</v>
      </c>
      <c r="E35">
        <v>15</v>
      </c>
      <c r="F35">
        <v>5.2083984017372097E-2</v>
      </c>
      <c r="G35">
        <v>1</v>
      </c>
      <c r="H35">
        <v>1</v>
      </c>
      <c r="I35" t="s">
        <v>219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0C9A2-BE94-BE41-BE15-B311E70BA1A0}">
  <sheetPr codeName="Sheet2"/>
  <dimension ref="A1:I39"/>
  <sheetViews>
    <sheetView topLeftCell="A6" workbookViewId="0">
      <selection activeCell="E16" sqref="E16"/>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121</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54</v>
      </c>
    </row>
    <row r="17" spans="1:1" x14ac:dyDescent="0.2">
      <c r="A17" t="s">
        <v>53</v>
      </c>
    </row>
    <row r="18" spans="1:1" x14ac:dyDescent="0.2">
      <c r="A18" t="s">
        <v>52</v>
      </c>
    </row>
    <row r="19" spans="1:1" x14ac:dyDescent="0.2">
      <c r="A19" t="s">
        <v>51</v>
      </c>
    </row>
    <row r="20" spans="1:1" x14ac:dyDescent="0.2">
      <c r="A20" t="s">
        <v>50</v>
      </c>
    </row>
    <row r="21" spans="1:1" x14ac:dyDescent="0.2">
      <c r="A21" t="s">
        <v>49</v>
      </c>
    </row>
    <row r="22" spans="1:1" x14ac:dyDescent="0.2">
      <c r="A22" t="s">
        <v>48</v>
      </c>
    </row>
    <row r="23" spans="1:1" x14ac:dyDescent="0.2">
      <c r="A23" t="s">
        <v>47</v>
      </c>
    </row>
    <row r="24" spans="1:1" x14ac:dyDescent="0.2">
      <c r="A24" t="s">
        <v>46</v>
      </c>
    </row>
    <row r="25" spans="1:1" x14ac:dyDescent="0.2">
      <c r="A25" t="s">
        <v>135</v>
      </c>
    </row>
    <row r="26" spans="1:1" x14ac:dyDescent="0.2">
      <c r="A26" t="s">
        <v>120</v>
      </c>
    </row>
    <row r="27" spans="1:1" x14ac:dyDescent="0.2">
      <c r="A27" t="s">
        <v>44</v>
      </c>
    </row>
    <row r="28" spans="1:1" x14ac:dyDescent="0.2">
      <c r="A28" t="s">
        <v>119</v>
      </c>
    </row>
    <row r="29" spans="1:1" x14ac:dyDescent="0.2">
      <c r="A29" t="s">
        <v>118</v>
      </c>
    </row>
    <row r="30" spans="1:1" x14ac:dyDescent="0.2">
      <c r="A30" t="s">
        <v>117</v>
      </c>
    </row>
    <row r="31" spans="1:1" x14ac:dyDescent="0.2">
      <c r="A31" t="s">
        <v>116</v>
      </c>
    </row>
    <row r="32" spans="1:1" x14ac:dyDescent="0.2">
      <c r="A32" t="s">
        <v>115</v>
      </c>
    </row>
    <row r="33" spans="1:9" x14ac:dyDescent="0.2">
      <c r="A33" t="s">
        <v>136</v>
      </c>
    </row>
    <row r="34" spans="1:9" x14ac:dyDescent="0.2">
      <c r="A34" t="s">
        <v>43</v>
      </c>
    </row>
    <row r="35" spans="1:9" x14ac:dyDescent="0.2">
      <c r="A35" t="s">
        <v>42</v>
      </c>
      <c r="B35" t="s">
        <v>41</v>
      </c>
      <c r="C35" t="s">
        <v>40</v>
      </c>
      <c r="D35" t="s">
        <v>39</v>
      </c>
      <c r="E35" t="s">
        <v>38</v>
      </c>
      <c r="F35" t="s">
        <v>37</v>
      </c>
      <c r="G35" t="s">
        <v>36</v>
      </c>
      <c r="H35" t="s">
        <v>35</v>
      </c>
      <c r="I35" t="s">
        <v>34</v>
      </c>
    </row>
    <row r="36" spans="1:9" x14ac:dyDescent="0.2">
      <c r="A36" t="s">
        <v>33</v>
      </c>
      <c r="B36">
        <v>13</v>
      </c>
      <c r="C36">
        <v>1</v>
      </c>
      <c r="D36">
        <v>3</v>
      </c>
      <c r="E36">
        <v>3</v>
      </c>
      <c r="F36">
        <v>17.2494391174986</v>
      </c>
      <c r="G36">
        <v>998</v>
      </c>
      <c r="H36">
        <v>1000</v>
      </c>
      <c r="I36" t="s">
        <v>137</v>
      </c>
    </row>
    <row r="37" spans="1:9" x14ac:dyDescent="0.2">
      <c r="A37" t="s">
        <v>32</v>
      </c>
      <c r="B37">
        <v>37</v>
      </c>
      <c r="C37">
        <v>1</v>
      </c>
      <c r="D37">
        <v>5</v>
      </c>
      <c r="E37">
        <v>5</v>
      </c>
      <c r="F37">
        <v>241.97690241038799</v>
      </c>
      <c r="G37">
        <v>885</v>
      </c>
      <c r="H37">
        <v>1000</v>
      </c>
      <c r="I37" t="s">
        <v>138</v>
      </c>
    </row>
    <row r="38" spans="1:9" x14ac:dyDescent="0.2">
      <c r="A38" t="s">
        <v>31</v>
      </c>
      <c r="B38">
        <v>73</v>
      </c>
      <c r="C38">
        <v>1</v>
      </c>
      <c r="D38">
        <v>7</v>
      </c>
      <c r="E38">
        <v>7</v>
      </c>
      <c r="F38">
        <v>3423.9977038688899</v>
      </c>
      <c r="G38">
        <v>925</v>
      </c>
      <c r="H38">
        <v>1000</v>
      </c>
      <c r="I38" t="s">
        <v>139</v>
      </c>
    </row>
    <row r="39" spans="1:9" x14ac:dyDescent="0.2">
      <c r="A39" t="s">
        <v>30</v>
      </c>
      <c r="B39">
        <v>121</v>
      </c>
      <c r="C39">
        <v>1</v>
      </c>
      <c r="D39">
        <v>9</v>
      </c>
      <c r="E39">
        <v>9</v>
      </c>
      <c r="F39">
        <v>46063.868319330701</v>
      </c>
      <c r="G39">
        <v>942</v>
      </c>
      <c r="H39">
        <v>1000</v>
      </c>
      <c r="I39"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E94A-C049-3D40-A9D7-D4E3549F69A0}">
  <sheetPr codeName="Sheet3"/>
  <dimension ref="A1:I41"/>
  <sheetViews>
    <sheetView topLeftCell="A9" workbookViewId="0">
      <selection activeCell="D22" sqref="D22"/>
    </sheetView>
  </sheetViews>
  <sheetFormatPr baseColWidth="10" defaultColWidth="11"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121</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1" x14ac:dyDescent="0.2">
      <c r="A17" t="s">
        <v>53</v>
      </c>
    </row>
    <row r="18" spans="1:1" x14ac:dyDescent="0.2">
      <c r="A18" t="s">
        <v>52</v>
      </c>
    </row>
    <row r="19" spans="1:1" x14ac:dyDescent="0.2">
      <c r="A19" t="s">
        <v>51</v>
      </c>
    </row>
    <row r="20" spans="1:1" x14ac:dyDescent="0.2">
      <c r="A20" t="s">
        <v>50</v>
      </c>
    </row>
    <row r="21" spans="1:1" x14ac:dyDescent="0.2">
      <c r="A21" t="s">
        <v>49</v>
      </c>
    </row>
    <row r="22" spans="1:1" x14ac:dyDescent="0.2">
      <c r="A22" t="s">
        <v>48</v>
      </c>
    </row>
    <row r="23" spans="1:1" x14ac:dyDescent="0.2">
      <c r="A23" t="s">
        <v>47</v>
      </c>
    </row>
    <row r="24" spans="1:1" x14ac:dyDescent="0.2">
      <c r="A24" t="s">
        <v>46</v>
      </c>
    </row>
    <row r="25" spans="1:1" x14ac:dyDescent="0.2">
      <c r="A25" t="s">
        <v>135</v>
      </c>
    </row>
    <row r="26" spans="1:1" x14ac:dyDescent="0.2">
      <c r="A26" t="s">
        <v>120</v>
      </c>
    </row>
    <row r="27" spans="1:1" x14ac:dyDescent="0.2">
      <c r="A27" t="s">
        <v>44</v>
      </c>
    </row>
    <row r="28" spans="1:1" x14ac:dyDescent="0.2">
      <c r="A28" t="s">
        <v>119</v>
      </c>
    </row>
    <row r="29" spans="1:1" x14ac:dyDescent="0.2">
      <c r="A29" t="s">
        <v>118</v>
      </c>
    </row>
    <row r="30" spans="1:1" x14ac:dyDescent="0.2">
      <c r="A30" t="s">
        <v>117</v>
      </c>
    </row>
    <row r="31" spans="1:1" x14ac:dyDescent="0.2">
      <c r="A31" t="s">
        <v>116</v>
      </c>
    </row>
    <row r="32" spans="1:1" x14ac:dyDescent="0.2">
      <c r="A32" t="s">
        <v>115</v>
      </c>
    </row>
    <row r="33" spans="1:9" x14ac:dyDescent="0.2">
      <c r="A33" t="s">
        <v>141</v>
      </c>
    </row>
    <row r="34" spans="1:9" x14ac:dyDescent="0.2">
      <c r="A34" t="s">
        <v>43</v>
      </c>
    </row>
    <row r="35" spans="1:9" x14ac:dyDescent="0.2">
      <c r="A35" t="s">
        <v>42</v>
      </c>
      <c r="B35" t="s">
        <v>41</v>
      </c>
      <c r="C35" t="s">
        <v>40</v>
      </c>
      <c r="D35" t="s">
        <v>39</v>
      </c>
      <c r="E35" t="s">
        <v>38</v>
      </c>
      <c r="F35" t="s">
        <v>37</v>
      </c>
      <c r="G35" t="s">
        <v>36</v>
      </c>
      <c r="H35" t="s">
        <v>35</v>
      </c>
      <c r="I35" t="s">
        <v>34</v>
      </c>
    </row>
    <row r="36" spans="1:9" x14ac:dyDescent="0.2">
      <c r="A36" t="s">
        <v>33</v>
      </c>
      <c r="B36">
        <v>13</v>
      </c>
      <c r="C36">
        <v>1</v>
      </c>
      <c r="D36">
        <v>3</v>
      </c>
      <c r="E36">
        <v>3</v>
      </c>
      <c r="F36">
        <v>2.8179735532030401</v>
      </c>
      <c r="G36">
        <v>986</v>
      </c>
      <c r="H36">
        <v>1000</v>
      </c>
      <c r="I36" t="s">
        <v>142</v>
      </c>
    </row>
    <row r="37" spans="1:9" x14ac:dyDescent="0.2">
      <c r="A37" t="s">
        <v>32</v>
      </c>
      <c r="B37">
        <v>37</v>
      </c>
      <c r="C37">
        <v>1</v>
      </c>
      <c r="D37">
        <v>5</v>
      </c>
      <c r="E37">
        <v>5</v>
      </c>
      <c r="F37">
        <v>18.702180472202599</v>
      </c>
      <c r="G37">
        <v>999</v>
      </c>
      <c r="H37">
        <v>1000</v>
      </c>
      <c r="I37" t="s">
        <v>143</v>
      </c>
    </row>
    <row r="38" spans="1:9" x14ac:dyDescent="0.2">
      <c r="A38" t="s">
        <v>31</v>
      </c>
      <c r="B38">
        <v>73</v>
      </c>
      <c r="C38">
        <v>1</v>
      </c>
      <c r="D38">
        <v>7</v>
      </c>
      <c r="E38">
        <v>7</v>
      </c>
      <c r="F38">
        <v>63.262618290260399</v>
      </c>
      <c r="G38">
        <v>1000</v>
      </c>
      <c r="H38">
        <v>1000</v>
      </c>
      <c r="I38" t="s">
        <v>144</v>
      </c>
    </row>
    <row r="39" spans="1:9" x14ac:dyDescent="0.2">
      <c r="A39" t="s">
        <v>30</v>
      </c>
      <c r="B39">
        <v>121</v>
      </c>
      <c r="C39">
        <v>1</v>
      </c>
      <c r="D39">
        <v>9</v>
      </c>
      <c r="E39">
        <v>9</v>
      </c>
      <c r="F39">
        <v>158.06753777060601</v>
      </c>
      <c r="G39">
        <v>1000</v>
      </c>
      <c r="H39">
        <v>1000</v>
      </c>
      <c r="I39" t="s">
        <v>140</v>
      </c>
    </row>
    <row r="40" spans="1:9" x14ac:dyDescent="0.2">
      <c r="A40" t="s">
        <v>79</v>
      </c>
      <c r="B40">
        <v>181</v>
      </c>
      <c r="C40">
        <v>1</v>
      </c>
      <c r="D40">
        <v>11</v>
      </c>
      <c r="E40">
        <v>11</v>
      </c>
      <c r="F40">
        <v>389.11002955026902</v>
      </c>
      <c r="G40">
        <v>999</v>
      </c>
      <c r="H40">
        <v>1000</v>
      </c>
      <c r="I40" t="s">
        <v>145</v>
      </c>
    </row>
    <row r="41" spans="1:9" x14ac:dyDescent="0.2">
      <c r="A41" t="s">
        <v>78</v>
      </c>
      <c r="B41">
        <v>169</v>
      </c>
      <c r="C41">
        <v>1</v>
      </c>
      <c r="D41">
        <v>15</v>
      </c>
      <c r="E41">
        <v>15</v>
      </c>
      <c r="F41">
        <v>7.0114611964672804</v>
      </c>
      <c r="G41">
        <v>1000</v>
      </c>
      <c r="H41">
        <v>1000</v>
      </c>
      <c r="I41" t="s">
        <v>133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F6D1-2C85-2D4D-BEFE-5943164B8B14}">
  <sheetPr codeName="Sheet4"/>
  <dimension ref="A1:I35"/>
  <sheetViews>
    <sheetView workbookViewId="0">
      <selection activeCell="J14" sqref="J14"/>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80</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54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153</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0.33127063140273</v>
      </c>
      <c r="G30">
        <v>1</v>
      </c>
      <c r="H30">
        <v>1</v>
      </c>
      <c r="I30" t="s">
        <v>154</v>
      </c>
    </row>
    <row r="31" spans="1:9" x14ac:dyDescent="0.2">
      <c r="A31" t="s">
        <v>32</v>
      </c>
      <c r="B31">
        <v>37</v>
      </c>
      <c r="C31">
        <v>1</v>
      </c>
      <c r="D31">
        <v>5</v>
      </c>
      <c r="E31">
        <v>5</v>
      </c>
      <c r="F31">
        <v>0.72959114983677797</v>
      </c>
      <c r="G31">
        <v>1</v>
      </c>
      <c r="H31">
        <v>1</v>
      </c>
      <c r="I31" t="s">
        <v>155</v>
      </c>
    </row>
    <row r="32" spans="1:9" x14ac:dyDescent="0.2">
      <c r="A32" t="s">
        <v>31</v>
      </c>
      <c r="B32">
        <v>73</v>
      </c>
      <c r="C32">
        <v>1</v>
      </c>
      <c r="D32">
        <v>7</v>
      </c>
      <c r="E32">
        <v>7</v>
      </c>
      <c r="F32">
        <v>2.85433278419077</v>
      </c>
      <c r="G32">
        <v>1</v>
      </c>
      <c r="H32">
        <v>1</v>
      </c>
      <c r="I32" t="s">
        <v>156</v>
      </c>
    </row>
    <row r="33" spans="1:9" x14ac:dyDescent="0.2">
      <c r="A33" t="s">
        <v>30</v>
      </c>
      <c r="B33">
        <v>121</v>
      </c>
      <c r="C33">
        <v>1</v>
      </c>
      <c r="D33">
        <v>10</v>
      </c>
      <c r="E33">
        <v>10</v>
      </c>
      <c r="F33">
        <v>16.275992531329301</v>
      </c>
      <c r="G33">
        <v>1</v>
      </c>
      <c r="H33">
        <v>1</v>
      </c>
      <c r="I33" t="s">
        <v>157</v>
      </c>
    </row>
    <row r="34" spans="1:9" x14ac:dyDescent="0.2">
      <c r="A34" t="s">
        <v>79</v>
      </c>
      <c r="B34">
        <v>181</v>
      </c>
      <c r="C34">
        <v>1</v>
      </c>
      <c r="D34">
        <v>16</v>
      </c>
      <c r="E34">
        <v>16</v>
      </c>
      <c r="F34">
        <v>106.930320253595</v>
      </c>
      <c r="G34">
        <v>1</v>
      </c>
      <c r="H34">
        <v>1</v>
      </c>
      <c r="I34" t="s">
        <v>158</v>
      </c>
    </row>
    <row r="35" spans="1:9" x14ac:dyDescent="0.2">
      <c r="A35" t="s">
        <v>78</v>
      </c>
      <c r="B35">
        <v>169</v>
      </c>
      <c r="C35">
        <v>1</v>
      </c>
      <c r="D35">
        <v>15</v>
      </c>
      <c r="E35">
        <v>15</v>
      </c>
      <c r="F35">
        <v>0.65133793558925301</v>
      </c>
      <c r="G35">
        <v>1</v>
      </c>
      <c r="H35">
        <v>1</v>
      </c>
      <c r="I35"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7BB9E-2C33-0642-93B9-B4164923091E}">
  <sheetPr codeName="Sheet5"/>
  <dimension ref="A1:I35"/>
  <sheetViews>
    <sheetView workbookViewId="0">
      <selection sqref="A1:I36"/>
    </sheetView>
  </sheetViews>
  <sheetFormatPr baseColWidth="10" defaultColWidth="11"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80</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146</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0.28273696359246903</v>
      </c>
      <c r="G30">
        <v>1</v>
      </c>
      <c r="H30">
        <v>1</v>
      </c>
      <c r="I30" t="s">
        <v>147</v>
      </c>
    </row>
    <row r="31" spans="1:9" x14ac:dyDescent="0.2">
      <c r="A31" t="s">
        <v>32</v>
      </c>
      <c r="B31">
        <v>37</v>
      </c>
      <c r="C31">
        <v>1</v>
      </c>
      <c r="D31">
        <v>5</v>
      </c>
      <c r="E31">
        <v>5</v>
      </c>
      <c r="F31">
        <v>0.48022144753485901</v>
      </c>
      <c r="G31">
        <v>1</v>
      </c>
      <c r="H31">
        <v>1</v>
      </c>
      <c r="I31" t="s">
        <v>148</v>
      </c>
    </row>
    <row r="32" spans="1:9" x14ac:dyDescent="0.2">
      <c r="A32" t="s">
        <v>31</v>
      </c>
      <c r="B32">
        <v>73</v>
      </c>
      <c r="C32">
        <v>1</v>
      </c>
      <c r="D32">
        <v>7</v>
      </c>
      <c r="E32">
        <v>7</v>
      </c>
      <c r="F32">
        <v>0.83690893091261298</v>
      </c>
      <c r="G32">
        <v>1</v>
      </c>
      <c r="H32">
        <v>1</v>
      </c>
      <c r="I32" t="s">
        <v>149</v>
      </c>
    </row>
    <row r="33" spans="1:9" x14ac:dyDescent="0.2">
      <c r="A33" t="s">
        <v>30</v>
      </c>
      <c r="B33">
        <v>121</v>
      </c>
      <c r="C33">
        <v>1</v>
      </c>
      <c r="D33">
        <v>9</v>
      </c>
      <c r="E33">
        <v>9</v>
      </c>
      <c r="F33">
        <v>1.4840298164635799</v>
      </c>
      <c r="G33">
        <v>1</v>
      </c>
      <c r="H33">
        <v>1</v>
      </c>
      <c r="I33" t="s">
        <v>150</v>
      </c>
    </row>
    <row r="34" spans="1:9" x14ac:dyDescent="0.2">
      <c r="A34" t="s">
        <v>79</v>
      </c>
      <c r="B34">
        <v>181</v>
      </c>
      <c r="C34">
        <v>1</v>
      </c>
      <c r="D34">
        <v>11</v>
      </c>
      <c r="E34">
        <v>11</v>
      </c>
      <c r="F34">
        <v>3.8270063707605</v>
      </c>
      <c r="G34">
        <v>1</v>
      </c>
      <c r="H34">
        <v>1</v>
      </c>
      <c r="I34" t="s">
        <v>151</v>
      </c>
    </row>
    <row r="35" spans="1:9" x14ac:dyDescent="0.2">
      <c r="A35" t="s">
        <v>78</v>
      </c>
      <c r="B35">
        <v>169</v>
      </c>
      <c r="C35">
        <v>1</v>
      </c>
      <c r="D35">
        <v>15</v>
      </c>
      <c r="E35">
        <v>15</v>
      </c>
      <c r="F35">
        <v>0.105624792166054</v>
      </c>
      <c r="G35">
        <v>1</v>
      </c>
      <c r="H35">
        <v>1</v>
      </c>
      <c r="I35" t="s">
        <v>152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B620-DF49-7645-93AE-C6DAB1D9A162}">
  <sheetPr codeName="Sheet6"/>
  <dimension ref="A1:I35"/>
  <sheetViews>
    <sheetView workbookViewId="0">
      <selection activeCell="J14" sqref="J14"/>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64</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54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167</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2.8511453894898202</v>
      </c>
      <c r="G30">
        <v>999</v>
      </c>
      <c r="H30">
        <v>1000</v>
      </c>
      <c r="I30" t="s">
        <v>168</v>
      </c>
    </row>
    <row r="31" spans="1:9" x14ac:dyDescent="0.2">
      <c r="A31" t="s">
        <v>32</v>
      </c>
      <c r="B31">
        <v>37</v>
      </c>
      <c r="C31">
        <v>1</v>
      </c>
      <c r="D31">
        <v>5</v>
      </c>
      <c r="E31">
        <v>5</v>
      </c>
      <c r="F31">
        <v>44.4246824197471</v>
      </c>
      <c r="G31">
        <v>990</v>
      </c>
      <c r="H31">
        <v>1000</v>
      </c>
      <c r="I31" t="s">
        <v>169</v>
      </c>
    </row>
    <row r="32" spans="1:9" x14ac:dyDescent="0.2">
      <c r="A32" t="s">
        <v>31</v>
      </c>
      <c r="B32">
        <v>73</v>
      </c>
      <c r="C32">
        <v>1</v>
      </c>
      <c r="D32">
        <v>9</v>
      </c>
      <c r="E32">
        <v>9</v>
      </c>
      <c r="F32">
        <v>331.96561232395402</v>
      </c>
      <c r="G32">
        <v>988</v>
      </c>
      <c r="H32">
        <v>1000</v>
      </c>
      <c r="I32" t="s">
        <v>170</v>
      </c>
    </row>
    <row r="33" spans="1:9" x14ac:dyDescent="0.2">
      <c r="A33" t="s">
        <v>30</v>
      </c>
      <c r="B33">
        <v>121</v>
      </c>
      <c r="C33">
        <v>1</v>
      </c>
      <c r="D33">
        <v>16</v>
      </c>
      <c r="E33">
        <v>16</v>
      </c>
      <c r="F33">
        <v>1734.40478197578</v>
      </c>
      <c r="G33">
        <v>695</v>
      </c>
      <c r="H33">
        <v>1000</v>
      </c>
      <c r="I33" t="s">
        <v>171</v>
      </c>
    </row>
    <row r="34" spans="1:9" x14ac:dyDescent="0.2">
      <c r="A34" t="s">
        <v>79</v>
      </c>
      <c r="B34">
        <v>181</v>
      </c>
      <c r="C34">
        <v>1</v>
      </c>
      <c r="D34">
        <v>24</v>
      </c>
      <c r="E34">
        <v>24</v>
      </c>
      <c r="F34">
        <v>6885.5257490593904</v>
      </c>
      <c r="G34">
        <v>987</v>
      </c>
      <c r="H34">
        <v>1000</v>
      </c>
      <c r="I34" t="s">
        <v>172</v>
      </c>
    </row>
    <row r="35" spans="1:9" x14ac:dyDescent="0.2">
      <c r="A35" t="s">
        <v>78</v>
      </c>
      <c r="B35">
        <v>169</v>
      </c>
      <c r="C35">
        <v>1</v>
      </c>
      <c r="D35">
        <v>15</v>
      </c>
      <c r="E35">
        <v>15</v>
      </c>
      <c r="F35">
        <v>1.2486037854105201</v>
      </c>
      <c r="G35">
        <v>989</v>
      </c>
      <c r="H35">
        <v>1000</v>
      </c>
      <c r="I35" t="s">
        <v>173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85E97-1AEC-7F48-A577-70707BA3E6EC}">
  <sheetPr codeName="Sheet7"/>
  <dimension ref="A1:I35"/>
  <sheetViews>
    <sheetView workbookViewId="0">
      <selection activeCell="D10" sqref="D10"/>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64</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160</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0.44244348164647801</v>
      </c>
      <c r="G30">
        <v>1000</v>
      </c>
      <c r="H30">
        <v>1000</v>
      </c>
      <c r="I30" t="s">
        <v>161</v>
      </c>
    </row>
    <row r="31" spans="1:9" x14ac:dyDescent="0.2">
      <c r="A31" t="s">
        <v>32</v>
      </c>
      <c r="B31">
        <v>37</v>
      </c>
      <c r="C31">
        <v>1</v>
      </c>
      <c r="D31">
        <v>5</v>
      </c>
      <c r="E31">
        <v>5</v>
      </c>
      <c r="F31">
        <v>4.8924256218597204</v>
      </c>
      <c r="G31">
        <v>999</v>
      </c>
      <c r="H31">
        <v>1000</v>
      </c>
      <c r="I31" t="s">
        <v>162</v>
      </c>
    </row>
    <row r="32" spans="1:9" x14ac:dyDescent="0.2">
      <c r="A32" t="s">
        <v>31</v>
      </c>
      <c r="B32">
        <v>73</v>
      </c>
      <c r="C32">
        <v>1</v>
      </c>
      <c r="D32">
        <v>7</v>
      </c>
      <c r="E32">
        <v>7</v>
      </c>
      <c r="F32">
        <v>10.939991970546499</v>
      </c>
      <c r="G32">
        <v>986</v>
      </c>
      <c r="H32">
        <v>1000</v>
      </c>
      <c r="I32" t="s">
        <v>163</v>
      </c>
    </row>
    <row r="33" spans="1:9" x14ac:dyDescent="0.2">
      <c r="A33" t="s">
        <v>30</v>
      </c>
      <c r="B33">
        <v>121</v>
      </c>
      <c r="C33">
        <v>1</v>
      </c>
      <c r="D33">
        <v>9</v>
      </c>
      <c r="E33">
        <v>9</v>
      </c>
      <c r="F33">
        <v>50.057701141573403</v>
      </c>
      <c r="G33">
        <v>982</v>
      </c>
      <c r="H33">
        <v>1000</v>
      </c>
      <c r="I33" t="s">
        <v>164</v>
      </c>
    </row>
    <row r="34" spans="1:9" x14ac:dyDescent="0.2">
      <c r="A34" t="s">
        <v>79</v>
      </c>
      <c r="B34">
        <v>181</v>
      </c>
      <c r="C34">
        <v>1</v>
      </c>
      <c r="D34">
        <v>12</v>
      </c>
      <c r="E34">
        <v>12</v>
      </c>
      <c r="F34">
        <v>165.88716191239601</v>
      </c>
      <c r="G34">
        <v>276</v>
      </c>
      <c r="H34">
        <v>1000</v>
      </c>
      <c r="I34" t="s">
        <v>165</v>
      </c>
    </row>
    <row r="35" spans="1:9" x14ac:dyDescent="0.2">
      <c r="A35" t="s">
        <v>78</v>
      </c>
      <c r="B35">
        <v>169</v>
      </c>
      <c r="C35">
        <v>1</v>
      </c>
      <c r="D35">
        <v>15</v>
      </c>
      <c r="E35">
        <v>15</v>
      </c>
      <c r="F35">
        <v>0.92672115936875299</v>
      </c>
      <c r="G35">
        <v>984</v>
      </c>
      <c r="H35">
        <v>1000</v>
      </c>
      <c r="I35" t="s">
        <v>166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DAC03-ACA3-AF4F-859A-06D50B9B7D9D}">
  <sheetPr codeName="Sheet8"/>
  <dimension ref="A1:I35"/>
  <sheetViews>
    <sheetView workbookViewId="0">
      <selection activeCell="H17" sqref="H17"/>
    </sheetView>
  </sheetViews>
  <sheetFormatPr baseColWidth="10"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124</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54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181</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0.73373936489224401</v>
      </c>
      <c r="G30">
        <v>926</v>
      </c>
      <c r="H30">
        <v>1000</v>
      </c>
      <c r="I30" t="s">
        <v>182</v>
      </c>
    </row>
    <row r="31" spans="1:9" x14ac:dyDescent="0.2">
      <c r="A31" t="s">
        <v>32</v>
      </c>
      <c r="B31">
        <v>37</v>
      </c>
      <c r="C31">
        <v>1</v>
      </c>
      <c r="D31">
        <v>5</v>
      </c>
      <c r="E31">
        <v>5</v>
      </c>
      <c r="F31">
        <v>25.729914286173798</v>
      </c>
      <c r="G31">
        <v>224</v>
      </c>
      <c r="H31">
        <v>1000</v>
      </c>
      <c r="I31" t="s">
        <v>183</v>
      </c>
    </row>
    <row r="32" spans="1:9" x14ac:dyDescent="0.2">
      <c r="A32" t="s">
        <v>31</v>
      </c>
      <c r="B32">
        <v>73</v>
      </c>
      <c r="C32">
        <v>1</v>
      </c>
      <c r="D32">
        <v>7</v>
      </c>
      <c r="E32">
        <v>7</v>
      </c>
      <c r="F32">
        <v>285.05697299726302</v>
      </c>
      <c r="G32">
        <v>6</v>
      </c>
      <c r="H32">
        <v>1000</v>
      </c>
      <c r="I32" t="s">
        <v>184</v>
      </c>
    </row>
    <row r="33" spans="1:9" x14ac:dyDescent="0.2">
      <c r="A33" t="s">
        <v>30</v>
      </c>
      <c r="B33">
        <v>121</v>
      </c>
      <c r="C33">
        <v>1</v>
      </c>
      <c r="D33">
        <v>9</v>
      </c>
      <c r="E33">
        <v>9</v>
      </c>
      <c r="F33">
        <v>1653.0583957470899</v>
      </c>
      <c r="G33">
        <v>1</v>
      </c>
      <c r="H33">
        <v>1000</v>
      </c>
      <c r="I33" t="s">
        <v>185</v>
      </c>
    </row>
    <row r="34" spans="1:9" x14ac:dyDescent="0.2">
      <c r="A34" t="s">
        <v>79</v>
      </c>
      <c r="B34">
        <v>181</v>
      </c>
      <c r="C34">
        <v>1</v>
      </c>
      <c r="D34">
        <v>15</v>
      </c>
      <c r="E34">
        <v>15</v>
      </c>
      <c r="F34">
        <v>7643.9571819389203</v>
      </c>
      <c r="G34">
        <v>2</v>
      </c>
      <c r="H34">
        <v>1000</v>
      </c>
      <c r="I34" t="s">
        <v>186</v>
      </c>
    </row>
    <row r="35" spans="1:9" x14ac:dyDescent="0.2">
      <c r="A35" t="s">
        <v>78</v>
      </c>
      <c r="B35">
        <v>169</v>
      </c>
      <c r="C35">
        <v>1</v>
      </c>
      <c r="D35">
        <v>15</v>
      </c>
      <c r="E35">
        <v>15</v>
      </c>
      <c r="F35">
        <v>0.49692895542830201</v>
      </c>
      <c r="G35">
        <v>311</v>
      </c>
      <c r="H35">
        <v>1000</v>
      </c>
      <c r="I35" t="s">
        <v>187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1FFD-9D10-C142-95C5-91AEC18EC1FE}">
  <sheetPr codeName="Sheet9"/>
  <dimension ref="A1:I35"/>
  <sheetViews>
    <sheetView workbookViewId="0">
      <selection activeCell="H15" sqref="H15"/>
    </sheetView>
  </sheetViews>
  <sheetFormatPr baseColWidth="10" defaultColWidth="11"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124</v>
      </c>
    </row>
    <row r="7" spans="1:1" x14ac:dyDescent="0.2">
      <c r="A7" t="s">
        <v>63</v>
      </c>
    </row>
    <row r="8" spans="1:1" x14ac:dyDescent="0.2">
      <c r="A8" t="s">
        <v>62</v>
      </c>
    </row>
    <row r="9" spans="1:1" x14ac:dyDescent="0.2">
      <c r="A9" t="s">
        <v>61</v>
      </c>
    </row>
    <row r="10" spans="1:1" x14ac:dyDescent="0.2">
      <c r="A10" t="s">
        <v>60</v>
      </c>
    </row>
    <row r="11" spans="1:1" x14ac:dyDescent="0.2">
      <c r="A11" t="s">
        <v>59</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135</v>
      </c>
    </row>
    <row r="26" spans="1:9" x14ac:dyDescent="0.2">
      <c r="A26" t="s">
        <v>44</v>
      </c>
    </row>
    <row r="27" spans="1:9" x14ac:dyDescent="0.2">
      <c r="A27" t="s">
        <v>174</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0.23274094145745</v>
      </c>
      <c r="G30">
        <v>998</v>
      </c>
      <c r="H30">
        <v>1000</v>
      </c>
      <c r="I30" t="s">
        <v>175</v>
      </c>
    </row>
    <row r="31" spans="1:9" x14ac:dyDescent="0.2">
      <c r="A31" t="s">
        <v>32</v>
      </c>
      <c r="B31">
        <v>37</v>
      </c>
      <c r="C31">
        <v>1</v>
      </c>
      <c r="D31">
        <v>5</v>
      </c>
      <c r="E31">
        <v>5</v>
      </c>
      <c r="F31">
        <v>1.4938262300565801</v>
      </c>
      <c r="G31">
        <v>913</v>
      </c>
      <c r="H31">
        <v>1000</v>
      </c>
      <c r="I31" t="s">
        <v>176</v>
      </c>
    </row>
    <row r="32" spans="1:9" x14ac:dyDescent="0.2">
      <c r="A32" t="s">
        <v>31</v>
      </c>
      <c r="B32">
        <v>73</v>
      </c>
      <c r="C32">
        <v>1</v>
      </c>
      <c r="D32">
        <v>7</v>
      </c>
      <c r="E32">
        <v>7</v>
      </c>
      <c r="F32">
        <v>8.1337884133681602</v>
      </c>
      <c r="G32">
        <v>617</v>
      </c>
      <c r="H32">
        <v>1000</v>
      </c>
      <c r="I32" t="s">
        <v>177</v>
      </c>
    </row>
    <row r="33" spans="1:9" x14ac:dyDescent="0.2">
      <c r="A33" t="s">
        <v>30</v>
      </c>
      <c r="B33">
        <v>121</v>
      </c>
      <c r="C33">
        <v>1</v>
      </c>
      <c r="D33">
        <v>9</v>
      </c>
      <c r="E33">
        <v>9</v>
      </c>
      <c r="F33">
        <v>43.117605099454501</v>
      </c>
      <c r="G33">
        <v>273</v>
      </c>
      <c r="H33">
        <v>1000</v>
      </c>
      <c r="I33" t="s">
        <v>178</v>
      </c>
    </row>
    <row r="34" spans="1:9" x14ac:dyDescent="0.2">
      <c r="A34" t="s">
        <v>79</v>
      </c>
      <c r="B34">
        <v>181</v>
      </c>
      <c r="C34">
        <v>1</v>
      </c>
      <c r="D34">
        <v>11</v>
      </c>
      <c r="E34">
        <v>11</v>
      </c>
      <c r="F34">
        <v>163.15555481798901</v>
      </c>
      <c r="G34">
        <v>86</v>
      </c>
      <c r="H34">
        <v>1000</v>
      </c>
      <c r="I34" t="s">
        <v>179</v>
      </c>
    </row>
    <row r="35" spans="1:9" x14ac:dyDescent="0.2">
      <c r="A35" t="s">
        <v>78</v>
      </c>
      <c r="B35">
        <v>169</v>
      </c>
      <c r="C35">
        <v>1</v>
      </c>
      <c r="D35">
        <v>15</v>
      </c>
      <c r="E35">
        <v>15</v>
      </c>
      <c r="F35">
        <v>0.54226434044539895</v>
      </c>
      <c r="G35">
        <v>315</v>
      </c>
      <c r="H35">
        <v>1000</v>
      </c>
      <c r="I35" t="s">
        <v>180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C316C-5AE5-5A4E-B266-5714B8ED8040}">
  <sheetPr codeName="Sheet10"/>
  <dimension ref="A1:I15"/>
  <sheetViews>
    <sheetView workbookViewId="0">
      <selection activeCell="H24" sqref="H24"/>
    </sheetView>
  </sheetViews>
  <sheetFormatPr baseColWidth="10" defaultRowHeight="16" x14ac:dyDescent="0.2"/>
  <sheetData>
    <row r="1" spans="1:9" x14ac:dyDescent="0.2">
      <c r="A1" t="s">
        <v>66</v>
      </c>
    </row>
    <row r="2" spans="1:9" x14ac:dyDescent="0.2">
      <c r="A2" t="s">
        <v>65</v>
      </c>
    </row>
    <row r="3" spans="1:9" x14ac:dyDescent="0.2">
      <c r="A3" t="s">
        <v>77</v>
      </c>
    </row>
    <row r="4" spans="1:9" x14ac:dyDescent="0.2">
      <c r="A4" t="s">
        <v>76</v>
      </c>
    </row>
    <row r="5" spans="1:9" x14ac:dyDescent="0.2">
      <c r="A5" t="s">
        <v>75</v>
      </c>
    </row>
    <row r="6" spans="1:9" x14ac:dyDescent="0.2">
      <c r="A6" t="s">
        <v>58</v>
      </c>
    </row>
    <row r="7" spans="1:9" x14ac:dyDescent="0.2">
      <c r="A7" t="s">
        <v>57</v>
      </c>
    </row>
    <row r="8" spans="1:9" x14ac:dyDescent="0.2">
      <c r="A8" t="s">
        <v>56</v>
      </c>
    </row>
    <row r="9" spans="1:9" x14ac:dyDescent="0.2">
      <c r="A9" t="s">
        <v>74</v>
      </c>
    </row>
    <row r="10" spans="1:9" x14ac:dyDescent="0.2">
      <c r="A10" t="s">
        <v>73</v>
      </c>
    </row>
    <row r="11" spans="1:9" x14ac:dyDescent="0.2">
      <c r="A11" t="s">
        <v>72</v>
      </c>
    </row>
    <row r="12" spans="1:9" x14ac:dyDescent="0.2">
      <c r="A12" t="s">
        <v>43</v>
      </c>
    </row>
    <row r="13" spans="1:9" x14ac:dyDescent="0.2">
      <c r="A13" t="s">
        <v>42</v>
      </c>
      <c r="B13" t="s">
        <v>41</v>
      </c>
      <c r="C13" t="s">
        <v>40</v>
      </c>
      <c r="D13" t="s">
        <v>39</v>
      </c>
      <c r="E13" t="s">
        <v>38</v>
      </c>
      <c r="F13" t="s">
        <v>37</v>
      </c>
      <c r="G13" t="s">
        <v>36</v>
      </c>
      <c r="H13" t="s">
        <v>35</v>
      </c>
      <c r="I13" t="s">
        <v>34</v>
      </c>
    </row>
    <row r="14" spans="1:9" x14ac:dyDescent="0.2">
      <c r="A14" t="s">
        <v>33</v>
      </c>
      <c r="B14">
        <v>13</v>
      </c>
      <c r="C14">
        <v>1</v>
      </c>
      <c r="D14">
        <v>3</v>
      </c>
      <c r="E14">
        <v>3</v>
      </c>
      <c r="F14">
        <v>0.11879432399291499</v>
      </c>
      <c r="G14">
        <v>1</v>
      </c>
      <c r="H14">
        <v>1</v>
      </c>
      <c r="I14" t="s">
        <v>71</v>
      </c>
    </row>
    <row r="15" spans="1:9" x14ac:dyDescent="0.2">
      <c r="A15" t="s">
        <v>32</v>
      </c>
      <c r="B15">
        <v>37</v>
      </c>
      <c r="C15">
        <v>1</v>
      </c>
      <c r="D15">
        <v>5</v>
      </c>
      <c r="E15">
        <v>5</v>
      </c>
      <c r="F15">
        <v>82.818262811983004</v>
      </c>
      <c r="G15">
        <v>1</v>
      </c>
      <c r="H15">
        <v>1</v>
      </c>
      <c r="I15" t="s">
        <v>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C257B-555B-F44B-A4A6-48CEBA5FE4B4}">
  <dimension ref="A23:I30"/>
  <sheetViews>
    <sheetView workbookViewId="0">
      <selection sqref="A1:XFD1048576"/>
    </sheetView>
  </sheetViews>
  <sheetFormatPr baseColWidth="10" defaultColWidth="11" defaultRowHeight="16" x14ac:dyDescent="0.2"/>
  <sheetData>
    <row r="23" spans="1:9" x14ac:dyDescent="0.2">
      <c r="A23" t="s">
        <v>43</v>
      </c>
    </row>
    <row r="24" spans="1:9" x14ac:dyDescent="0.2">
      <c r="A24" t="s">
        <v>42</v>
      </c>
      <c r="B24" t="s">
        <v>41</v>
      </c>
      <c r="C24" t="s">
        <v>40</v>
      </c>
      <c r="D24" t="s">
        <v>39</v>
      </c>
      <c r="E24" t="s">
        <v>38</v>
      </c>
      <c r="F24" t="s">
        <v>37</v>
      </c>
      <c r="G24" t="s">
        <v>36</v>
      </c>
      <c r="H24" t="s">
        <v>35</v>
      </c>
      <c r="I24" t="s">
        <v>34</v>
      </c>
    </row>
    <row r="25" spans="1:9" x14ac:dyDescent="0.2">
      <c r="A25" t="s">
        <v>33</v>
      </c>
      <c r="B25">
        <v>13</v>
      </c>
      <c r="C25">
        <v>1</v>
      </c>
      <c r="D25">
        <v>3</v>
      </c>
      <c r="E25">
        <v>3</v>
      </c>
      <c r="F25">
        <v>3.0640831217169699E-2</v>
      </c>
      <c r="G25">
        <v>1</v>
      </c>
      <c r="H25">
        <v>1</v>
      </c>
      <c r="I25" t="s">
        <v>189</v>
      </c>
    </row>
    <row r="26" spans="1:9" x14ac:dyDescent="0.2">
      <c r="A26" t="s">
        <v>32</v>
      </c>
      <c r="B26">
        <v>37</v>
      </c>
      <c r="C26">
        <v>1</v>
      </c>
      <c r="D26">
        <v>5</v>
      </c>
      <c r="E26">
        <v>5</v>
      </c>
      <c r="F26">
        <v>0.10804974008351501</v>
      </c>
      <c r="G26">
        <v>1</v>
      </c>
      <c r="H26">
        <v>1</v>
      </c>
      <c r="I26" t="s">
        <v>190</v>
      </c>
    </row>
    <row r="27" spans="1:9" x14ac:dyDescent="0.2">
      <c r="A27" t="s">
        <v>31</v>
      </c>
      <c r="B27">
        <v>73</v>
      </c>
      <c r="C27">
        <v>1</v>
      </c>
      <c r="D27">
        <v>7</v>
      </c>
      <c r="E27">
        <v>7</v>
      </c>
      <c r="F27">
        <v>46.176662079989903</v>
      </c>
      <c r="G27">
        <v>1</v>
      </c>
      <c r="H27">
        <v>1</v>
      </c>
      <c r="I27" t="s">
        <v>191</v>
      </c>
    </row>
    <row r="28" spans="1:9" x14ac:dyDescent="0.2">
      <c r="A28" t="s">
        <v>30</v>
      </c>
      <c r="B28">
        <v>121</v>
      </c>
      <c r="C28">
        <v>1</v>
      </c>
      <c r="D28">
        <v>0</v>
      </c>
      <c r="E28">
        <v>0</v>
      </c>
      <c r="F28">
        <v>28800.643125166102</v>
      </c>
      <c r="G28">
        <v>1</v>
      </c>
      <c r="H28">
        <v>1</v>
      </c>
    </row>
    <row r="29" spans="1:9" x14ac:dyDescent="0.2">
      <c r="A29" t="s">
        <v>79</v>
      </c>
      <c r="B29">
        <v>181</v>
      </c>
      <c r="C29">
        <v>1</v>
      </c>
      <c r="D29">
        <v>0</v>
      </c>
      <c r="E29">
        <v>0</v>
      </c>
      <c r="F29">
        <v>28801.1490237861</v>
      </c>
      <c r="G29">
        <v>1</v>
      </c>
      <c r="H29">
        <v>1</v>
      </c>
    </row>
    <row r="30" spans="1:9" x14ac:dyDescent="0.2">
      <c r="A30" t="s">
        <v>78</v>
      </c>
      <c r="B30">
        <v>169</v>
      </c>
      <c r="C30">
        <v>1</v>
      </c>
      <c r="D30">
        <v>15</v>
      </c>
      <c r="E30">
        <v>15</v>
      </c>
      <c r="F30">
        <v>6.4401171999052096</v>
      </c>
      <c r="G30">
        <v>1</v>
      </c>
      <c r="H30">
        <v>1</v>
      </c>
      <c r="I30" t="s">
        <v>192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1C17-5455-8B45-9E6A-30267D7B8C09}">
  <sheetPr codeName="Sheet11"/>
  <dimension ref="A1:I19"/>
  <sheetViews>
    <sheetView workbookViewId="0">
      <selection activeCell="K30" sqref="K30"/>
    </sheetView>
  </sheetViews>
  <sheetFormatPr baseColWidth="10" defaultRowHeight="16" x14ac:dyDescent="0.2"/>
  <sheetData>
    <row r="1" spans="1:9" x14ac:dyDescent="0.2">
      <c r="A1" t="s">
        <v>66</v>
      </c>
    </row>
    <row r="2" spans="1:9" x14ac:dyDescent="0.2">
      <c r="A2" t="s">
        <v>65</v>
      </c>
    </row>
    <row r="3" spans="1:9" x14ac:dyDescent="0.2">
      <c r="A3" t="s">
        <v>89</v>
      </c>
    </row>
    <row r="4" spans="1:9" x14ac:dyDescent="0.2">
      <c r="A4" t="s">
        <v>76</v>
      </c>
    </row>
    <row r="5" spans="1:9" x14ac:dyDescent="0.2">
      <c r="A5" t="s">
        <v>75</v>
      </c>
    </row>
    <row r="6" spans="1:9" x14ac:dyDescent="0.2">
      <c r="A6" t="s">
        <v>58</v>
      </c>
    </row>
    <row r="7" spans="1:9" x14ac:dyDescent="0.2">
      <c r="A7" t="s">
        <v>57</v>
      </c>
    </row>
    <row r="8" spans="1:9" x14ac:dyDescent="0.2">
      <c r="A8" t="s">
        <v>56</v>
      </c>
    </row>
    <row r="9" spans="1:9" x14ac:dyDescent="0.2">
      <c r="A9" t="s">
        <v>74</v>
      </c>
    </row>
    <row r="10" spans="1:9" x14ac:dyDescent="0.2">
      <c r="A10" t="s">
        <v>88</v>
      </c>
    </row>
    <row r="11" spans="1:9" x14ac:dyDescent="0.2">
      <c r="A11" t="s">
        <v>87</v>
      </c>
    </row>
    <row r="12" spans="1:9" x14ac:dyDescent="0.2">
      <c r="A12" t="s">
        <v>43</v>
      </c>
    </row>
    <row r="13" spans="1:9" x14ac:dyDescent="0.2">
      <c r="A13" t="s">
        <v>42</v>
      </c>
      <c r="B13" t="s">
        <v>41</v>
      </c>
      <c r="C13" t="s">
        <v>40</v>
      </c>
      <c r="D13" t="s">
        <v>39</v>
      </c>
      <c r="E13" t="s">
        <v>38</v>
      </c>
      <c r="F13" t="s">
        <v>37</v>
      </c>
      <c r="G13" t="s">
        <v>36</v>
      </c>
      <c r="H13" t="s">
        <v>35</v>
      </c>
      <c r="I13" t="s">
        <v>34</v>
      </c>
    </row>
    <row r="14" spans="1:9" x14ac:dyDescent="0.2">
      <c r="A14" t="s">
        <v>33</v>
      </c>
      <c r="B14">
        <v>13</v>
      </c>
      <c r="C14">
        <v>1</v>
      </c>
      <c r="D14">
        <v>3</v>
      </c>
      <c r="E14">
        <v>3</v>
      </c>
      <c r="F14">
        <v>0.976656403000006</v>
      </c>
      <c r="G14">
        <v>1</v>
      </c>
      <c r="H14">
        <v>1</v>
      </c>
      <c r="I14" t="s">
        <v>86</v>
      </c>
    </row>
    <row r="15" spans="1:9" x14ac:dyDescent="0.2">
      <c r="A15" t="s">
        <v>32</v>
      </c>
      <c r="B15">
        <v>37</v>
      </c>
      <c r="C15">
        <v>1</v>
      </c>
      <c r="D15">
        <v>5</v>
      </c>
      <c r="E15">
        <v>5</v>
      </c>
      <c r="F15">
        <v>597.64286825399995</v>
      </c>
      <c r="G15">
        <v>1</v>
      </c>
      <c r="H15">
        <v>1</v>
      </c>
      <c r="I15" t="s">
        <v>85</v>
      </c>
    </row>
    <row r="16" spans="1:9" x14ac:dyDescent="0.2">
      <c r="A16" t="s">
        <v>31</v>
      </c>
      <c r="B16">
        <v>73</v>
      </c>
      <c r="C16">
        <v>1</v>
      </c>
      <c r="D16">
        <v>7</v>
      </c>
      <c r="E16">
        <v>7</v>
      </c>
      <c r="F16">
        <v>28824.848055805898</v>
      </c>
      <c r="G16">
        <v>1</v>
      </c>
      <c r="H16">
        <v>1</v>
      </c>
      <c r="I16" t="s">
        <v>84</v>
      </c>
    </row>
    <row r="17" spans="1:9" x14ac:dyDescent="0.2">
      <c r="A17" t="s">
        <v>30</v>
      </c>
      <c r="B17">
        <v>121</v>
      </c>
      <c r="C17">
        <v>1</v>
      </c>
      <c r="D17">
        <v>10</v>
      </c>
      <c r="E17">
        <v>10</v>
      </c>
      <c r="F17">
        <v>28828.451095148001</v>
      </c>
      <c r="G17">
        <v>1</v>
      </c>
      <c r="H17">
        <v>1</v>
      </c>
      <c r="I17" t="s">
        <v>83</v>
      </c>
    </row>
    <row r="18" spans="1:9" x14ac:dyDescent="0.2">
      <c r="A18" t="s">
        <v>79</v>
      </c>
      <c r="B18">
        <v>181</v>
      </c>
      <c r="C18">
        <v>1</v>
      </c>
      <c r="D18">
        <v>0</v>
      </c>
      <c r="E18">
        <v>0</v>
      </c>
      <c r="F18">
        <v>28811.493860978899</v>
      </c>
      <c r="G18">
        <v>1</v>
      </c>
      <c r="H18">
        <v>1</v>
      </c>
      <c r="I18" t="s">
        <v>82</v>
      </c>
    </row>
    <row r="19" spans="1:9" x14ac:dyDescent="0.2">
      <c r="A19" t="s">
        <v>78</v>
      </c>
      <c r="B19">
        <v>169</v>
      </c>
      <c r="C19">
        <v>1</v>
      </c>
      <c r="D19">
        <v>15</v>
      </c>
      <c r="E19">
        <v>15</v>
      </c>
      <c r="F19">
        <v>676.96504294499698</v>
      </c>
      <c r="G19">
        <v>1</v>
      </c>
      <c r="H19">
        <v>1</v>
      </c>
      <c r="I19" t="s">
        <v>81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1702-8365-6B4A-AE31-D8CCB166A014}">
  <dimension ref="A1:I36"/>
  <sheetViews>
    <sheetView workbookViewId="0">
      <selection sqref="A1:XFD1048576"/>
    </sheetView>
  </sheetViews>
  <sheetFormatPr baseColWidth="10" defaultColWidth="11"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89</v>
      </c>
    </row>
    <row r="7" spans="1:1" x14ac:dyDescent="0.2">
      <c r="A7" t="s">
        <v>63</v>
      </c>
    </row>
    <row r="8" spans="1:1" x14ac:dyDescent="0.2">
      <c r="A8" t="s">
        <v>193</v>
      </c>
    </row>
    <row r="9" spans="1:1" x14ac:dyDescent="0.2">
      <c r="A9" t="s">
        <v>61</v>
      </c>
    </row>
    <row r="10" spans="1:1" x14ac:dyDescent="0.2">
      <c r="A10" t="s">
        <v>60</v>
      </c>
    </row>
    <row r="11" spans="1:1" x14ac:dyDescent="0.2">
      <c r="A11" t="s">
        <v>113</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45</v>
      </c>
    </row>
    <row r="26" spans="1:9" x14ac:dyDescent="0.2">
      <c r="A26" t="s">
        <v>88</v>
      </c>
    </row>
    <row r="27" spans="1:9" x14ac:dyDescent="0.2">
      <c r="A27" t="s">
        <v>44</v>
      </c>
    </row>
    <row r="28" spans="1:9" x14ac:dyDescent="0.2">
      <c r="A28" t="s">
        <v>194</v>
      </c>
    </row>
    <row r="29" spans="1:9" x14ac:dyDescent="0.2">
      <c r="A29" t="s">
        <v>43</v>
      </c>
    </row>
    <row r="30" spans="1:9" x14ac:dyDescent="0.2">
      <c r="A30" t="s">
        <v>42</v>
      </c>
      <c r="B30" t="s">
        <v>41</v>
      </c>
      <c r="C30" t="s">
        <v>40</v>
      </c>
      <c r="D30" t="s">
        <v>39</v>
      </c>
      <c r="E30" t="s">
        <v>38</v>
      </c>
      <c r="F30" t="s">
        <v>37</v>
      </c>
      <c r="G30" t="s">
        <v>36</v>
      </c>
      <c r="H30" t="s">
        <v>35</v>
      </c>
      <c r="I30" t="s">
        <v>34</v>
      </c>
    </row>
    <row r="31" spans="1:9" x14ac:dyDescent="0.2">
      <c r="A31" t="s">
        <v>33</v>
      </c>
      <c r="B31">
        <v>13</v>
      </c>
      <c r="C31">
        <v>1</v>
      </c>
      <c r="D31">
        <v>3</v>
      </c>
      <c r="E31">
        <v>3</v>
      </c>
      <c r="F31">
        <v>0.17091117240488499</v>
      </c>
      <c r="G31">
        <v>1</v>
      </c>
      <c r="H31">
        <v>1</v>
      </c>
      <c r="I31" t="s">
        <v>195</v>
      </c>
    </row>
    <row r="32" spans="1:9" x14ac:dyDescent="0.2">
      <c r="A32" t="s">
        <v>32</v>
      </c>
      <c r="B32">
        <v>37</v>
      </c>
      <c r="C32">
        <v>1</v>
      </c>
      <c r="D32">
        <v>5</v>
      </c>
      <c r="E32">
        <v>5</v>
      </c>
      <c r="F32">
        <v>14.307818245142601</v>
      </c>
      <c r="G32">
        <v>1</v>
      </c>
      <c r="H32">
        <v>1</v>
      </c>
      <c r="I32" t="s">
        <v>196</v>
      </c>
    </row>
    <row r="33" spans="1:9" x14ac:dyDescent="0.2">
      <c r="A33" t="s">
        <v>31</v>
      </c>
      <c r="B33">
        <v>73</v>
      </c>
      <c r="C33">
        <v>1</v>
      </c>
      <c r="D33">
        <v>7</v>
      </c>
      <c r="E33">
        <v>7</v>
      </c>
      <c r="F33">
        <v>9721.5675252312794</v>
      </c>
      <c r="G33">
        <v>1</v>
      </c>
      <c r="H33">
        <v>1</v>
      </c>
      <c r="I33" t="s">
        <v>197</v>
      </c>
    </row>
    <row r="34" spans="1:9" x14ac:dyDescent="0.2">
      <c r="A34" t="s">
        <v>30</v>
      </c>
      <c r="B34">
        <v>121</v>
      </c>
      <c r="C34">
        <v>1</v>
      </c>
      <c r="D34">
        <v>9</v>
      </c>
      <c r="E34">
        <v>9</v>
      </c>
      <c r="F34">
        <v>28821.199666177799</v>
      </c>
      <c r="G34">
        <v>1</v>
      </c>
      <c r="H34">
        <v>1</v>
      </c>
      <c r="I34" t="s">
        <v>198</v>
      </c>
    </row>
    <row r="35" spans="1:9" x14ac:dyDescent="0.2">
      <c r="A35" t="s">
        <v>79</v>
      </c>
      <c r="B35">
        <v>181</v>
      </c>
      <c r="C35">
        <v>1</v>
      </c>
      <c r="D35">
        <v>11</v>
      </c>
      <c r="E35">
        <v>11</v>
      </c>
      <c r="F35">
        <v>28818.643751746898</v>
      </c>
      <c r="G35">
        <v>1</v>
      </c>
      <c r="H35">
        <v>1</v>
      </c>
      <c r="I35" t="s">
        <v>199</v>
      </c>
    </row>
    <row r="36" spans="1:9" x14ac:dyDescent="0.2">
      <c r="A36" t="s">
        <v>78</v>
      </c>
      <c r="B36">
        <v>169</v>
      </c>
      <c r="C36">
        <v>1</v>
      </c>
      <c r="D36">
        <v>15</v>
      </c>
      <c r="E36">
        <v>15</v>
      </c>
      <c r="F36">
        <v>646.90246728621401</v>
      </c>
      <c r="G36">
        <v>1</v>
      </c>
      <c r="H36">
        <v>1</v>
      </c>
      <c r="I36" t="s">
        <v>200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DBDC-A20E-5346-95B9-9BCA9F792117}">
  <sheetPr codeName="Sheet12"/>
  <dimension ref="A1:I19"/>
  <sheetViews>
    <sheetView workbookViewId="0">
      <selection activeCell="E11" sqref="E11"/>
    </sheetView>
  </sheetViews>
  <sheetFormatPr baseColWidth="10" defaultRowHeight="16" x14ac:dyDescent="0.2"/>
  <sheetData>
    <row r="1" spans="1:9" x14ac:dyDescent="0.2">
      <c r="A1" t="s">
        <v>66</v>
      </c>
    </row>
    <row r="2" spans="1:9" x14ac:dyDescent="0.2">
      <c r="A2" t="s">
        <v>65</v>
      </c>
    </row>
    <row r="3" spans="1:9" x14ac:dyDescent="0.2">
      <c r="A3" t="s">
        <v>97</v>
      </c>
    </row>
    <row r="4" spans="1:9" x14ac:dyDescent="0.2">
      <c r="A4" t="s">
        <v>76</v>
      </c>
    </row>
    <row r="5" spans="1:9" x14ac:dyDescent="0.2">
      <c r="A5" t="s">
        <v>75</v>
      </c>
    </row>
    <row r="6" spans="1:9" x14ac:dyDescent="0.2">
      <c r="A6" t="s">
        <v>58</v>
      </c>
    </row>
    <row r="7" spans="1:9" x14ac:dyDescent="0.2">
      <c r="A7" t="s">
        <v>57</v>
      </c>
    </row>
    <row r="8" spans="1:9" x14ac:dyDescent="0.2">
      <c r="A8" t="s">
        <v>56</v>
      </c>
    </row>
    <row r="9" spans="1:9" x14ac:dyDescent="0.2">
      <c r="A9" t="s">
        <v>74</v>
      </c>
    </row>
    <row r="10" spans="1:9" x14ac:dyDescent="0.2">
      <c r="A10" t="s">
        <v>73</v>
      </c>
    </row>
    <row r="11" spans="1:9" x14ac:dyDescent="0.2">
      <c r="A11" t="s">
        <v>96</v>
      </c>
    </row>
    <row r="12" spans="1:9" x14ac:dyDescent="0.2">
      <c r="A12" t="s">
        <v>43</v>
      </c>
    </row>
    <row r="13" spans="1:9" x14ac:dyDescent="0.2">
      <c r="A13" t="s">
        <v>42</v>
      </c>
      <c r="B13" t="s">
        <v>41</v>
      </c>
      <c r="C13" t="s">
        <v>40</v>
      </c>
      <c r="D13" t="s">
        <v>39</v>
      </c>
      <c r="E13" t="s">
        <v>38</v>
      </c>
      <c r="F13" t="s">
        <v>37</v>
      </c>
      <c r="G13" t="s">
        <v>36</v>
      </c>
      <c r="H13" t="s">
        <v>35</v>
      </c>
      <c r="I13" t="s">
        <v>34</v>
      </c>
    </row>
    <row r="14" spans="1:9" x14ac:dyDescent="0.2">
      <c r="A14" t="s">
        <v>33</v>
      </c>
      <c r="B14">
        <v>13</v>
      </c>
      <c r="C14">
        <v>1</v>
      </c>
      <c r="D14">
        <v>3</v>
      </c>
      <c r="E14">
        <v>3</v>
      </c>
      <c r="F14">
        <v>9.6760300220921601E-3</v>
      </c>
      <c r="G14">
        <v>1</v>
      </c>
      <c r="H14">
        <v>1</v>
      </c>
      <c r="I14" t="s">
        <v>95</v>
      </c>
    </row>
    <row r="15" spans="1:9" x14ac:dyDescent="0.2">
      <c r="A15" t="s">
        <v>32</v>
      </c>
      <c r="B15">
        <v>37</v>
      </c>
      <c r="C15">
        <v>1</v>
      </c>
      <c r="D15">
        <v>5</v>
      </c>
      <c r="E15">
        <v>5</v>
      </c>
      <c r="F15">
        <v>0.68020088202319995</v>
      </c>
      <c r="G15">
        <v>1</v>
      </c>
      <c r="H15">
        <v>1</v>
      </c>
      <c r="I15" t="s">
        <v>94</v>
      </c>
    </row>
    <row r="16" spans="1:9" x14ac:dyDescent="0.2">
      <c r="A16" t="s">
        <v>31</v>
      </c>
      <c r="B16">
        <v>73</v>
      </c>
      <c r="C16">
        <v>1</v>
      </c>
      <c r="D16">
        <v>7</v>
      </c>
      <c r="E16">
        <v>7</v>
      </c>
      <c r="F16">
        <v>15.6046272609382</v>
      </c>
      <c r="G16">
        <v>1</v>
      </c>
      <c r="H16">
        <v>1</v>
      </c>
      <c r="I16" t="s">
        <v>93</v>
      </c>
    </row>
    <row r="17" spans="1:9" x14ac:dyDescent="0.2">
      <c r="A17" t="s">
        <v>30</v>
      </c>
      <c r="B17">
        <v>121</v>
      </c>
      <c r="C17">
        <v>1</v>
      </c>
      <c r="D17">
        <v>9</v>
      </c>
      <c r="E17">
        <v>9</v>
      </c>
      <c r="F17">
        <v>148.62692533899099</v>
      </c>
      <c r="G17">
        <v>1</v>
      </c>
      <c r="H17">
        <v>1</v>
      </c>
      <c r="I17" t="s">
        <v>92</v>
      </c>
    </row>
    <row r="18" spans="1:9" x14ac:dyDescent="0.2">
      <c r="A18" t="s">
        <v>79</v>
      </c>
      <c r="B18">
        <v>181</v>
      </c>
      <c r="C18">
        <v>1</v>
      </c>
      <c r="D18">
        <v>11</v>
      </c>
      <c r="E18">
        <v>11</v>
      </c>
      <c r="F18">
        <v>833.69261668599199</v>
      </c>
      <c r="G18">
        <v>1</v>
      </c>
      <c r="H18">
        <v>1</v>
      </c>
      <c r="I18" t="s">
        <v>91</v>
      </c>
    </row>
    <row r="19" spans="1:9" x14ac:dyDescent="0.2">
      <c r="A19" t="s">
        <v>78</v>
      </c>
      <c r="B19">
        <v>169</v>
      </c>
      <c r="C19">
        <v>1</v>
      </c>
      <c r="D19">
        <v>15</v>
      </c>
      <c r="E19">
        <v>15</v>
      </c>
      <c r="F19">
        <v>5.2155383047647698E-2</v>
      </c>
      <c r="G19">
        <v>1</v>
      </c>
      <c r="H19">
        <v>1</v>
      </c>
      <c r="I19" t="s">
        <v>90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E690-00AB-8642-82DF-8D5DF402D1A8}">
  <sheetPr codeName="Sheet13"/>
  <dimension ref="A1:I19"/>
  <sheetViews>
    <sheetView workbookViewId="0">
      <selection activeCell="E11" sqref="E11"/>
    </sheetView>
  </sheetViews>
  <sheetFormatPr baseColWidth="10" defaultRowHeight="16" x14ac:dyDescent="0.2"/>
  <sheetData>
    <row r="1" spans="1:9" x14ac:dyDescent="0.2">
      <c r="A1" t="s">
        <v>66</v>
      </c>
    </row>
    <row r="2" spans="1:9" x14ac:dyDescent="0.2">
      <c r="A2" t="s">
        <v>65</v>
      </c>
    </row>
    <row r="3" spans="1:9" x14ac:dyDescent="0.2">
      <c r="A3" t="s">
        <v>105</v>
      </c>
    </row>
    <row r="4" spans="1:9" x14ac:dyDescent="0.2">
      <c r="A4" t="s">
        <v>76</v>
      </c>
    </row>
    <row r="5" spans="1:9" x14ac:dyDescent="0.2">
      <c r="A5" t="s">
        <v>75</v>
      </c>
    </row>
    <row r="6" spans="1:9" x14ac:dyDescent="0.2">
      <c r="A6" t="s">
        <v>58</v>
      </c>
    </row>
    <row r="7" spans="1:9" x14ac:dyDescent="0.2">
      <c r="A7" t="s">
        <v>57</v>
      </c>
    </row>
    <row r="8" spans="1:9" x14ac:dyDescent="0.2">
      <c r="A8" t="s">
        <v>56</v>
      </c>
    </row>
    <row r="9" spans="1:9" x14ac:dyDescent="0.2">
      <c r="A9" t="s">
        <v>74</v>
      </c>
    </row>
    <row r="10" spans="1:9" x14ac:dyDescent="0.2">
      <c r="A10" t="s">
        <v>73</v>
      </c>
    </row>
    <row r="11" spans="1:9" x14ac:dyDescent="0.2">
      <c r="A11" t="s">
        <v>104</v>
      </c>
    </row>
    <row r="12" spans="1:9" x14ac:dyDescent="0.2">
      <c r="A12" t="s">
        <v>43</v>
      </c>
    </row>
    <row r="13" spans="1:9" x14ac:dyDescent="0.2">
      <c r="A13" t="s">
        <v>42</v>
      </c>
      <c r="B13" t="s">
        <v>41</v>
      </c>
      <c r="C13" t="s">
        <v>40</v>
      </c>
      <c r="D13" t="s">
        <v>39</v>
      </c>
      <c r="E13" t="s">
        <v>38</v>
      </c>
      <c r="F13" t="s">
        <v>37</v>
      </c>
      <c r="G13" t="s">
        <v>36</v>
      </c>
      <c r="H13" t="s">
        <v>35</v>
      </c>
      <c r="I13" t="s">
        <v>34</v>
      </c>
    </row>
    <row r="14" spans="1:9" x14ac:dyDescent="0.2">
      <c r="A14" t="s">
        <v>33</v>
      </c>
      <c r="B14">
        <v>13</v>
      </c>
      <c r="C14">
        <v>1</v>
      </c>
      <c r="D14">
        <v>3</v>
      </c>
      <c r="E14">
        <v>3</v>
      </c>
      <c r="F14">
        <v>8.2937349798157794E-3</v>
      </c>
      <c r="G14">
        <v>1</v>
      </c>
      <c r="H14">
        <v>1</v>
      </c>
      <c r="I14" t="s">
        <v>103</v>
      </c>
    </row>
    <row r="15" spans="1:9" x14ac:dyDescent="0.2">
      <c r="A15" t="s">
        <v>32</v>
      </c>
      <c r="B15">
        <v>37</v>
      </c>
      <c r="C15">
        <v>1</v>
      </c>
      <c r="D15">
        <v>5</v>
      </c>
      <c r="E15">
        <v>5</v>
      </c>
      <c r="F15">
        <v>0.101201552082784</v>
      </c>
      <c r="G15">
        <v>1</v>
      </c>
      <c r="H15">
        <v>1</v>
      </c>
      <c r="I15" t="s">
        <v>102</v>
      </c>
    </row>
    <row r="16" spans="1:9" x14ac:dyDescent="0.2">
      <c r="A16" t="s">
        <v>31</v>
      </c>
      <c r="B16">
        <v>73</v>
      </c>
      <c r="C16">
        <v>1</v>
      </c>
      <c r="D16">
        <v>7</v>
      </c>
      <c r="E16">
        <v>7</v>
      </c>
      <c r="F16">
        <v>0.48009834601543799</v>
      </c>
      <c r="G16">
        <v>1</v>
      </c>
      <c r="H16">
        <v>1</v>
      </c>
      <c r="I16" t="s">
        <v>101</v>
      </c>
    </row>
    <row r="17" spans="1:9" x14ac:dyDescent="0.2">
      <c r="A17" t="s">
        <v>30</v>
      </c>
      <c r="B17">
        <v>121</v>
      </c>
      <c r="C17">
        <v>1</v>
      </c>
      <c r="D17">
        <v>9</v>
      </c>
      <c r="E17">
        <v>9</v>
      </c>
      <c r="F17">
        <v>1.8613367509096801</v>
      </c>
      <c r="G17">
        <v>1</v>
      </c>
      <c r="H17">
        <v>1</v>
      </c>
      <c r="I17" t="s">
        <v>100</v>
      </c>
    </row>
    <row r="18" spans="1:9" x14ac:dyDescent="0.2">
      <c r="A18" t="s">
        <v>79</v>
      </c>
      <c r="B18">
        <v>181</v>
      </c>
      <c r="C18">
        <v>1</v>
      </c>
      <c r="D18">
        <v>11</v>
      </c>
      <c r="E18">
        <v>11</v>
      </c>
      <c r="F18">
        <v>5.9332859170390204</v>
      </c>
      <c r="G18">
        <v>1</v>
      </c>
      <c r="H18">
        <v>1</v>
      </c>
      <c r="I18" t="s">
        <v>99</v>
      </c>
    </row>
    <row r="19" spans="1:9" x14ac:dyDescent="0.2">
      <c r="A19" t="s">
        <v>78</v>
      </c>
      <c r="B19">
        <v>169</v>
      </c>
      <c r="C19">
        <v>1</v>
      </c>
      <c r="D19">
        <v>15</v>
      </c>
      <c r="E19">
        <v>15</v>
      </c>
      <c r="F19">
        <v>1.67638120474293E-2</v>
      </c>
      <c r="G19">
        <v>1</v>
      </c>
      <c r="H19">
        <v>1</v>
      </c>
      <c r="I19" t="s">
        <v>98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87340-78BB-9A46-AD5D-14CBE5FD9036}">
  <sheetPr codeName="Sheet14"/>
  <dimension ref="A1:I18"/>
  <sheetViews>
    <sheetView workbookViewId="0">
      <selection activeCell="E11" sqref="E11"/>
    </sheetView>
  </sheetViews>
  <sheetFormatPr baseColWidth="10" defaultRowHeight="16" x14ac:dyDescent="0.2"/>
  <sheetData>
    <row r="1" spans="1:9" x14ac:dyDescent="0.2">
      <c r="A1" t="s">
        <v>66</v>
      </c>
    </row>
    <row r="2" spans="1:9" x14ac:dyDescent="0.2">
      <c r="A2" t="s">
        <v>65</v>
      </c>
    </row>
    <row r="3" spans="1:9" x14ac:dyDescent="0.2">
      <c r="A3" t="s">
        <v>114</v>
      </c>
    </row>
    <row r="4" spans="1:9" x14ac:dyDescent="0.2">
      <c r="A4" t="s">
        <v>76</v>
      </c>
    </row>
    <row r="5" spans="1:9" x14ac:dyDescent="0.2">
      <c r="A5" t="s">
        <v>113</v>
      </c>
    </row>
    <row r="6" spans="1:9" x14ac:dyDescent="0.2">
      <c r="A6" t="s">
        <v>58</v>
      </c>
    </row>
    <row r="7" spans="1:9" x14ac:dyDescent="0.2">
      <c r="A7" t="s">
        <v>57</v>
      </c>
    </row>
    <row r="8" spans="1:9" x14ac:dyDescent="0.2">
      <c r="A8" t="s">
        <v>56</v>
      </c>
    </row>
    <row r="9" spans="1:9" x14ac:dyDescent="0.2">
      <c r="A9" t="s">
        <v>74</v>
      </c>
    </row>
    <row r="10" spans="1:9" x14ac:dyDescent="0.2">
      <c r="A10" t="s">
        <v>112</v>
      </c>
    </row>
    <row r="11" spans="1:9" x14ac:dyDescent="0.2">
      <c r="A11" t="s">
        <v>43</v>
      </c>
    </row>
    <row r="12" spans="1:9" x14ac:dyDescent="0.2">
      <c r="A12" t="s">
        <v>42</v>
      </c>
      <c r="B12" t="s">
        <v>41</v>
      </c>
      <c r="C12" t="s">
        <v>40</v>
      </c>
      <c r="D12" t="s">
        <v>39</v>
      </c>
      <c r="E12" t="s">
        <v>38</v>
      </c>
      <c r="F12" t="s">
        <v>37</v>
      </c>
      <c r="G12" t="s">
        <v>36</v>
      </c>
      <c r="H12" t="s">
        <v>35</v>
      </c>
      <c r="I12" t="s">
        <v>34</v>
      </c>
    </row>
    <row r="13" spans="1:9" x14ac:dyDescent="0.2">
      <c r="A13" t="s">
        <v>33</v>
      </c>
      <c r="B13">
        <v>13</v>
      </c>
      <c r="C13">
        <v>1</v>
      </c>
      <c r="D13">
        <v>3</v>
      </c>
      <c r="E13">
        <v>3</v>
      </c>
      <c r="F13">
        <v>0.75225929298903704</v>
      </c>
      <c r="G13">
        <v>1</v>
      </c>
      <c r="H13">
        <v>1</v>
      </c>
      <c r="I13" t="s">
        <v>111</v>
      </c>
    </row>
    <row r="14" spans="1:9" x14ac:dyDescent="0.2">
      <c r="A14" t="s">
        <v>32</v>
      </c>
      <c r="B14">
        <v>37</v>
      </c>
      <c r="C14">
        <v>1</v>
      </c>
      <c r="D14">
        <v>5</v>
      </c>
      <c r="E14">
        <v>5</v>
      </c>
      <c r="F14">
        <v>2848.0447428969701</v>
      </c>
      <c r="G14">
        <v>1</v>
      </c>
      <c r="H14">
        <v>1</v>
      </c>
      <c r="I14" t="s">
        <v>110</v>
      </c>
    </row>
    <row r="15" spans="1:9" x14ac:dyDescent="0.2">
      <c r="A15" t="s">
        <v>31</v>
      </c>
      <c r="B15">
        <v>73</v>
      </c>
      <c r="C15">
        <v>1</v>
      </c>
      <c r="D15">
        <v>10</v>
      </c>
      <c r="E15">
        <v>10</v>
      </c>
      <c r="F15">
        <v>28802.389945081901</v>
      </c>
      <c r="G15">
        <v>1</v>
      </c>
      <c r="H15">
        <v>1</v>
      </c>
      <c r="I15" t="s">
        <v>109</v>
      </c>
    </row>
    <row r="16" spans="1:9" x14ac:dyDescent="0.2">
      <c r="A16" t="s">
        <v>30</v>
      </c>
      <c r="B16">
        <v>121</v>
      </c>
      <c r="C16">
        <v>1</v>
      </c>
      <c r="D16">
        <v>52</v>
      </c>
      <c r="E16">
        <v>52</v>
      </c>
      <c r="F16">
        <v>28808.634219577001</v>
      </c>
      <c r="G16">
        <v>1</v>
      </c>
      <c r="H16">
        <v>1</v>
      </c>
      <c r="I16" t="s">
        <v>108</v>
      </c>
    </row>
    <row r="17" spans="1:9" x14ac:dyDescent="0.2">
      <c r="A17" t="s">
        <v>79</v>
      </c>
      <c r="B17">
        <v>181</v>
      </c>
      <c r="C17">
        <v>1</v>
      </c>
      <c r="D17">
        <v>1099</v>
      </c>
      <c r="E17">
        <v>1099</v>
      </c>
      <c r="F17">
        <v>28804.314920785</v>
      </c>
      <c r="G17">
        <v>1</v>
      </c>
      <c r="H17">
        <v>1</v>
      </c>
      <c r="I17" t="s">
        <v>107</v>
      </c>
    </row>
    <row r="18" spans="1:9" x14ac:dyDescent="0.2">
      <c r="A18" t="s">
        <v>78</v>
      </c>
      <c r="B18">
        <v>169</v>
      </c>
      <c r="C18">
        <v>1</v>
      </c>
      <c r="D18">
        <v>15</v>
      </c>
      <c r="E18">
        <v>15</v>
      </c>
      <c r="F18">
        <v>83.7492265129694</v>
      </c>
      <c r="G18">
        <v>1</v>
      </c>
      <c r="H18">
        <v>1</v>
      </c>
      <c r="I18" t="s">
        <v>106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D416-2BFD-A945-96E6-00976F463D69}">
  <dimension ref="A1:I35"/>
  <sheetViews>
    <sheetView workbookViewId="0">
      <selection sqref="A1:XFD1048576"/>
    </sheetView>
  </sheetViews>
  <sheetFormatPr baseColWidth="10" defaultColWidth="11"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114</v>
      </c>
    </row>
    <row r="7" spans="1:1" x14ac:dyDescent="0.2">
      <c r="A7" t="s">
        <v>63</v>
      </c>
    </row>
    <row r="8" spans="1:1" x14ac:dyDescent="0.2">
      <c r="A8" t="s">
        <v>193</v>
      </c>
    </row>
    <row r="9" spans="1:1" x14ac:dyDescent="0.2">
      <c r="A9" t="s">
        <v>61</v>
      </c>
    </row>
    <row r="10" spans="1:1" x14ac:dyDescent="0.2">
      <c r="A10" t="s">
        <v>60</v>
      </c>
    </row>
    <row r="11" spans="1:1" x14ac:dyDescent="0.2">
      <c r="A11" t="s">
        <v>113</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45</v>
      </c>
    </row>
    <row r="26" spans="1:9" x14ac:dyDescent="0.2">
      <c r="A26" t="s">
        <v>44</v>
      </c>
    </row>
    <row r="27" spans="1:9" x14ac:dyDescent="0.2">
      <c r="A27" t="s">
        <v>201</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8.6135800927877398E-2</v>
      </c>
      <c r="G30">
        <v>1</v>
      </c>
      <c r="H30">
        <v>1</v>
      </c>
      <c r="I30" t="s">
        <v>202</v>
      </c>
    </row>
    <row r="31" spans="1:9" x14ac:dyDescent="0.2">
      <c r="A31" t="s">
        <v>32</v>
      </c>
      <c r="B31">
        <v>37</v>
      </c>
      <c r="C31">
        <v>1</v>
      </c>
      <c r="D31">
        <v>5</v>
      </c>
      <c r="E31">
        <v>5</v>
      </c>
      <c r="F31">
        <v>14.243915339931799</v>
      </c>
      <c r="G31">
        <v>1</v>
      </c>
      <c r="H31">
        <v>1</v>
      </c>
      <c r="I31" t="s">
        <v>203</v>
      </c>
    </row>
    <row r="32" spans="1:9" x14ac:dyDescent="0.2">
      <c r="A32" t="s">
        <v>31</v>
      </c>
      <c r="B32">
        <v>73</v>
      </c>
      <c r="C32">
        <v>1</v>
      </c>
      <c r="D32">
        <v>7</v>
      </c>
      <c r="E32">
        <v>7</v>
      </c>
      <c r="F32">
        <v>22017.9717851942</v>
      </c>
      <c r="G32">
        <v>1</v>
      </c>
      <c r="H32">
        <v>1</v>
      </c>
      <c r="I32" t="s">
        <v>204</v>
      </c>
    </row>
    <row r="33" spans="1:9" x14ac:dyDescent="0.2">
      <c r="A33" t="s">
        <v>30</v>
      </c>
      <c r="B33">
        <v>121</v>
      </c>
      <c r="C33">
        <v>1</v>
      </c>
      <c r="D33">
        <v>11</v>
      </c>
      <c r="E33">
        <v>11</v>
      </c>
      <c r="F33">
        <v>28801.380347984799</v>
      </c>
      <c r="G33">
        <v>1</v>
      </c>
      <c r="H33">
        <v>1</v>
      </c>
      <c r="I33" t="s">
        <v>205</v>
      </c>
    </row>
    <row r="34" spans="1:9" x14ac:dyDescent="0.2">
      <c r="A34" t="s">
        <v>79</v>
      </c>
      <c r="B34">
        <v>181</v>
      </c>
      <c r="C34">
        <v>1</v>
      </c>
      <c r="D34">
        <v>17</v>
      </c>
      <c r="E34">
        <v>17</v>
      </c>
      <c r="F34">
        <v>28802.915155595099</v>
      </c>
      <c r="G34">
        <v>1</v>
      </c>
      <c r="H34">
        <v>1</v>
      </c>
      <c r="I34" t="s">
        <v>206</v>
      </c>
    </row>
    <row r="35" spans="1:9" x14ac:dyDescent="0.2">
      <c r="A35" t="s">
        <v>78</v>
      </c>
      <c r="B35">
        <v>169</v>
      </c>
      <c r="C35">
        <v>1</v>
      </c>
      <c r="D35">
        <v>15</v>
      </c>
      <c r="E35">
        <v>15</v>
      </c>
      <c r="F35">
        <v>81.761931415647197</v>
      </c>
      <c r="G35">
        <v>1</v>
      </c>
      <c r="H35">
        <v>1</v>
      </c>
      <c r="I35" t="s">
        <v>207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5462-61D0-A748-BBC7-7FFBF99C064B}">
  <sheetPr codeName="Sheet15"/>
  <dimension ref="A1:I13"/>
  <sheetViews>
    <sheetView workbookViewId="0">
      <selection activeCell="E11" sqref="E11"/>
    </sheetView>
  </sheetViews>
  <sheetFormatPr baseColWidth="10" defaultRowHeight="16" x14ac:dyDescent="0.2"/>
  <sheetData>
    <row r="1" spans="1:9" x14ac:dyDescent="0.2">
      <c r="A1" t="s">
        <v>66</v>
      </c>
    </row>
    <row r="2" spans="1:9" x14ac:dyDescent="0.2">
      <c r="A2" t="s">
        <v>65</v>
      </c>
    </row>
    <row r="3" spans="1:9" x14ac:dyDescent="0.2">
      <c r="A3" t="s">
        <v>123</v>
      </c>
    </row>
    <row r="4" spans="1:9" x14ac:dyDescent="0.2">
      <c r="A4" t="s">
        <v>76</v>
      </c>
    </row>
    <row r="5" spans="1:9" x14ac:dyDescent="0.2">
      <c r="A5" t="s">
        <v>113</v>
      </c>
    </row>
    <row r="6" spans="1:9" x14ac:dyDescent="0.2">
      <c r="A6" t="s">
        <v>58</v>
      </c>
    </row>
    <row r="7" spans="1:9" x14ac:dyDescent="0.2">
      <c r="A7" t="s">
        <v>57</v>
      </c>
    </row>
    <row r="8" spans="1:9" x14ac:dyDescent="0.2">
      <c r="A8" t="s">
        <v>56</v>
      </c>
    </row>
    <row r="9" spans="1:9" x14ac:dyDescent="0.2">
      <c r="A9" t="s">
        <v>74</v>
      </c>
    </row>
    <row r="10" spans="1:9" x14ac:dyDescent="0.2">
      <c r="A10" t="s">
        <v>122</v>
      </c>
    </row>
    <row r="11" spans="1:9" x14ac:dyDescent="0.2">
      <c r="A11" t="s">
        <v>43</v>
      </c>
    </row>
    <row r="12" spans="1:9" x14ac:dyDescent="0.2">
      <c r="A12" t="s">
        <v>42</v>
      </c>
      <c r="B12" t="s">
        <v>41</v>
      </c>
      <c r="C12" t="s">
        <v>40</v>
      </c>
      <c r="D12" t="s">
        <v>39</v>
      </c>
      <c r="E12" t="s">
        <v>38</v>
      </c>
      <c r="F12" t="s">
        <v>37</v>
      </c>
      <c r="G12" t="s">
        <v>36</v>
      </c>
      <c r="H12" t="s">
        <v>35</v>
      </c>
      <c r="I12" t="s">
        <v>34</v>
      </c>
    </row>
    <row r="13" spans="1:9" x14ac:dyDescent="0.2">
      <c r="A13" t="s">
        <v>33</v>
      </c>
      <c r="B13">
        <v>13</v>
      </c>
      <c r="C13">
        <v>1</v>
      </c>
      <c r="D13">
        <v>3</v>
      </c>
      <c r="E13">
        <v>3</v>
      </c>
      <c r="F13">
        <v>0.20963493600720501</v>
      </c>
      <c r="G13">
        <v>1</v>
      </c>
      <c r="H13">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81B0D-9426-544A-AE9C-1440AA595523}">
  <dimension ref="A1:I35"/>
  <sheetViews>
    <sheetView workbookViewId="0">
      <selection sqref="A1:XFD1048576"/>
    </sheetView>
  </sheetViews>
  <sheetFormatPr baseColWidth="10" defaultColWidth="11" defaultRowHeight="16" x14ac:dyDescent="0.2"/>
  <sheetData>
    <row r="1" spans="1:1" x14ac:dyDescent="0.2">
      <c r="A1" t="s">
        <v>69</v>
      </c>
    </row>
    <row r="2" spans="1:1" x14ac:dyDescent="0.2">
      <c r="A2" t="s">
        <v>68</v>
      </c>
    </row>
    <row r="3" spans="1:1" x14ac:dyDescent="0.2">
      <c r="A3" t="s">
        <v>67</v>
      </c>
    </row>
    <row r="4" spans="1:1" x14ac:dyDescent="0.2">
      <c r="A4" t="s">
        <v>66</v>
      </c>
    </row>
    <row r="5" spans="1:1" x14ac:dyDescent="0.2">
      <c r="A5" t="s">
        <v>65</v>
      </c>
    </row>
    <row r="6" spans="1:1" x14ac:dyDescent="0.2">
      <c r="A6" t="s">
        <v>123</v>
      </c>
    </row>
    <row r="7" spans="1:1" x14ac:dyDescent="0.2">
      <c r="A7" t="s">
        <v>63</v>
      </c>
    </row>
    <row r="8" spans="1:1" x14ac:dyDescent="0.2">
      <c r="A8" t="s">
        <v>193</v>
      </c>
    </row>
    <row r="9" spans="1:1" x14ac:dyDescent="0.2">
      <c r="A9" t="s">
        <v>61</v>
      </c>
    </row>
    <row r="10" spans="1:1" x14ac:dyDescent="0.2">
      <c r="A10" t="s">
        <v>60</v>
      </c>
    </row>
    <row r="11" spans="1:1" x14ac:dyDescent="0.2">
      <c r="A11" t="s">
        <v>113</v>
      </c>
    </row>
    <row r="12" spans="1:1" x14ac:dyDescent="0.2">
      <c r="A12" t="s">
        <v>58</v>
      </c>
    </row>
    <row r="13" spans="1:1" x14ac:dyDescent="0.2">
      <c r="A13" t="s">
        <v>57</v>
      </c>
    </row>
    <row r="14" spans="1:1" x14ac:dyDescent="0.2">
      <c r="A14" t="s">
        <v>56</v>
      </c>
    </row>
    <row r="15" spans="1:1" x14ac:dyDescent="0.2">
      <c r="A15" t="s">
        <v>55</v>
      </c>
    </row>
    <row r="16" spans="1:1" x14ac:dyDescent="0.2">
      <c r="A16" t="s">
        <v>134</v>
      </c>
    </row>
    <row r="17" spans="1:9" x14ac:dyDescent="0.2">
      <c r="A17" t="s">
        <v>53</v>
      </c>
    </row>
    <row r="18" spans="1:9" x14ac:dyDescent="0.2">
      <c r="A18" t="s">
        <v>52</v>
      </c>
    </row>
    <row r="19" spans="1:9" x14ac:dyDescent="0.2">
      <c r="A19" t="s">
        <v>51</v>
      </c>
    </row>
    <row r="20" spans="1:9" x14ac:dyDescent="0.2">
      <c r="A20" t="s">
        <v>50</v>
      </c>
    </row>
    <row r="21" spans="1:9" x14ac:dyDescent="0.2">
      <c r="A21" t="s">
        <v>49</v>
      </c>
    </row>
    <row r="22" spans="1:9" x14ac:dyDescent="0.2">
      <c r="A22" t="s">
        <v>48</v>
      </c>
    </row>
    <row r="23" spans="1:9" x14ac:dyDescent="0.2">
      <c r="A23" t="s">
        <v>47</v>
      </c>
    </row>
    <row r="24" spans="1:9" x14ac:dyDescent="0.2">
      <c r="A24" t="s">
        <v>46</v>
      </c>
    </row>
    <row r="25" spans="1:9" x14ac:dyDescent="0.2">
      <c r="A25" t="s">
        <v>45</v>
      </c>
    </row>
    <row r="26" spans="1:9" x14ac:dyDescent="0.2">
      <c r="A26" t="s">
        <v>44</v>
      </c>
    </row>
    <row r="27" spans="1:9" x14ac:dyDescent="0.2">
      <c r="A27" t="s">
        <v>208</v>
      </c>
    </row>
    <row r="28" spans="1:9" x14ac:dyDescent="0.2">
      <c r="A28" t="s">
        <v>43</v>
      </c>
    </row>
    <row r="29" spans="1:9" x14ac:dyDescent="0.2">
      <c r="A29" t="s">
        <v>42</v>
      </c>
      <c r="B29" t="s">
        <v>41</v>
      </c>
      <c r="C29" t="s">
        <v>40</v>
      </c>
      <c r="D29" t="s">
        <v>39</v>
      </c>
      <c r="E29" t="s">
        <v>38</v>
      </c>
      <c r="F29" t="s">
        <v>37</v>
      </c>
      <c r="G29" t="s">
        <v>36</v>
      </c>
      <c r="H29" t="s">
        <v>35</v>
      </c>
      <c r="I29" t="s">
        <v>34</v>
      </c>
    </row>
    <row r="30" spans="1:9" x14ac:dyDescent="0.2">
      <c r="A30" t="s">
        <v>33</v>
      </c>
      <c r="B30">
        <v>13</v>
      </c>
      <c r="C30">
        <v>1</v>
      </c>
      <c r="D30">
        <v>3</v>
      </c>
      <c r="E30">
        <v>3</v>
      </c>
      <c r="F30">
        <v>5.3923953324556302E-2</v>
      </c>
      <c r="G30">
        <v>1</v>
      </c>
      <c r="H30">
        <v>1</v>
      </c>
    </row>
    <row r="31" spans="1:9" x14ac:dyDescent="0.2">
      <c r="A31" t="s">
        <v>32</v>
      </c>
      <c r="B31">
        <v>37</v>
      </c>
      <c r="C31">
        <v>1</v>
      </c>
      <c r="D31">
        <v>5</v>
      </c>
      <c r="E31">
        <v>5</v>
      </c>
      <c r="F31">
        <v>1.7989246211945999</v>
      </c>
      <c r="G31">
        <v>1</v>
      </c>
      <c r="H31">
        <v>1</v>
      </c>
    </row>
    <row r="32" spans="1:9" x14ac:dyDescent="0.2">
      <c r="A32" t="s">
        <v>31</v>
      </c>
      <c r="B32">
        <v>73</v>
      </c>
      <c r="C32">
        <v>1</v>
      </c>
      <c r="D32">
        <v>7</v>
      </c>
      <c r="E32">
        <v>7</v>
      </c>
      <c r="F32">
        <v>1321.8638879842999</v>
      </c>
      <c r="G32">
        <v>1</v>
      </c>
      <c r="H32">
        <v>1</v>
      </c>
    </row>
    <row r="33" spans="1:8" x14ac:dyDescent="0.2">
      <c r="A33" t="s">
        <v>30</v>
      </c>
      <c r="B33">
        <v>121</v>
      </c>
      <c r="C33">
        <v>1</v>
      </c>
      <c r="D33">
        <v>9</v>
      </c>
      <c r="E33">
        <v>9</v>
      </c>
      <c r="F33">
        <v>28848.7928161257</v>
      </c>
      <c r="G33">
        <v>1</v>
      </c>
      <c r="H33">
        <v>1</v>
      </c>
    </row>
    <row r="34" spans="1:8" x14ac:dyDescent="0.2">
      <c r="A34" t="s">
        <v>79</v>
      </c>
      <c r="B34">
        <v>181</v>
      </c>
      <c r="C34">
        <v>1</v>
      </c>
      <c r="D34">
        <v>11</v>
      </c>
      <c r="E34">
        <v>11</v>
      </c>
      <c r="F34">
        <v>28858.610944423799</v>
      </c>
      <c r="G34">
        <v>1</v>
      </c>
      <c r="H34">
        <v>1</v>
      </c>
    </row>
    <row r="35" spans="1:8" x14ac:dyDescent="0.2">
      <c r="A35" t="s">
        <v>78</v>
      </c>
      <c r="B35">
        <v>169</v>
      </c>
      <c r="C35">
        <v>1</v>
      </c>
      <c r="D35">
        <v>15</v>
      </c>
      <c r="E35">
        <v>15</v>
      </c>
      <c r="F35">
        <v>78.551229860633597</v>
      </c>
      <c r="G35">
        <v>1</v>
      </c>
      <c r="H35">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8D48-2761-9D42-83E5-2F81C255F0BC}">
  <sheetPr codeName="Sheet16"/>
  <dimension ref="A1:I19"/>
  <sheetViews>
    <sheetView topLeftCell="A2" workbookViewId="0">
      <selection activeCell="E28" sqref="E28"/>
    </sheetView>
  </sheetViews>
  <sheetFormatPr baseColWidth="10" defaultRowHeight="16" x14ac:dyDescent="0.2"/>
  <sheetData>
    <row r="1" spans="1:9" x14ac:dyDescent="0.2">
      <c r="A1" t="s">
        <v>66</v>
      </c>
    </row>
    <row r="2" spans="1:9" x14ac:dyDescent="0.2">
      <c r="A2" t="s">
        <v>65</v>
      </c>
    </row>
    <row r="3" spans="1:9" x14ac:dyDescent="0.2">
      <c r="A3" t="s">
        <v>132</v>
      </c>
    </row>
    <row r="4" spans="1:9" x14ac:dyDescent="0.2">
      <c r="A4" t="s">
        <v>76</v>
      </c>
    </row>
    <row r="5" spans="1:9" x14ac:dyDescent="0.2">
      <c r="A5" t="s">
        <v>75</v>
      </c>
    </row>
    <row r="6" spans="1:9" x14ac:dyDescent="0.2">
      <c r="A6" t="s">
        <v>58</v>
      </c>
    </row>
    <row r="7" spans="1:9" x14ac:dyDescent="0.2">
      <c r="A7" t="s">
        <v>57</v>
      </c>
    </row>
    <row r="8" spans="1:9" x14ac:dyDescent="0.2">
      <c r="A8" t="s">
        <v>56</v>
      </c>
    </row>
    <row r="9" spans="1:9" x14ac:dyDescent="0.2">
      <c r="A9" t="s">
        <v>74</v>
      </c>
    </row>
    <row r="10" spans="1:9" x14ac:dyDescent="0.2">
      <c r="A10" t="s">
        <v>73</v>
      </c>
    </row>
    <row r="11" spans="1:9" x14ac:dyDescent="0.2">
      <c r="A11" t="s">
        <v>131</v>
      </c>
    </row>
    <row r="12" spans="1:9" x14ac:dyDescent="0.2">
      <c r="A12" t="s">
        <v>43</v>
      </c>
    </row>
    <row r="13" spans="1:9" x14ac:dyDescent="0.2">
      <c r="A13" t="s">
        <v>42</v>
      </c>
      <c r="B13" t="s">
        <v>41</v>
      </c>
      <c r="C13" t="s">
        <v>40</v>
      </c>
      <c r="D13" t="s">
        <v>39</v>
      </c>
      <c r="E13" t="s">
        <v>38</v>
      </c>
      <c r="F13" t="s">
        <v>37</v>
      </c>
      <c r="G13" t="s">
        <v>36</v>
      </c>
      <c r="H13" t="s">
        <v>35</v>
      </c>
      <c r="I13" t="s">
        <v>34</v>
      </c>
    </row>
    <row r="14" spans="1:9" x14ac:dyDescent="0.2">
      <c r="A14" t="s">
        <v>33</v>
      </c>
      <c r="B14">
        <v>13</v>
      </c>
      <c r="C14">
        <v>1</v>
      </c>
      <c r="D14">
        <v>3</v>
      </c>
      <c r="E14">
        <v>3</v>
      </c>
      <c r="F14">
        <v>2.5554356980137499E-2</v>
      </c>
      <c r="G14">
        <v>2</v>
      </c>
      <c r="H14">
        <v>2</v>
      </c>
      <c r="I14" t="s">
        <v>130</v>
      </c>
    </row>
    <row r="15" spans="1:9" x14ac:dyDescent="0.2">
      <c r="A15" t="s">
        <v>32</v>
      </c>
      <c r="B15">
        <v>37</v>
      </c>
      <c r="C15">
        <v>1</v>
      </c>
      <c r="D15">
        <v>5</v>
      </c>
      <c r="E15">
        <v>5</v>
      </c>
      <c r="F15">
        <v>0.80905377399176304</v>
      </c>
      <c r="G15">
        <v>2</v>
      </c>
      <c r="H15">
        <v>2</v>
      </c>
      <c r="I15" t="s">
        <v>129</v>
      </c>
    </row>
    <row r="16" spans="1:9" x14ac:dyDescent="0.2">
      <c r="A16" t="s">
        <v>31</v>
      </c>
      <c r="B16">
        <v>73</v>
      </c>
      <c r="C16">
        <v>1</v>
      </c>
      <c r="D16">
        <v>7</v>
      </c>
      <c r="E16">
        <v>7</v>
      </c>
      <c r="F16">
        <v>15.8279758229618</v>
      </c>
      <c r="G16">
        <v>2</v>
      </c>
      <c r="H16">
        <v>2</v>
      </c>
      <c r="I16" t="s">
        <v>128</v>
      </c>
    </row>
    <row r="17" spans="1:9" x14ac:dyDescent="0.2">
      <c r="A17" t="s">
        <v>30</v>
      </c>
      <c r="B17">
        <v>121</v>
      </c>
      <c r="C17">
        <v>1</v>
      </c>
      <c r="D17">
        <v>9</v>
      </c>
      <c r="E17">
        <v>9</v>
      </c>
      <c r="F17">
        <v>148.71746846497899</v>
      </c>
      <c r="G17">
        <v>2</v>
      </c>
      <c r="H17">
        <v>2</v>
      </c>
      <c r="I17" t="s">
        <v>127</v>
      </c>
    </row>
    <row r="18" spans="1:9" x14ac:dyDescent="0.2">
      <c r="A18" t="s">
        <v>79</v>
      </c>
      <c r="B18">
        <v>181</v>
      </c>
      <c r="C18">
        <v>1</v>
      </c>
      <c r="D18">
        <v>11</v>
      </c>
      <c r="E18">
        <v>11</v>
      </c>
      <c r="F18">
        <v>854.67308879503901</v>
      </c>
      <c r="G18">
        <v>2</v>
      </c>
      <c r="H18">
        <v>2</v>
      </c>
      <c r="I18" t="s">
        <v>126</v>
      </c>
    </row>
    <row r="19" spans="1:9" x14ac:dyDescent="0.2">
      <c r="A19" t="s">
        <v>78</v>
      </c>
      <c r="B19">
        <v>169</v>
      </c>
      <c r="C19">
        <v>1</v>
      </c>
      <c r="D19">
        <v>15</v>
      </c>
      <c r="E19">
        <v>15</v>
      </c>
      <c r="F19">
        <v>6.5592120052315295E-2</v>
      </c>
      <c r="G19">
        <v>2</v>
      </c>
      <c r="H19">
        <v>2</v>
      </c>
      <c r="I19"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Filtering</vt:lpstr>
      <vt:lpstr>UEStim-F</vt:lpstr>
      <vt:lpstr>GEStim-F</vt:lpstr>
      <vt:lpstr>CCStim-F</vt:lpstr>
      <vt:lpstr>bposd-U</vt:lpstr>
      <vt:lpstr>bposd-F</vt:lpstr>
      <vt:lpstr>m4ri_RW-U</vt:lpstr>
      <vt:lpstr>m4ri_RW-F</vt:lpstr>
      <vt:lpstr>QDistEvol-U</vt:lpstr>
      <vt:lpstr>QDistEvol-F</vt:lpstr>
      <vt:lpstr>qDistRndMW-U</vt:lpstr>
      <vt:lpstr>QDistRndMW-F</vt:lpstr>
      <vt:lpstr>m4ri_CC-U</vt:lpstr>
      <vt:lpstr>m4ri_CC-F</vt:lpstr>
      <vt:lpstr>MIP-SCIP-U</vt:lpstr>
      <vt:lpstr>MIP-SCIP-F</vt:lpstr>
      <vt:lpstr>CCStim-U</vt:lpstr>
      <vt:lpstr>GEStim-U</vt:lpstr>
      <vt:lpstr>CLISAT-U</vt:lpstr>
      <vt:lpstr>CLISAT-F</vt:lpstr>
      <vt:lpstr>gurobi-U</vt:lpstr>
      <vt:lpstr>gurobi-F</vt:lpstr>
      <vt:lpstr>UEStim-U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2026-01-17T10:03:55Z</dcterms:created>
  <dcterms:modified xsi:type="dcterms:W3CDTF">2026-01-22T14:02:49Z</dcterms:modified>
</cp:coreProperties>
</file>