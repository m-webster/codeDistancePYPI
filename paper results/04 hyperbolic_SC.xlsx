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markwebster/Dropbox/QuantumComputing/QEC Projects/distance benchmarking/results 20251223/"/>
    </mc:Choice>
  </mc:AlternateContent>
  <xr:revisionPtr revIDLastSave="0" documentId="13_ncr:1_{9A6C4604-450D-0640-BA30-F839BC363E66}" xr6:coauthVersionLast="47" xr6:coauthVersionMax="47" xr10:uidLastSave="{00000000-0000-0000-0000-000000000000}"/>
  <bookViews>
    <workbookView xWindow="140" yWindow="900" windowWidth="14480" windowHeight="17040" xr2:uid="{C3ADB0BE-7A80-7F44-999C-93B5C5D7E48D}"/>
  </bookViews>
  <sheets>
    <sheet name="analysis" sheetId="23" r:id="rId1"/>
    <sheet name="best" sheetId="20" r:id="rId2"/>
    <sheet name="magma" sheetId="16" r:id="rId3"/>
    <sheet name="CLISAT" sheetId="1" r:id="rId4"/>
    <sheet name="CCStim" sheetId="2" r:id="rId5"/>
    <sheet name="bposd" sheetId="3" r:id="rId6"/>
    <sheet name="m4ri_CC-start1" sheetId="4" r:id="rId7"/>
    <sheet name="m4ri_CC" sheetId="18" r:id="rId8"/>
    <sheet name="m4ri_RW" sheetId="5" r:id="rId9"/>
    <sheet name="GEStim" sheetId="6" r:id="rId10"/>
    <sheet name="Gurobi" sheetId="7" r:id="rId11"/>
    <sheet name="MIP-SCIP" sheetId="8" r:id="rId12"/>
    <sheet name="QDistEvol20260107" sheetId="9" r:id="rId13"/>
    <sheet name="QDistEvol" sheetId="24" r:id="rId14"/>
    <sheet name="QDistRndMW20260106" sheetId="10" r:id="rId15"/>
    <sheet name="QDistRndMW" sheetId="25" r:id="rId16"/>
    <sheet name="UEStim" sheetId="11" r:id="rId17"/>
  </sheets>
  <definedNames>
    <definedName name="_xleta.MATCH" hidden="1">#NAME?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N67" i="23" l="1"/>
  <c r="HM67" i="23"/>
  <c r="HL67" i="23"/>
  <c r="HK67" i="23"/>
  <c r="HJ67" i="23"/>
  <c r="HF67" i="23"/>
  <c r="HE67" i="23"/>
  <c r="HD67" i="23"/>
  <c r="HC67" i="23"/>
  <c r="HB67" i="23"/>
  <c r="GZ67" i="23"/>
  <c r="GY67" i="23"/>
  <c r="GX67" i="23"/>
  <c r="GW67" i="23"/>
  <c r="GV67" i="23"/>
  <c r="GU67" i="23"/>
  <c r="HI67" i="23" s="1"/>
  <c r="GT67" i="23"/>
  <c r="HH67" i="23" s="1"/>
  <c r="GS67" i="23"/>
  <c r="HG67" i="23" s="1"/>
  <c r="GR67" i="23"/>
  <c r="GQ67" i="23"/>
  <c r="GP67" i="23"/>
  <c r="GO67" i="23"/>
  <c r="FZ67" i="23"/>
  <c r="DK67" i="23"/>
  <c r="DI67" i="23"/>
  <c r="CQ67" i="23"/>
  <c r="DH67" i="23" s="1"/>
  <c r="CP67" i="23"/>
  <c r="DG67" i="23" s="1"/>
  <c r="DX67" i="23" s="1"/>
  <c r="EO67" i="23" s="1"/>
  <c r="FF67" i="23" s="1"/>
  <c r="CC67" i="23"/>
  <c r="CT67" i="23" s="1"/>
  <c r="CA67" i="23"/>
  <c r="CR67" i="23" s="1"/>
  <c r="BZ67" i="23"/>
  <c r="BU67" i="23"/>
  <c r="CL67" i="23" s="1"/>
  <c r="DC67" i="23" s="1"/>
  <c r="DT67" i="23" s="1"/>
  <c r="EK67" i="23" s="1"/>
  <c r="FB67" i="23" s="1"/>
  <c r="BM67" i="23"/>
  <c r="CD67" i="23" s="1"/>
  <c r="CU67" i="23" s="1"/>
  <c r="BJ67" i="23"/>
  <c r="BI67" i="23"/>
  <c r="BH67" i="23"/>
  <c r="BY67" i="23" s="1"/>
  <c r="BE67" i="23"/>
  <c r="BV67" i="23" s="1"/>
  <c r="CM67" i="23" s="1"/>
  <c r="DD67" i="23" s="1"/>
  <c r="DU67" i="23" s="1"/>
  <c r="EL67" i="23" s="1"/>
  <c r="FC67" i="23" s="1"/>
  <c r="AX67" i="23"/>
  <c r="AW67" i="23"/>
  <c r="AV67" i="23"/>
  <c r="AQ67" i="23"/>
  <c r="AZ67" i="23" s="1"/>
  <c r="AP67" i="23"/>
  <c r="AY67" i="23" s="1"/>
  <c r="AO67" i="23"/>
  <c r="AN67" i="23"/>
  <c r="AM67" i="23"/>
  <c r="AG67" i="23"/>
  <c r="BO67" i="23" s="1"/>
  <c r="CF67" i="23" s="1"/>
  <c r="CW67" i="23" s="1"/>
  <c r="DN67" i="23" s="1"/>
  <c r="EE67" i="23" s="1"/>
  <c r="EV67" i="23" s="1"/>
  <c r="FM67" i="23" s="1"/>
  <c r="AF67" i="23"/>
  <c r="BN67" i="23" s="1"/>
  <c r="AE67" i="23"/>
  <c r="AD67" i="23"/>
  <c r="BL67" i="23" s="1"/>
  <c r="AC67" i="23"/>
  <c r="BK67" i="23" s="1"/>
  <c r="CB67" i="23" s="1"/>
  <c r="CS67" i="23" s="1"/>
  <c r="DJ67" i="23" s="1"/>
  <c r="EA67" i="23" s="1"/>
  <c r="AB67" i="23"/>
  <c r="AA67" i="23"/>
  <c r="Z67" i="23"/>
  <c r="Y67" i="23"/>
  <c r="BG67" i="23" s="1"/>
  <c r="BX67" i="23" s="1"/>
  <c r="CO67" i="23" s="1"/>
  <c r="DF67" i="23" s="1"/>
  <c r="DW67" i="23" s="1"/>
  <c r="EN67" i="23" s="1"/>
  <c r="FE67" i="23" s="1"/>
  <c r="X67" i="23"/>
  <c r="BF67" i="23" s="1"/>
  <c r="BW67" i="23" s="1"/>
  <c r="CN67" i="23" s="1"/>
  <c r="DE67" i="23" s="1"/>
  <c r="DV67" i="23" s="1"/>
  <c r="EM67" i="23" s="1"/>
  <c r="FD67" i="23" s="1"/>
  <c r="W67" i="23"/>
  <c r="V67" i="23"/>
  <c r="BD67" i="23" s="1"/>
  <c r="FT66" i="23"/>
  <c r="FT65" i="23"/>
  <c r="A55" i="23"/>
  <c r="M54" i="23"/>
  <c r="A54" i="23"/>
  <c r="M53" i="23"/>
  <c r="A53" i="23"/>
  <c r="M52" i="23"/>
  <c r="A52" i="23"/>
  <c r="M51" i="23"/>
  <c r="A51" i="23"/>
  <c r="M50" i="23"/>
  <c r="A50" i="23"/>
  <c r="M49" i="23"/>
  <c r="A49" i="23"/>
  <c r="M48" i="23"/>
  <c r="A48" i="23"/>
  <c r="M47" i="23"/>
  <c r="A47" i="23"/>
  <c r="M46" i="23"/>
  <c r="A46" i="23"/>
  <c r="R45" i="23"/>
  <c r="Q45" i="23"/>
  <c r="P45" i="23" s="1"/>
  <c r="O45" i="23" s="1"/>
  <c r="N45" i="23" s="1"/>
  <c r="M45" i="23"/>
  <c r="H45" i="23"/>
  <c r="G45" i="23"/>
  <c r="F45" i="23" s="1"/>
  <c r="E45" i="23" s="1"/>
  <c r="D45" i="23" s="1"/>
  <c r="C45" i="23"/>
  <c r="B45" i="23" s="1"/>
  <c r="A45" i="23"/>
  <c r="FX38" i="23"/>
  <c r="FX37" i="23"/>
  <c r="FX36" i="23"/>
  <c r="FX35" i="23"/>
  <c r="FX34" i="23"/>
  <c r="U15" i="23"/>
  <c r="N3" i="23"/>
  <c r="A1" i="23" a="1"/>
  <c r="A1" i="23" s="1"/>
  <c r="B64" i="23"/>
  <c r="DL67" i="23" l="1"/>
  <c r="CE67" i="23"/>
  <c r="CV67" i="23" s="1"/>
  <c r="DY67" i="23"/>
  <c r="EP67" i="23" s="1"/>
  <c r="FG67" i="23" s="1"/>
  <c r="DZ67" i="23"/>
  <c r="EB67" i="23"/>
  <c r="ER67" i="23"/>
  <c r="FI67" i="23" s="1"/>
  <c r="B70" i="23" a="1"/>
  <c r="A82" i="23" a="1"/>
  <c r="B88" i="23" a="1"/>
  <c r="A80" i="23" a="1"/>
  <c r="B81" i="23" a="1"/>
  <c r="B75" i="23" a="1"/>
  <c r="B71" i="23" a="1"/>
  <c r="B87" i="23" a="1"/>
  <c r="B74" i="23" a="1"/>
  <c r="B69" i="23" a="1"/>
  <c r="A86" i="23" a="1"/>
  <c r="A70" i="23" a="1"/>
  <c r="B84" i="23" a="1"/>
  <c r="A79" i="23" a="1"/>
  <c r="B85" i="23" a="1"/>
  <c r="B76" i="23" a="1"/>
  <c r="B86" i="23" a="1"/>
  <c r="B68" i="23" a="1"/>
  <c r="B83" i="23" a="1"/>
  <c r="A74" i="23" a="1"/>
  <c r="B78" i="23" a="1"/>
  <c r="B79" i="23" a="1"/>
  <c r="A88" i="23" a="1"/>
  <c r="A75" i="23" a="1"/>
  <c r="A81" i="23" a="1"/>
  <c r="B77" i="23" a="1"/>
  <c r="A77" i="23" a="1"/>
  <c r="A69" i="23" a="1"/>
  <c r="B73" i="23" a="1"/>
  <c r="A78" i="23" a="1"/>
  <c r="A83" i="23" a="1"/>
  <c r="A84" i="23" a="1"/>
  <c r="B82" i="23" a="1"/>
  <c r="A73" i="23" a="1"/>
  <c r="A76" i="23" a="1"/>
  <c r="A87" i="23" a="1"/>
  <c r="A85" i="23" a="1"/>
  <c r="A68" i="23" a="1"/>
  <c r="A71" i="23" a="1"/>
  <c r="B80" i="23" a="1"/>
  <c r="B72" i="23" a="1"/>
  <c r="A72" i="23" a="1"/>
  <c r="A88" i="23" l="1"/>
  <c r="B88" i="23"/>
  <c r="A73" i="23"/>
  <c r="B69" i="23"/>
  <c r="A72" i="23"/>
  <c r="A84" i="23"/>
  <c r="B82" i="23"/>
  <c r="A82" i="23"/>
  <c r="B80" i="23"/>
  <c r="B79" i="23"/>
  <c r="B87" i="23"/>
  <c r="A83" i="23"/>
  <c r="A68" i="23"/>
  <c r="A87" i="23"/>
  <c r="A85" i="23"/>
  <c r="B70" i="23"/>
  <c r="A79" i="23"/>
  <c r="A69" i="23"/>
  <c r="B77" i="23"/>
  <c r="A71" i="23"/>
  <c r="A78" i="23"/>
  <c r="B74" i="23"/>
  <c r="B81" i="23"/>
  <c r="A86" i="23"/>
  <c r="B72" i="23"/>
  <c r="A70" i="23"/>
  <c r="A81" i="23"/>
  <c r="B83" i="23"/>
  <c r="A75" i="23"/>
  <c r="B75" i="23"/>
  <c r="B84" i="23"/>
  <c r="A77" i="23"/>
  <c r="B71" i="23"/>
  <c r="A74" i="23"/>
  <c r="B78" i="23"/>
  <c r="A76" i="23"/>
  <c r="B68" i="23"/>
  <c r="B73" i="23"/>
  <c r="B76" i="23"/>
  <c r="A80" i="23"/>
  <c r="B86" i="23"/>
  <c r="B85" i="23"/>
  <c r="EQ67" i="23"/>
  <c r="FH67" i="23" s="1"/>
  <c r="ES67" i="23"/>
  <c r="FJ67" i="23" s="1"/>
  <c r="DM67" i="23"/>
  <c r="EC67" i="23"/>
  <c r="GN88" i="23" l="1"/>
  <c r="FS88" i="23"/>
  <c r="FS70" i="23"/>
  <c r="GN70" i="23"/>
  <c r="FS76" i="23"/>
  <c r="GN76" i="23"/>
  <c r="GN84" i="23"/>
  <c r="FS84" i="23"/>
  <c r="FS73" i="23"/>
  <c r="GN73" i="23"/>
  <c r="FS75" i="23"/>
  <c r="GN75" i="23"/>
  <c r="FS74" i="23"/>
  <c r="GN74" i="23"/>
  <c r="GN82" i="23"/>
  <c r="FS82" i="23"/>
  <c r="F3" i="23"/>
  <c r="D3" i="23"/>
  <c r="N4" i="23" s="1"/>
  <c r="GN68" i="23"/>
  <c r="FS68" i="23"/>
  <c r="GN71" i="23"/>
  <c r="FS71" i="23"/>
  <c r="GN72" i="23"/>
  <c r="FS72" i="23"/>
  <c r="FS80" i="23"/>
  <c r="GN80" i="23"/>
  <c r="GN81" i="23"/>
  <c r="FS81" i="23"/>
  <c r="ET67" i="23"/>
  <c r="FK67" i="23" s="1"/>
  <c r="GN83" i="23"/>
  <c r="FS83" i="23"/>
  <c r="GN69" i="23"/>
  <c r="FS69" i="23"/>
  <c r="GN85" i="23"/>
  <c r="FS85" i="23"/>
  <c r="GN79" i="23"/>
  <c r="FS79" i="23"/>
  <c r="GN86" i="23"/>
  <c r="FS86" i="23"/>
  <c r="ED67" i="23"/>
  <c r="FS78" i="23"/>
  <c r="GN78" i="23"/>
  <c r="FS77" i="23"/>
  <c r="GN77" i="23"/>
  <c r="GN87" i="23"/>
  <c r="FS87" i="23"/>
  <c r="J68" i="23"/>
  <c r="O68" i="23"/>
  <c r="E68" i="23"/>
  <c r="P68" i="23"/>
  <c r="G68" i="23"/>
  <c r="H68" i="23"/>
  <c r="N68" i="23"/>
  <c r="F68" i="23"/>
  <c r="I68" i="23"/>
  <c r="K68" i="23"/>
  <c r="L68" i="23"/>
  <c r="M68" i="23"/>
  <c r="N69" i="23" l="1"/>
  <c r="N70" i="23" s="1"/>
  <c r="N71" i="23" s="1"/>
  <c r="N72" i="23" s="1"/>
  <c r="N73" i="23" s="1"/>
  <c r="N74" i="23" s="1"/>
  <c r="N75" i="23" s="1"/>
  <c r="N76" i="23" s="1"/>
  <c r="N77" i="23" s="1"/>
  <c r="N78" i="23" s="1"/>
  <c r="N79" i="23" s="1"/>
  <c r="N80" i="23" s="1"/>
  <c r="N81" i="23" s="1"/>
  <c r="N82" i="23" s="1"/>
  <c r="N83" i="23" s="1"/>
  <c r="N84" i="23" s="1"/>
  <c r="N85" i="23" s="1"/>
  <c r="N86" i="23" s="1"/>
  <c r="N87" i="23" s="1"/>
  <c r="N88" i="23" s="1"/>
  <c r="J69" i="23"/>
  <c r="J70" i="23" s="1"/>
  <c r="J71" i="23" s="1"/>
  <c r="J72" i="23" s="1"/>
  <c r="J73" i="23" s="1"/>
  <c r="J74" i="23" s="1"/>
  <c r="J75" i="23" s="1"/>
  <c r="J76" i="23" s="1"/>
  <c r="J77" i="23" s="1"/>
  <c r="J78" i="23" s="1"/>
  <c r="J79" i="23" s="1"/>
  <c r="J80" i="23" s="1"/>
  <c r="J81" i="23" s="1"/>
  <c r="J82" i="23" s="1"/>
  <c r="J83" i="23" s="1"/>
  <c r="J84" i="23" s="1"/>
  <c r="J85" i="23" s="1"/>
  <c r="J86" i="23" s="1"/>
  <c r="J87" i="23" s="1"/>
  <c r="J88" i="23" s="1"/>
  <c r="O69" i="23"/>
  <c r="O70" i="23" s="1"/>
  <c r="O71" i="23" s="1"/>
  <c r="O72" i="23" s="1"/>
  <c r="O73" i="23" s="1"/>
  <c r="O74" i="23" s="1"/>
  <c r="O75" i="23" s="1"/>
  <c r="O76" i="23" s="1"/>
  <c r="O77" i="23" s="1"/>
  <c r="O78" i="23" s="1"/>
  <c r="O79" i="23" s="1"/>
  <c r="O80" i="23" s="1"/>
  <c r="O81" i="23" s="1"/>
  <c r="O82" i="23" s="1"/>
  <c r="O83" i="23" s="1"/>
  <c r="O84" i="23" s="1"/>
  <c r="O85" i="23" s="1"/>
  <c r="O86" i="23" s="1"/>
  <c r="O87" i="23" s="1"/>
  <c r="O88" i="23" s="1"/>
  <c r="F69" i="23"/>
  <c r="M69" i="23"/>
  <c r="G69" i="23"/>
  <c r="H69" i="23"/>
  <c r="K69" i="23"/>
  <c r="K70" i="23" s="1"/>
  <c r="K71" i="23" s="1"/>
  <c r="K72" i="23" s="1"/>
  <c r="K73" i="23" s="1"/>
  <c r="K74" i="23" s="1"/>
  <c r="K75" i="23" s="1"/>
  <c r="K76" i="23" s="1"/>
  <c r="K77" i="23" s="1"/>
  <c r="K78" i="23" s="1"/>
  <c r="K79" i="23" s="1"/>
  <c r="K80" i="23" s="1"/>
  <c r="K81" i="23" s="1"/>
  <c r="K82" i="23" s="1"/>
  <c r="K83" i="23" s="1"/>
  <c r="K84" i="23" s="1"/>
  <c r="K85" i="23" s="1"/>
  <c r="K86" i="23" s="1"/>
  <c r="K87" i="23" s="1"/>
  <c r="K88" i="23" s="1"/>
  <c r="P69" i="23"/>
  <c r="P70" i="23" s="1"/>
  <c r="P71" i="23" s="1"/>
  <c r="P72" i="23" s="1"/>
  <c r="P73" i="23" s="1"/>
  <c r="P74" i="23" s="1"/>
  <c r="P75" i="23" s="1"/>
  <c r="P76" i="23" s="1"/>
  <c r="P77" i="23" s="1"/>
  <c r="P78" i="23" s="1"/>
  <c r="P79" i="23" s="1"/>
  <c r="P80" i="23" s="1"/>
  <c r="P81" i="23" s="1"/>
  <c r="P82" i="23" s="1"/>
  <c r="P83" i="23" s="1"/>
  <c r="P84" i="23" s="1"/>
  <c r="P85" i="23" s="1"/>
  <c r="P86" i="23" s="1"/>
  <c r="P87" i="23" s="1"/>
  <c r="P88" i="23" s="1"/>
  <c r="L69" i="23"/>
  <c r="L70" i="23" s="1"/>
  <c r="L71" i="23" s="1"/>
  <c r="L72" i="23" s="1"/>
  <c r="L73" i="23" s="1"/>
  <c r="L74" i="23" s="1"/>
  <c r="L75" i="23" s="1"/>
  <c r="L76" i="23" s="1"/>
  <c r="L77" i="23" s="1"/>
  <c r="L78" i="23" s="1"/>
  <c r="L79" i="23" s="1"/>
  <c r="L80" i="23" s="1"/>
  <c r="L81" i="23" s="1"/>
  <c r="L82" i="23" s="1"/>
  <c r="L83" i="23" s="1"/>
  <c r="L84" i="23" s="1"/>
  <c r="L85" i="23" s="1"/>
  <c r="L86" i="23" s="1"/>
  <c r="L87" i="23" s="1"/>
  <c r="L88" i="23" s="1"/>
  <c r="I69" i="23"/>
  <c r="I70" i="23" s="1"/>
  <c r="I71" i="23" s="1"/>
  <c r="I72" i="23" s="1"/>
  <c r="I73" i="23" s="1"/>
  <c r="I74" i="23" s="1"/>
  <c r="I75" i="23" s="1"/>
  <c r="I76" i="23" s="1"/>
  <c r="I77" i="23" s="1"/>
  <c r="I78" i="23" s="1"/>
  <c r="I79" i="23" s="1"/>
  <c r="I80" i="23" s="1"/>
  <c r="I81" i="23" s="1"/>
  <c r="I82" i="23" s="1"/>
  <c r="I83" i="23" s="1"/>
  <c r="I84" i="23" s="1"/>
  <c r="I85" i="23" s="1"/>
  <c r="I86" i="23" s="1"/>
  <c r="I87" i="23" s="1"/>
  <c r="I88" i="23" s="1"/>
  <c r="E69" i="23"/>
  <c r="FZ88" i="23"/>
  <c r="HB88" i="23"/>
  <c r="HB76" i="23"/>
  <c r="FZ76" i="23"/>
  <c r="EU67" i="23"/>
  <c r="HB86" i="23"/>
  <c r="FZ86" i="23"/>
  <c r="FZ83" i="23"/>
  <c r="HB83" i="23"/>
  <c r="HB75" i="23"/>
  <c r="FZ75" i="23"/>
  <c r="HB81" i="23"/>
  <c r="FZ81" i="23"/>
  <c r="FZ72" i="23"/>
  <c r="HB72" i="23"/>
  <c r="FZ68" i="23"/>
  <c r="HB68" i="23"/>
  <c r="P4" i="23"/>
  <c r="HB73" i="23"/>
  <c r="FZ73" i="23"/>
  <c r="HB87" i="23"/>
  <c r="FZ87" i="23"/>
  <c r="FZ85" i="23"/>
  <c r="HB85" i="23"/>
  <c r="FZ71" i="23"/>
  <c r="HB71" i="23"/>
  <c r="HB77" i="23"/>
  <c r="FZ77" i="23"/>
  <c r="HB82" i="23"/>
  <c r="FZ82" i="23"/>
  <c r="HB70" i="23"/>
  <c r="FZ70" i="23"/>
  <c r="HB78" i="23"/>
  <c r="FZ78" i="23"/>
  <c r="FZ79" i="23"/>
  <c r="HB79" i="23"/>
  <c r="FZ69" i="23"/>
  <c r="HB69" i="23"/>
  <c r="HB80" i="23"/>
  <c r="FZ80" i="23"/>
  <c r="HB74" i="23"/>
  <c r="FZ74" i="23"/>
  <c r="HB84" i="23"/>
  <c r="FZ84" i="23"/>
  <c r="H70" i="23" l="1"/>
  <c r="G70" i="23"/>
  <c r="M70" i="23"/>
  <c r="F70" i="23"/>
  <c r="E70" i="23"/>
  <c r="FL67" i="23"/>
  <c r="DI70" i="23" a="1"/>
  <c r="FK68" i="23" a="1"/>
  <c r="FI68" i="23" a="1"/>
  <c r="FE68" i="23" a="1"/>
  <c r="AB87" i="23" a="1"/>
  <c r="FG87" i="23" a="1"/>
  <c r="AF79" i="23" a="1"/>
  <c r="FL85" i="23" a="1"/>
  <c r="AC68" i="23" a="1"/>
  <c r="AE81" i="23" a="1"/>
  <c r="DM82" i="23" a="1"/>
  <c r="FI84" i="23" a="1"/>
  <c r="FF77" i="23" a="1"/>
  <c r="FK82" i="23" a="1"/>
  <c r="DG77" i="23" a="1"/>
  <c r="FF87" i="23" a="1"/>
  <c r="FJ68" i="23" a="1"/>
  <c r="FF78" i="23" a="1"/>
  <c r="DH68" i="23" a="1"/>
  <c r="DJ81" i="23" a="1"/>
  <c r="AC72" i="23" a="1"/>
  <c r="FG73" i="23" a="1"/>
  <c r="AB78" i="23" a="1"/>
  <c r="AE80" i="23" a="1"/>
  <c r="FK72" i="23" a="1"/>
  <c r="AC74" i="23" a="1"/>
  <c r="AC73" i="23" a="1"/>
  <c r="DJ77" i="23" a="1"/>
  <c r="DM77" i="23" a="1"/>
  <c r="FH72" i="23" a="1"/>
  <c r="FF73" i="23" a="1"/>
  <c r="FM77" i="23" a="1"/>
  <c r="FI74" i="23" a="1"/>
  <c r="DH88" i="23" a="1"/>
  <c r="DN77" i="23" a="1"/>
  <c r="DH84" i="23" a="1"/>
  <c r="FI80" i="23" a="1"/>
  <c r="AG88" i="23" a="1"/>
  <c r="FM83" i="23" a="1"/>
  <c r="AA69" i="23" a="1"/>
  <c r="FF83" i="23" a="1"/>
  <c r="AA72" i="23" a="1"/>
  <c r="FH77" i="23" a="1"/>
  <c r="DN69" i="23" a="1"/>
  <c r="FM76" i="23" a="1"/>
  <c r="FH79" i="23" a="1"/>
  <c r="DI88" i="23" a="1"/>
  <c r="AE75" i="23" a="1"/>
  <c r="DG81" i="23" a="1"/>
  <c r="DG82" i="23" a="1"/>
  <c r="DG70" i="23" a="1"/>
  <c r="AF68" i="23" a="1"/>
  <c r="DL82" i="23" a="1"/>
  <c r="DN68" i="23" a="1"/>
  <c r="DJ70" i="23" a="1"/>
  <c r="Z80" i="23" a="1"/>
  <c r="AB73" i="23" a="1"/>
  <c r="FL76" i="23" a="1"/>
  <c r="FH88" i="23" a="1"/>
  <c r="Z79" i="23" a="1"/>
  <c r="AF78" i="23" a="1"/>
  <c r="DM73" i="23" a="1"/>
  <c r="FM75" i="23" a="1"/>
  <c r="DM72" i="23" a="1"/>
  <c r="FM72" i="23" a="1"/>
  <c r="DI69" i="23" a="1"/>
  <c r="DN75" i="23" a="1"/>
  <c r="FH71" i="23" a="1"/>
  <c r="AE83" i="23" a="1"/>
  <c r="AG86" i="23" a="1"/>
  <c r="FM87" i="23" a="1"/>
  <c r="FG69" i="23" a="1"/>
  <c r="DL79" i="23" a="1"/>
  <c r="FK77" i="23" a="1"/>
  <c r="AA78" i="23" a="1"/>
  <c r="AE86" i="23" a="1"/>
  <c r="AG75" i="23" a="1"/>
  <c r="DG76" i="23" a="1"/>
  <c r="DN88" i="23" a="1"/>
  <c r="FF84" i="23" a="1"/>
  <c r="DN70" i="23" a="1"/>
  <c r="FD68" i="23" a="1"/>
  <c r="DL86" i="23" a="1"/>
  <c r="FG75" i="23" a="1"/>
  <c r="FF79" i="23" a="1"/>
  <c r="DI80" i="23" a="1"/>
  <c r="DJ82" i="23" a="1"/>
  <c r="AE71" i="23" a="1"/>
  <c r="AB85" i="23" a="1"/>
  <c r="Z87" i="23" a="1"/>
  <c r="AG76" i="23" a="1"/>
  <c r="DI87" i="23" a="1"/>
  <c r="AF74" i="23" a="1"/>
  <c r="AG74" i="23" a="1"/>
  <c r="DH74" i="23" a="1"/>
  <c r="AF71" i="23" a="1"/>
  <c r="FM85" i="23" a="1"/>
  <c r="AE87" i="23" a="1"/>
  <c r="AA87" i="23" a="1"/>
  <c r="DL77" i="23" a="1"/>
  <c r="DH80" i="23" a="1"/>
  <c r="FM71" i="23" a="1"/>
  <c r="DG72" i="23" a="1"/>
  <c r="FF68" i="23" a="1"/>
  <c r="FH75" i="23" a="1"/>
  <c r="DN73" i="23" a="1"/>
  <c r="FG85" i="23" a="1"/>
  <c r="AB68" i="23" a="1"/>
  <c r="AE73" i="23" a="1"/>
  <c r="DH73" i="23" a="1"/>
  <c r="FH73" i="23" a="1"/>
  <c r="AA86" i="23" a="1"/>
  <c r="AG79" i="23" a="1"/>
  <c r="AE79" i="23" a="1"/>
  <c r="FK71" i="23" a="1"/>
  <c r="AG68" i="23" a="1"/>
  <c r="AE74" i="23" a="1"/>
  <c r="FG79" i="23" a="1"/>
  <c r="AC87" i="23" a="1"/>
  <c r="V69" i="23" a="1"/>
  <c r="DF69" i="23" a="1"/>
  <c r="FL74" i="23" a="1"/>
  <c r="FL80" i="23" a="1"/>
  <c r="Z78" i="23" a="1"/>
  <c r="FK75" i="23" a="1"/>
  <c r="FK86" i="23" a="1"/>
  <c r="AA79" i="23" a="1"/>
  <c r="DJ74" i="23" a="1"/>
  <c r="AA70" i="23" a="1"/>
  <c r="AF73" i="23" a="1"/>
  <c r="AA84" i="23" a="1"/>
  <c r="DH86" i="23" a="1"/>
  <c r="DI68" i="23" a="1"/>
  <c r="DI75" i="23" a="1"/>
  <c r="DI72" i="23" a="1"/>
  <c r="DN81" i="23" a="1"/>
  <c r="AG78" i="23" a="1"/>
  <c r="FM88" i="23" a="1"/>
  <c r="FI81" i="23" a="1"/>
  <c r="FE69" i="23" a="1"/>
  <c r="FL79" i="23" a="1"/>
  <c r="DH81" i="23" a="1"/>
  <c r="DM79" i="23" a="1"/>
  <c r="FF74" i="23" a="1"/>
  <c r="AG70" i="23" a="1"/>
  <c r="DM74" i="23" a="1"/>
  <c r="DG83" i="23" a="1"/>
  <c r="AE70" i="23" a="1"/>
  <c r="DL85" i="23" a="1"/>
  <c r="DG85" i="23" a="1"/>
  <c r="AB86" i="23" a="1"/>
  <c r="DJ88" i="23" a="1"/>
  <c r="DI86" i="23" a="1"/>
  <c r="FM86" i="23" a="1"/>
  <c r="DN83" i="23" a="1"/>
  <c r="AF75" i="23" a="1"/>
  <c r="DM83" i="23" a="1"/>
  <c r="FG86" i="23" a="1"/>
  <c r="DI74" i="23" a="1"/>
  <c r="AF80" i="23" a="1"/>
  <c r="FL73" i="23" a="1"/>
  <c r="AB69" i="23" a="1"/>
  <c r="AG81" i="23" a="1"/>
  <c r="DG88" i="23" a="1"/>
  <c r="DE69" i="23" a="1"/>
  <c r="FC69" i="23" a="1"/>
  <c r="FL81" i="23" a="1"/>
  <c r="FI77" i="23" a="1"/>
  <c r="FK69" i="23" a="1"/>
  <c r="AA88" i="23" a="1"/>
  <c r="X68" i="23" a="1"/>
  <c r="FG77" i="23" a="1"/>
  <c r="DI85" i="23" a="1"/>
  <c r="FL75" i="23" a="1"/>
  <c r="DN79" i="23" a="1"/>
  <c r="AA73" i="23" a="1"/>
  <c r="AF72" i="23" a="1"/>
  <c r="FI69" i="23" a="1"/>
  <c r="FK78" i="23" a="1"/>
  <c r="AF82" i="23" a="1"/>
  <c r="DL87" i="23" a="1"/>
  <c r="FI87" i="23" a="1"/>
  <c r="Z69" i="23" a="1"/>
  <c r="FI76" i="23" a="1"/>
  <c r="FH78" i="23" a="1"/>
  <c r="AF88" i="23" a="1"/>
  <c r="DL70" i="23" a="1"/>
  <c r="DL69" i="23" a="1"/>
  <c r="AC75" i="23" a="1"/>
  <c r="DH75" i="23" a="1"/>
  <c r="AB77" i="23" a="1"/>
  <c r="Z86" i="23" a="1"/>
  <c r="DL74" i="23" a="1"/>
  <c r="FL69" i="23" a="1"/>
  <c r="AF70" i="23" a="1"/>
  <c r="DD69" i="23" a="1"/>
  <c r="DI81" i="23" a="1"/>
  <c r="DL76" i="23" a="1"/>
  <c r="AB84" i="23" a="1"/>
  <c r="DG75" i="23" a="1"/>
  <c r="DG68" i="23" a="1"/>
  <c r="FM80" i="23" a="1"/>
  <c r="DJ85" i="23" a="1"/>
  <c r="DG79" i="23" a="1"/>
  <c r="FF82" i="23" a="1"/>
  <c r="FK85" i="23" a="1"/>
  <c r="FK80" i="23" a="1"/>
  <c r="DM81" i="23" a="1"/>
  <c r="DH79" i="23" a="1"/>
  <c r="AE85" i="23" a="1"/>
  <c r="AC77" i="23" a="1"/>
  <c r="FM68" i="23" a="1"/>
  <c r="AC79" i="23" a="1"/>
  <c r="DH77" i="23" a="1"/>
  <c r="FI86" i="23" a="1"/>
  <c r="FM81" i="23" a="1"/>
  <c r="AE88" i="23" a="1"/>
  <c r="AB83" i="23" a="1"/>
  <c r="FG82" i="23" a="1"/>
  <c r="FK73" i="23" a="1"/>
  <c r="DH83" i="23" a="1"/>
  <c r="AB71" i="23" a="1"/>
  <c r="DG86" i="23" a="1"/>
  <c r="AC88" i="23" a="1"/>
  <c r="FK84" i="23" a="1"/>
  <c r="AB80" i="23" a="1"/>
  <c r="FL86" i="23" a="1"/>
  <c r="Y69" i="23" a="1"/>
  <c r="DN72" i="23" a="1"/>
  <c r="DM88" i="23" a="1"/>
  <c r="AA71" i="23" a="1"/>
  <c r="FH74" i="23" a="1"/>
  <c r="Z84" i="23" a="1"/>
  <c r="DH78" i="23" a="1"/>
  <c r="FI75" i="23" a="1"/>
  <c r="AG80" i="23" a="1"/>
  <c r="FB69" i="23" a="1"/>
  <c r="Z83" i="23" a="1"/>
  <c r="AF83" i="23" a="1"/>
  <c r="AC69" i="23" a="1"/>
  <c r="DK69" i="23" a="1"/>
  <c r="AG73" i="23" a="1"/>
  <c r="V68" i="23" a="1"/>
  <c r="AC83" i="23" a="1"/>
  <c r="FG88" i="23" a="1"/>
  <c r="DH85" i="23" a="1"/>
  <c r="AB72" i="23" a="1"/>
  <c r="DH72" i="23" a="1"/>
  <c r="DE68" i="23" a="1"/>
  <c r="FL78" i="23" a="1"/>
  <c r="AF76" i="23" a="1"/>
  <c r="DL71" i="23" a="1"/>
  <c r="DJ71" i="23" a="1"/>
  <c r="FI78" i="23" a="1"/>
  <c r="FG70" i="23" a="1"/>
  <c r="Z68" i="23" a="1"/>
  <c r="DN82" i="23" a="1"/>
  <c r="Z85" i="23" a="1"/>
  <c r="DH87" i="23" a="1"/>
  <c r="DL72" i="23" a="1"/>
  <c r="FF71" i="23" a="1"/>
  <c r="DJ87" i="23" a="1"/>
  <c r="FH85" i="23" a="1"/>
  <c r="AC76" i="23" a="1"/>
  <c r="FK70" i="23" a="1"/>
  <c r="DG73" i="23" a="1"/>
  <c r="FL82" i="23" a="1"/>
  <c r="FL87" i="23" a="1"/>
  <c r="FL77" i="23" a="1"/>
  <c r="W69" i="23" a="1"/>
  <c r="FL68" i="23" a="1"/>
  <c r="DC69" i="23" a="1"/>
  <c r="DJ84" i="23" a="1"/>
  <c r="AB74" i="23" a="1"/>
  <c r="DG84" i="23" a="1"/>
  <c r="FH83" i="23" a="1"/>
  <c r="AE72" i="23" a="1"/>
  <c r="AF84" i="23" a="1"/>
  <c r="FI79" i="23" a="1"/>
  <c r="AG77" i="23" a="1"/>
  <c r="DI76" i="23" a="1"/>
  <c r="AA75" i="23" a="1"/>
  <c r="DJ76" i="23" a="1"/>
  <c r="FM74" i="23" a="1"/>
  <c r="DM78" i="23" a="1"/>
  <c r="FI70" i="23" a="1"/>
  <c r="AF81" i="23" a="1"/>
  <c r="DN78" i="23" a="1"/>
  <c r="FG71" i="23" a="1"/>
  <c r="DM87" i="23" a="1"/>
  <c r="FG80" i="23" a="1"/>
  <c r="Z72" i="23" a="1"/>
  <c r="DG74" i="23" a="1"/>
  <c r="AE84" i="23" a="1"/>
  <c r="DM76" i="23" a="1"/>
  <c r="FM84" i="23" a="1"/>
  <c r="DM71" i="23" a="1"/>
  <c r="FF70" i="23" a="1"/>
  <c r="AF69" i="23" a="1"/>
  <c r="AE77" i="23" a="1"/>
  <c r="FI88" i="23" a="1"/>
  <c r="FK79" i="23" a="1"/>
  <c r="FK87" i="23" a="1"/>
  <c r="AG87" i="23" a="1"/>
  <c r="DJ86" i="23" a="1"/>
  <c r="DN84" i="23" a="1"/>
  <c r="FB68" i="23" a="1"/>
  <c r="AE82" i="23" a="1"/>
  <c r="AF87" i="23" a="1"/>
  <c r="Z73" i="23" a="1"/>
  <c r="AA76" i="23" a="1"/>
  <c r="Z71" i="23" a="1"/>
  <c r="DM86" i="23" a="1"/>
  <c r="FH86" i="23" a="1"/>
  <c r="DI78" i="23" a="1"/>
  <c r="FI83" i="23" a="1"/>
  <c r="Z82" i="23" a="1"/>
  <c r="AG85" i="23" a="1"/>
  <c r="FF81" i="23" a="1"/>
  <c r="DL84" i="23" a="1"/>
  <c r="AE76" i="23" a="1"/>
  <c r="Z75" i="23" a="1"/>
  <c r="FL88" i="23" a="1"/>
  <c r="AB81" i="23" a="1"/>
  <c r="DJ79" i="23" a="1"/>
  <c r="AA74" i="23" a="1"/>
  <c r="AC81" i="23" a="1"/>
  <c r="FG81" i="23" a="1"/>
  <c r="AE68" i="23" a="1"/>
  <c r="FM78" i="23" a="1"/>
  <c r="FL84" i="23" a="1"/>
  <c r="X69" i="23" a="1"/>
  <c r="FL83" i="23" a="1"/>
  <c r="DL73" i="23" a="1"/>
  <c r="AC80" i="23" a="1"/>
  <c r="AB79" i="23" a="1"/>
  <c r="FG84" i="23" a="1"/>
  <c r="DJ75" i="23" a="1"/>
  <c r="DI82" i="23" a="1"/>
  <c r="FG72" i="23" a="1"/>
  <c r="FH81" i="23" a="1"/>
  <c r="DJ83" i="23" a="1"/>
  <c r="FH69" i="23" a="1"/>
  <c r="DG69" i="23" a="1"/>
  <c r="FI85" i="23" a="1"/>
  <c r="AG84" i="23" a="1"/>
  <c r="DN74" i="23" a="1"/>
  <c r="FI71" i="23" a="1"/>
  <c r="FG78" i="23" a="1"/>
  <c r="DN71" i="23" a="1"/>
  <c r="AG82" i="23" a="1"/>
  <c r="DD68" i="23" a="1"/>
  <c r="AA82" i="23" a="1"/>
  <c r="DF68" i="23" a="1"/>
  <c r="DJ69" i="23" a="1"/>
  <c r="DN85" i="23" a="1"/>
  <c r="FF88" i="23" a="1"/>
  <c r="DM70" i="23" a="1"/>
  <c r="AC71" i="23" a="1"/>
  <c r="DH76" i="23" a="1"/>
  <c r="AC84" i="23" a="1"/>
  <c r="DM85" i="23" a="1"/>
  <c r="FH84" i="23" a="1"/>
  <c r="AA85" i="23" a="1"/>
  <c r="FG68" i="23" a="1"/>
  <c r="AC86" i="23" a="1"/>
  <c r="FK83" i="23" a="1"/>
  <c r="AG71" i="23" a="1"/>
  <c r="DM75" i="23" a="1"/>
  <c r="DI71" i="23" a="1"/>
  <c r="DL81" i="23" a="1"/>
  <c r="AA68" i="23" a="1"/>
  <c r="DJ72" i="23" a="1"/>
  <c r="FI72" i="23" a="1"/>
  <c r="DN80" i="23" a="1"/>
  <c r="AC85" i="23" a="1"/>
  <c r="DM80" i="23" a="1"/>
  <c r="FG76" i="23" a="1"/>
  <c r="AB76" i="23" a="1"/>
  <c r="AB75" i="23" a="1"/>
  <c r="DL83" i="23" a="1"/>
  <c r="FH82" i="23" a="1"/>
  <c r="DL75" i="23" a="1"/>
  <c r="AG69" i="23" a="1"/>
  <c r="FM73" i="23" a="1"/>
  <c r="FH87" i="23" a="1"/>
  <c r="DH70" i="23" a="1"/>
  <c r="AF77" i="23" a="1"/>
  <c r="FM70" i="23" a="1"/>
  <c r="FC68" i="23" a="1"/>
  <c r="FL71" i="23" a="1"/>
  <c r="AD69" i="23" a="1"/>
  <c r="FL70" i="23" a="1"/>
  <c r="Z88" i="23" a="1"/>
  <c r="Z76" i="23" a="1"/>
  <c r="DI84" i="23" a="1"/>
  <c r="DH82" i="23" a="1"/>
  <c r="AB88" i="23" a="1"/>
  <c r="FK76" i="23" a="1"/>
  <c r="FG83" i="23" a="1"/>
  <c r="DC68" i="23" a="1"/>
  <c r="DG87" i="23" a="1"/>
  <c r="AC82" i="23" a="1"/>
  <c r="AB82" i="23" a="1"/>
  <c r="DI83" i="23" a="1"/>
  <c r="AC78" i="23" a="1"/>
  <c r="FH76" i="23" a="1"/>
  <c r="DN76" i="23" a="1"/>
  <c r="DL68" i="23" a="1"/>
  <c r="Y68" i="23" a="1"/>
  <c r="FF75" i="23" a="1"/>
  <c r="AA80" i="23" a="1"/>
  <c r="AD68" i="23" a="1"/>
  <c r="DM84" i="23" a="1"/>
  <c r="FF86" i="23" a="1"/>
  <c r="DJ68" i="23" a="1"/>
  <c r="AB70" i="23" a="1"/>
  <c r="FM79" i="23" a="1"/>
  <c r="AE78" i="23" a="1"/>
  <c r="DG80" i="23" a="1"/>
  <c r="FF85" i="23" a="1"/>
  <c r="DJ80" i="23" a="1"/>
  <c r="W68" i="23" a="1"/>
  <c r="DJ78" i="23" a="1"/>
  <c r="DK68" i="23" a="1"/>
  <c r="AC70" i="23" a="1"/>
  <c r="DL80" i="23" a="1"/>
  <c r="DJ73" i="23" a="1"/>
  <c r="DH71" i="23" a="1"/>
  <c r="DI79" i="23" a="1"/>
  <c r="Z77" i="23" a="1"/>
  <c r="AF85" i="23" a="1"/>
  <c r="DG78" i="23" a="1"/>
  <c r="FI73" i="23" a="1"/>
  <c r="DH69" i="23" a="1"/>
  <c r="FK81" i="23" a="1"/>
  <c r="FM82" i="23" a="1"/>
  <c r="FH68" i="23" a="1"/>
  <c r="DG71" i="23" a="1"/>
  <c r="Z81" i="23" a="1"/>
  <c r="FF72" i="23" a="1"/>
  <c r="Z70" i="23" a="1"/>
  <c r="AG72" i="23" a="1"/>
  <c r="DL78" i="23" a="1"/>
  <c r="FK74" i="23" a="1"/>
  <c r="FF69" i="23" a="1"/>
  <c r="DN86" i="23" a="1"/>
  <c r="AE69" i="23" a="1"/>
  <c r="AA81" i="23" a="1"/>
  <c r="DM68" i="23" a="1"/>
  <c r="Z74" i="23" a="1"/>
  <c r="FF80" i="23" a="1"/>
  <c r="FI82" i="23" a="1"/>
  <c r="AA83" i="23" a="1"/>
  <c r="DM69" i="23" a="1"/>
  <c r="AF86" i="23" a="1"/>
  <c r="FK88" i="23" a="1"/>
  <c r="DL88" i="23" a="1"/>
  <c r="DN87" i="23" a="1"/>
  <c r="FH80" i="23" a="1"/>
  <c r="AG83" i="23" a="1"/>
  <c r="DI77" i="23" a="1"/>
  <c r="FH70" i="23" a="1"/>
  <c r="FF76" i="23" a="1"/>
  <c r="FM69" i="23" a="1"/>
  <c r="FG74" i="23" a="1"/>
  <c r="AA77" i="23" a="1"/>
  <c r="FD69" i="23" a="1"/>
  <c r="DI73" i="23" a="1"/>
  <c r="FJ69" i="23" a="1"/>
  <c r="FL72" i="23" a="1"/>
  <c r="Z80" i="23" l="1"/>
  <c r="BH80" i="23" s="1"/>
  <c r="DG88" i="23"/>
  <c r="AQ88" i="23" s="1"/>
  <c r="FC68" i="23"/>
  <c r="FM78" i="23"/>
  <c r="DM88" i="23"/>
  <c r="AB80" i="23"/>
  <c r="BJ80" i="23" s="1"/>
  <c r="CA80" i="23" s="1"/>
  <c r="AC87" i="23"/>
  <c r="BK87" i="23" s="1"/>
  <c r="CB87" i="23" s="1"/>
  <c r="DJ70" i="23"/>
  <c r="AA77" i="23"/>
  <c r="BI77" i="23" s="1"/>
  <c r="AG81" i="23"/>
  <c r="BO81" i="23" s="1"/>
  <c r="FM70" i="23"/>
  <c r="DG73" i="23"/>
  <c r="FK84" i="23"/>
  <c r="FG79" i="23"/>
  <c r="DN68" i="23"/>
  <c r="FG74" i="23"/>
  <c r="AB69" i="23"/>
  <c r="BJ69" i="23" s="1"/>
  <c r="AF77" i="23"/>
  <c r="BN77" i="23" s="1"/>
  <c r="CE77" i="23" s="1"/>
  <c r="AE68" i="23"/>
  <c r="BM68" i="23" s="1"/>
  <c r="CD68" i="23" s="1"/>
  <c r="FK70" i="23"/>
  <c r="AC88" i="23"/>
  <c r="BK88" i="23" s="1"/>
  <c r="CB88" i="23" s="1"/>
  <c r="AE74" i="23"/>
  <c r="BM74" i="23" s="1"/>
  <c r="CD74" i="23" s="1"/>
  <c r="DL82" i="23"/>
  <c r="FM69" i="23"/>
  <c r="FL73" i="23"/>
  <c r="DH70" i="23"/>
  <c r="FG81" i="23"/>
  <c r="AC76" i="23"/>
  <c r="BK76" i="23" s="1"/>
  <c r="CB76" i="23" s="1"/>
  <c r="DG86" i="23"/>
  <c r="AG68" i="23"/>
  <c r="BO68" i="23" s="1"/>
  <c r="CF68" i="23" s="1"/>
  <c r="AF68" i="23"/>
  <c r="BN68" i="23" s="1"/>
  <c r="CE68" i="23" s="1"/>
  <c r="FF76" i="23"/>
  <c r="AF80" i="23"/>
  <c r="BN80" i="23" s="1"/>
  <c r="FH87" i="23"/>
  <c r="FV87" i="23" s="1"/>
  <c r="AC81" i="23"/>
  <c r="BK81" i="23" s="1"/>
  <c r="CB81" i="23" s="1"/>
  <c r="AB71" i="23"/>
  <c r="BJ71" i="23" s="1"/>
  <c r="CA71" i="23" s="1"/>
  <c r="FK71" i="23"/>
  <c r="DG70" i="23"/>
  <c r="AQ70" i="23" s="1"/>
  <c r="FH70" i="23"/>
  <c r="FV70" i="23" s="1"/>
  <c r="DI74" i="23"/>
  <c r="FT74" i="23" s="1"/>
  <c r="FM73" i="23"/>
  <c r="AA74" i="23"/>
  <c r="BI74" i="23" s="1"/>
  <c r="BZ74" i="23" s="1"/>
  <c r="FH85" i="23"/>
  <c r="FV85" i="23" s="1"/>
  <c r="DH83" i="23"/>
  <c r="AE79" i="23"/>
  <c r="BM79" i="23" s="1"/>
  <c r="CD79" i="23" s="1"/>
  <c r="DG82" i="23"/>
  <c r="DI77" i="23"/>
  <c r="FT77" i="23" s="1"/>
  <c r="FG86" i="23"/>
  <c r="AG69" i="23"/>
  <c r="BO69" i="23" s="1"/>
  <c r="CF69" i="23" s="1"/>
  <c r="DJ79" i="23"/>
  <c r="FI81" i="23"/>
  <c r="FK73" i="23"/>
  <c r="AG79" i="23"/>
  <c r="BO79" i="23" s="1"/>
  <c r="CF79" i="23" s="1"/>
  <c r="DG81" i="23"/>
  <c r="AQ81" i="23" s="1"/>
  <c r="AZ81" i="23" s="1"/>
  <c r="DM83" i="23"/>
  <c r="DL75" i="23"/>
  <c r="AB81" i="23"/>
  <c r="BJ81" i="23" s="1"/>
  <c r="CA81" i="23" s="1"/>
  <c r="DJ87" i="23"/>
  <c r="FG82" i="23"/>
  <c r="AA86" i="23"/>
  <c r="BI86" i="23" s="1"/>
  <c r="BZ86" i="23" s="1"/>
  <c r="AE75" i="23"/>
  <c r="BM75" i="23" s="1"/>
  <c r="CD75" i="23" s="1"/>
  <c r="AG83" i="23"/>
  <c r="BO83" i="23" s="1"/>
  <c r="CF83" i="23" s="1"/>
  <c r="AF75" i="23"/>
  <c r="BN75" i="23" s="1"/>
  <c r="CE75" i="23" s="1"/>
  <c r="FH82" i="23"/>
  <c r="FV82" i="23" s="1"/>
  <c r="FL88" i="23"/>
  <c r="AB83" i="23"/>
  <c r="BJ83" i="23" s="1"/>
  <c r="CA83" i="23" s="1"/>
  <c r="FH73" i="23"/>
  <c r="FV73" i="23" s="1"/>
  <c r="DI88" i="23"/>
  <c r="FT88" i="23" s="1"/>
  <c r="FH80" i="23"/>
  <c r="FV80" i="23" s="1"/>
  <c r="DL83" i="23"/>
  <c r="FM88" i="23"/>
  <c r="AE88" i="23"/>
  <c r="BM88" i="23" s="1"/>
  <c r="CD88" i="23" s="1"/>
  <c r="DH73" i="23"/>
  <c r="FH79" i="23"/>
  <c r="DN87" i="23"/>
  <c r="DN83" i="23"/>
  <c r="AB75" i="23"/>
  <c r="BJ75" i="23" s="1"/>
  <c r="CA75" i="23" s="1"/>
  <c r="AG78" i="23"/>
  <c r="BO78" i="23" s="1"/>
  <c r="CF78" i="23" s="1"/>
  <c r="FM81" i="23"/>
  <c r="AE73" i="23"/>
  <c r="BM73" i="23" s="1"/>
  <c r="CD73" i="23" s="1"/>
  <c r="FM76" i="23"/>
  <c r="DL88" i="23"/>
  <c r="DI69" i="23"/>
  <c r="FT69" i="23" s="1"/>
  <c r="AB76" i="23"/>
  <c r="BJ76" i="23" s="1"/>
  <c r="CA76" i="23" s="1"/>
  <c r="Z75" i="23"/>
  <c r="BH75" i="23" s="1"/>
  <c r="BY75" i="23" s="1"/>
  <c r="FF71" i="23"/>
  <c r="FI86" i="23"/>
  <c r="AB68" i="23"/>
  <c r="DN69" i="23"/>
  <c r="FK88" i="23"/>
  <c r="FM86" i="23"/>
  <c r="FG76" i="23"/>
  <c r="AE76" i="23"/>
  <c r="BM76" i="23" s="1"/>
  <c r="CD76" i="23" s="1"/>
  <c r="DN81" i="23"/>
  <c r="FG85" i="23"/>
  <c r="FH77" i="23"/>
  <c r="FV77" i="23" s="1"/>
  <c r="AF86" i="23"/>
  <c r="BN86" i="23" s="1"/>
  <c r="FM72" i="23"/>
  <c r="DM80" i="23"/>
  <c r="DL84" i="23"/>
  <c r="DL72" i="23"/>
  <c r="DH77" i="23"/>
  <c r="DN73" i="23"/>
  <c r="AA72" i="23"/>
  <c r="BI72" i="23" s="1"/>
  <c r="DI86" i="23"/>
  <c r="FT86" i="23" s="1"/>
  <c r="AC85" i="23"/>
  <c r="BK85" i="23" s="1"/>
  <c r="FF81" i="23"/>
  <c r="AC79" i="23"/>
  <c r="BK79" i="23" s="1"/>
  <c r="CB79" i="23" s="1"/>
  <c r="FH75" i="23"/>
  <c r="FV75" i="23" s="1"/>
  <c r="FF83" i="23"/>
  <c r="DM69" i="23"/>
  <c r="DM72" i="23"/>
  <c r="DN80" i="23"/>
  <c r="AG85" i="23"/>
  <c r="BO85" i="23" s="1"/>
  <c r="CF85" i="23" s="1"/>
  <c r="DI72" i="23"/>
  <c r="FT72" i="23" s="1"/>
  <c r="FM68" i="23"/>
  <c r="FF68" i="23"/>
  <c r="AA69" i="23"/>
  <c r="BI69" i="23" s="1"/>
  <c r="BZ69" i="23" s="1"/>
  <c r="AA83" i="23"/>
  <c r="BI83" i="23" s="1"/>
  <c r="BZ83" i="23" s="1"/>
  <c r="DJ88" i="23"/>
  <c r="Z82" i="23"/>
  <c r="BH82" i="23" s="1"/>
  <c r="BY82" i="23" s="1"/>
  <c r="DI75" i="23"/>
  <c r="FT75" i="23" s="1"/>
  <c r="AC77" i="23"/>
  <c r="BK77" i="23" s="1"/>
  <c r="CB77" i="23" s="1"/>
  <c r="FM83" i="23"/>
  <c r="FI82" i="23"/>
  <c r="FM75" i="23"/>
  <c r="FI72" i="23"/>
  <c r="DI68" i="23"/>
  <c r="FT68" i="23" s="1"/>
  <c r="AE85" i="23"/>
  <c r="BM85" i="23" s="1"/>
  <c r="CD85" i="23" s="1"/>
  <c r="DG72" i="23"/>
  <c r="FF80" i="23"/>
  <c r="AB86" i="23"/>
  <c r="BJ86" i="23" s="1"/>
  <c r="DJ72" i="23"/>
  <c r="FI83" i="23"/>
  <c r="DH86" i="23"/>
  <c r="DH79" i="23"/>
  <c r="FM71" i="23"/>
  <c r="AG88" i="23"/>
  <c r="BO88" i="23" s="1"/>
  <c r="DM73" i="23"/>
  <c r="AA68" i="23"/>
  <c r="BI68" i="23" s="1"/>
  <c r="BZ68" i="23" s="1"/>
  <c r="DI78" i="23"/>
  <c r="FT78" i="23" s="1"/>
  <c r="AA84" i="23"/>
  <c r="BI84" i="23" s="1"/>
  <c r="BZ84" i="23" s="1"/>
  <c r="DM81" i="23"/>
  <c r="DH80" i="23"/>
  <c r="FI80" i="23"/>
  <c r="Z74" i="23"/>
  <c r="BH74" i="23" s="1"/>
  <c r="BY74" i="23" s="1"/>
  <c r="DG85" i="23"/>
  <c r="AQ85" i="23" s="1"/>
  <c r="AZ85" i="23" s="1"/>
  <c r="DL81" i="23"/>
  <c r="FH86" i="23"/>
  <c r="FV86" i="23" s="1"/>
  <c r="AF73" i="23"/>
  <c r="BN73" i="23" s="1"/>
  <c r="CE73" i="23" s="1"/>
  <c r="FK80" i="23"/>
  <c r="DL77" i="23"/>
  <c r="DH84" i="23"/>
  <c r="DM68" i="23"/>
  <c r="DL85" i="23"/>
  <c r="DI71" i="23"/>
  <c r="FT71" i="23" s="1"/>
  <c r="DM86" i="23"/>
  <c r="AA70" i="23"/>
  <c r="BI70" i="23" s="1"/>
  <c r="BZ70" i="23" s="1"/>
  <c r="FK85" i="23"/>
  <c r="AA87" i="23"/>
  <c r="BI87" i="23" s="1"/>
  <c r="BZ87" i="23" s="1"/>
  <c r="DN77" i="23"/>
  <c r="AA81" i="23"/>
  <c r="BI81" i="23" s="1"/>
  <c r="AF78" i="23"/>
  <c r="BN78" i="23" s="1"/>
  <c r="CE78" i="23" s="1"/>
  <c r="DM75" i="23"/>
  <c r="Z71" i="23"/>
  <c r="BH71" i="23" s="1"/>
  <c r="DJ74" i="23"/>
  <c r="FF82" i="23"/>
  <c r="DH88" i="23"/>
  <c r="FH83" i="23"/>
  <c r="FV83" i="23" s="1"/>
  <c r="AG71" i="23"/>
  <c r="BO71" i="23" s="1"/>
  <c r="CF71" i="23" s="1"/>
  <c r="AA76" i="23"/>
  <c r="BI76" i="23" s="1"/>
  <c r="BZ76" i="23" s="1"/>
  <c r="DG79" i="23"/>
  <c r="AE87" i="23"/>
  <c r="BM87" i="23" s="1"/>
  <c r="CD87" i="23" s="1"/>
  <c r="FI74" i="23"/>
  <c r="AE69" i="23"/>
  <c r="BM69" i="23" s="1"/>
  <c r="CD69" i="23" s="1"/>
  <c r="AE70" i="23"/>
  <c r="BM70" i="23" s="1"/>
  <c r="CD70" i="23" s="1"/>
  <c r="FK83" i="23"/>
  <c r="Z73" i="23"/>
  <c r="BH73" i="23" s="1"/>
  <c r="AA79" i="23"/>
  <c r="BI79" i="23" s="1"/>
  <c r="BZ79" i="23" s="1"/>
  <c r="DJ85" i="23"/>
  <c r="FM85" i="23"/>
  <c r="DN86" i="23"/>
  <c r="DG83" i="23"/>
  <c r="AQ83" i="23" s="1"/>
  <c r="AZ83" i="23" s="1"/>
  <c r="AC86" i="23"/>
  <c r="BK86" i="23" s="1"/>
  <c r="CB86" i="23" s="1"/>
  <c r="AF87" i="23"/>
  <c r="BN87" i="23" s="1"/>
  <c r="CE87" i="23" s="1"/>
  <c r="FM80" i="23"/>
  <c r="AF71" i="23"/>
  <c r="BN71" i="23" s="1"/>
  <c r="CE71" i="23" s="1"/>
  <c r="FM77" i="23"/>
  <c r="FF69" i="23"/>
  <c r="DM74" i="23"/>
  <c r="FG68" i="23"/>
  <c r="AE82" i="23"/>
  <c r="BM82" i="23" s="1"/>
  <c r="CD82" i="23" s="1"/>
  <c r="FK86" i="23"/>
  <c r="DG68" i="23"/>
  <c r="DH74" i="23"/>
  <c r="FK74" i="23"/>
  <c r="AA85" i="23"/>
  <c r="BI85" i="23" s="1"/>
  <c r="BZ85" i="23" s="1"/>
  <c r="FB68" i="23"/>
  <c r="FK75" i="23"/>
  <c r="DG75" i="23"/>
  <c r="AG74" i="23"/>
  <c r="BO74" i="23" s="1"/>
  <c r="CF74" i="23" s="1"/>
  <c r="FF73" i="23"/>
  <c r="DL78" i="23"/>
  <c r="AG70" i="23"/>
  <c r="BO70" i="23" s="1"/>
  <c r="CF70" i="23" s="1"/>
  <c r="FH84" i="23"/>
  <c r="FV84" i="23" s="1"/>
  <c r="DN84" i="23"/>
  <c r="Z78" i="23"/>
  <c r="BH78" i="23" s="1"/>
  <c r="AB84" i="23"/>
  <c r="BJ84" i="23" s="1"/>
  <c r="CA84" i="23" s="1"/>
  <c r="AG72" i="23"/>
  <c r="BO72" i="23" s="1"/>
  <c r="CF72" i="23" s="1"/>
  <c r="DG84" i="23"/>
  <c r="AQ84" i="23" s="1"/>
  <c r="DM85" i="23"/>
  <c r="DJ86" i="23"/>
  <c r="DH87" i="23"/>
  <c r="DL76" i="23"/>
  <c r="AF74" i="23"/>
  <c r="BN74" i="23" s="1"/>
  <c r="CE74" i="23" s="1"/>
  <c r="FH72" i="23"/>
  <c r="FV72" i="23" s="1"/>
  <c r="Z70" i="23"/>
  <c r="BH70" i="23" s="1"/>
  <c r="FF74" i="23"/>
  <c r="AC84" i="23"/>
  <c r="BK84" i="23" s="1"/>
  <c r="CB84" i="23" s="1"/>
  <c r="AG87" i="23"/>
  <c r="BO87" i="23" s="1"/>
  <c r="CF87" i="23" s="1"/>
  <c r="DI81" i="23"/>
  <c r="FT81" i="23" s="1"/>
  <c r="DI87" i="23"/>
  <c r="FT87" i="23" s="1"/>
  <c r="DM77" i="23"/>
  <c r="FF72" i="23"/>
  <c r="Z79" i="23"/>
  <c r="BH79" i="23" s="1"/>
  <c r="DH76" i="23"/>
  <c r="FK87" i="23"/>
  <c r="Z85" i="23"/>
  <c r="BH85" i="23" s="1"/>
  <c r="BY85" i="23" s="1"/>
  <c r="DD69" i="23"/>
  <c r="AG76" i="23"/>
  <c r="BO76" i="23" s="1"/>
  <c r="CF76" i="23" s="1"/>
  <c r="DJ77" i="23"/>
  <c r="Z81" i="23"/>
  <c r="BH81" i="23" s="1"/>
  <c r="BY81" i="23" s="1"/>
  <c r="AB74" i="23"/>
  <c r="BJ74" i="23" s="1"/>
  <c r="AC71" i="23"/>
  <c r="BK71" i="23" s="1"/>
  <c r="CB71" i="23" s="1"/>
  <c r="FK79" i="23"/>
  <c r="DN82" i="23"/>
  <c r="AF70" i="23"/>
  <c r="BN70" i="23" s="1"/>
  <c r="CE70" i="23" s="1"/>
  <c r="Z87" i="23"/>
  <c r="BH87" i="23" s="1"/>
  <c r="BY87" i="23" s="1"/>
  <c r="AC73" i="23"/>
  <c r="BK73" i="23" s="1"/>
  <c r="DG71" i="23"/>
  <c r="DM79" i="23"/>
  <c r="DM70" i="23"/>
  <c r="FI88" i="23"/>
  <c r="Z68" i="23"/>
  <c r="BH68" i="23" s="1"/>
  <c r="BY68" i="23" s="1"/>
  <c r="FL69" i="23"/>
  <c r="AB85" i="23"/>
  <c r="BJ85" i="23" s="1"/>
  <c r="CA85" i="23" s="1"/>
  <c r="AC74" i="23"/>
  <c r="BK74" i="23" s="1"/>
  <c r="CB74" i="23" s="1"/>
  <c r="FH68" i="23"/>
  <c r="FV68" i="23" s="1"/>
  <c r="DH81" i="23"/>
  <c r="FF88" i="23"/>
  <c r="AE77" i="23"/>
  <c r="BM77" i="23" s="1"/>
  <c r="CD77" i="23" s="1"/>
  <c r="FG70" i="23"/>
  <c r="DL74" i="23"/>
  <c r="AE71" i="23"/>
  <c r="BM71" i="23" s="1"/>
  <c r="CD71" i="23" s="1"/>
  <c r="FK72" i="23"/>
  <c r="FM82" i="23"/>
  <c r="DJ84" i="23"/>
  <c r="DN85" i="23"/>
  <c r="FI78" i="23"/>
  <c r="Z86" i="23"/>
  <c r="BH86" i="23" s="1"/>
  <c r="BY86" i="23" s="1"/>
  <c r="DJ82" i="23"/>
  <c r="AE80" i="23"/>
  <c r="BM80" i="23" s="1"/>
  <c r="CD80" i="23" s="1"/>
  <c r="FK81" i="23"/>
  <c r="DJ69" i="23"/>
  <c r="AF69" i="23"/>
  <c r="BN69" i="23" s="1"/>
  <c r="CE69" i="23" s="1"/>
  <c r="DJ71" i="23"/>
  <c r="AB77" i="23"/>
  <c r="BJ77" i="23" s="1"/>
  <c r="CA77" i="23" s="1"/>
  <c r="DI80" i="23"/>
  <c r="FT80" i="23" s="1"/>
  <c r="AB78" i="23"/>
  <c r="BJ78" i="23" s="1"/>
  <c r="DH69" i="23"/>
  <c r="AD68" i="23"/>
  <c r="BL68" i="23" s="1"/>
  <c r="CC68" i="23" s="1"/>
  <c r="FF70" i="23"/>
  <c r="DL71" i="23"/>
  <c r="DH75" i="23"/>
  <c r="FF79" i="23"/>
  <c r="FG73" i="23"/>
  <c r="FI73" i="23"/>
  <c r="AA80" i="23"/>
  <c r="BI80" i="23" s="1"/>
  <c r="BZ80" i="23" s="1"/>
  <c r="DF68" i="23"/>
  <c r="DM71" i="23"/>
  <c r="AF76" i="23"/>
  <c r="BN76" i="23" s="1"/>
  <c r="CE76" i="23" s="1"/>
  <c r="AC75" i="23"/>
  <c r="BK75" i="23" s="1"/>
  <c r="CB75" i="23" s="1"/>
  <c r="FG75" i="23"/>
  <c r="AC72" i="23"/>
  <c r="BK72" i="23" s="1"/>
  <c r="CB72" i="23" s="1"/>
  <c r="DG78" i="23"/>
  <c r="FF75" i="23"/>
  <c r="AA82" i="23"/>
  <c r="BI82" i="23" s="1"/>
  <c r="BZ82" i="23" s="1"/>
  <c r="FM84" i="23"/>
  <c r="FL78" i="23"/>
  <c r="DL69" i="23"/>
  <c r="DL86" i="23"/>
  <c r="DJ81" i="23"/>
  <c r="AF85" i="23"/>
  <c r="BN85" i="23" s="1"/>
  <c r="CE85" i="23" s="1"/>
  <c r="Y68" i="23"/>
  <c r="BG68" i="23" s="1"/>
  <c r="BX68" i="23" s="1"/>
  <c r="DM76" i="23"/>
  <c r="DE68" i="23"/>
  <c r="DL70" i="23"/>
  <c r="DH68" i="23"/>
  <c r="Z77" i="23"/>
  <c r="BH77" i="23" s="1"/>
  <c r="DL68" i="23"/>
  <c r="DD68" i="23"/>
  <c r="AE84" i="23"/>
  <c r="BM84" i="23" s="1"/>
  <c r="CD84" i="23" s="1"/>
  <c r="DH72" i="23"/>
  <c r="AF88" i="23"/>
  <c r="BN88" i="23" s="1"/>
  <c r="CE88" i="23" s="1"/>
  <c r="FD68" i="23"/>
  <c r="FF78" i="23"/>
  <c r="DI79" i="23"/>
  <c r="FT79" i="23" s="1"/>
  <c r="DN76" i="23"/>
  <c r="AG82" i="23"/>
  <c r="BO82" i="23" s="1"/>
  <c r="CF82" i="23" s="1"/>
  <c r="DG74" i="23"/>
  <c r="AQ74" i="23" s="1"/>
  <c r="AB72" i="23"/>
  <c r="BJ72" i="23" s="1"/>
  <c r="CA72" i="23" s="1"/>
  <c r="FH78" i="23"/>
  <c r="FV78" i="23" s="1"/>
  <c r="DN70" i="23"/>
  <c r="FJ68" i="23"/>
  <c r="DH71" i="23"/>
  <c r="FH76" i="23"/>
  <c r="FV76" i="23" s="1"/>
  <c r="DN71" i="23"/>
  <c r="DH85" i="23"/>
  <c r="FF84" i="23"/>
  <c r="FF87" i="23"/>
  <c r="DJ73" i="23"/>
  <c r="AC78" i="23"/>
  <c r="BK78" i="23" s="1"/>
  <c r="CB78" i="23" s="1"/>
  <c r="FG78" i="23"/>
  <c r="Z72" i="23"/>
  <c r="BH72" i="23" s="1"/>
  <c r="BY72" i="23" s="1"/>
  <c r="FG88" i="23"/>
  <c r="FI76" i="23"/>
  <c r="DG77" i="23"/>
  <c r="DL80" i="23"/>
  <c r="DI83" i="23"/>
  <c r="FT83" i="23" s="1"/>
  <c r="FI71" i="23"/>
  <c r="FG80" i="23"/>
  <c r="AC83" i="23"/>
  <c r="BK83" i="23" s="1"/>
  <c r="CB83" i="23" s="1"/>
  <c r="Z69" i="23"/>
  <c r="BH69" i="23" s="1"/>
  <c r="DN88" i="23"/>
  <c r="FK82" i="23"/>
  <c r="AC70" i="23"/>
  <c r="BK70" i="23" s="1"/>
  <c r="CB70" i="23" s="1"/>
  <c r="AB82" i="23"/>
  <c r="BJ82" i="23" s="1"/>
  <c r="CA82" i="23" s="1"/>
  <c r="DN74" i="23"/>
  <c r="DM87" i="23"/>
  <c r="V68" i="23"/>
  <c r="BD68" i="23" s="1"/>
  <c r="BU68" i="23" s="1"/>
  <c r="FI87" i="23"/>
  <c r="DG76" i="23"/>
  <c r="FF77" i="23"/>
  <c r="DK68" i="23"/>
  <c r="AG84" i="23"/>
  <c r="BO84" i="23" s="1"/>
  <c r="CF84" i="23" s="1"/>
  <c r="FG71" i="23"/>
  <c r="AG73" i="23"/>
  <c r="BO73" i="23" s="1"/>
  <c r="CF73" i="23" s="1"/>
  <c r="DL87" i="23"/>
  <c r="AG75" i="23"/>
  <c r="BO75" i="23" s="1"/>
  <c r="CF75" i="23" s="1"/>
  <c r="FI84" i="23"/>
  <c r="DJ78" i="23"/>
  <c r="AC82" i="23"/>
  <c r="BK82" i="23" s="1"/>
  <c r="CB82" i="23" s="1"/>
  <c r="FI85" i="23"/>
  <c r="DN78" i="23"/>
  <c r="DN72" i="23"/>
  <c r="AF82" i="23"/>
  <c r="BN82" i="23" s="1"/>
  <c r="CE82" i="23" s="1"/>
  <c r="AE86" i="23"/>
  <c r="BM86" i="23" s="1"/>
  <c r="CD86" i="23" s="1"/>
  <c r="DM82" i="23"/>
  <c r="DG87" i="23"/>
  <c r="AQ87" i="23" s="1"/>
  <c r="AZ87" i="23" s="1"/>
  <c r="DG69" i="23"/>
  <c r="AF81" i="23"/>
  <c r="BN81" i="23" s="1"/>
  <c r="CE81" i="23" s="1"/>
  <c r="DK69" i="23"/>
  <c r="FK78" i="23"/>
  <c r="AA78" i="23"/>
  <c r="BI78" i="23" s="1"/>
  <c r="BZ78" i="23" s="1"/>
  <c r="AE81" i="23"/>
  <c r="BM81" i="23" s="1"/>
  <c r="CD81" i="23" s="1"/>
  <c r="W68" i="23"/>
  <c r="BE68" i="23" s="1"/>
  <c r="BV68" i="23" s="1"/>
  <c r="DC68" i="23"/>
  <c r="FH69" i="23"/>
  <c r="FI70" i="23"/>
  <c r="AC69" i="23"/>
  <c r="BK69" i="23" s="1"/>
  <c r="CB69" i="23" s="1"/>
  <c r="FI69" i="23"/>
  <c r="AC68" i="23"/>
  <c r="BK68" i="23" s="1"/>
  <c r="CB68" i="23" s="1"/>
  <c r="DJ80" i="23"/>
  <c r="FG83" i="23"/>
  <c r="DJ83" i="23"/>
  <c r="DM78" i="23"/>
  <c r="AF83" i="23"/>
  <c r="BN83" i="23" s="1"/>
  <c r="CE83" i="23" s="1"/>
  <c r="AF72" i="23"/>
  <c r="BN72" i="23" s="1"/>
  <c r="CE72" i="23" s="1"/>
  <c r="FK77" i="23"/>
  <c r="FL85" i="23"/>
  <c r="FF85" i="23"/>
  <c r="FH81" i="23"/>
  <c r="FV81" i="23" s="1"/>
  <c r="FM74" i="23"/>
  <c r="Z83" i="23"/>
  <c r="BH83" i="23" s="1"/>
  <c r="BY83" i="23" s="1"/>
  <c r="AA73" i="23"/>
  <c r="BI73" i="23" s="1"/>
  <c r="BZ73" i="23" s="1"/>
  <c r="DL79" i="23"/>
  <c r="AF79" i="23"/>
  <c r="BN79" i="23" s="1"/>
  <c r="DG80" i="23"/>
  <c r="AQ80" i="23" s="1"/>
  <c r="AZ80" i="23" s="1"/>
  <c r="FK76" i="23"/>
  <c r="FG72" i="23"/>
  <c r="DJ76" i="23"/>
  <c r="FB69" i="23"/>
  <c r="DN79" i="23"/>
  <c r="FG69" i="23"/>
  <c r="FG87" i="23"/>
  <c r="AE78" i="23"/>
  <c r="BM78" i="23" s="1"/>
  <c r="CD78" i="23" s="1"/>
  <c r="AB88" i="23"/>
  <c r="BJ88" i="23" s="1"/>
  <c r="CA88" i="23" s="1"/>
  <c r="DI82" i="23"/>
  <c r="FT82" i="23" s="1"/>
  <c r="AA75" i="23"/>
  <c r="BI75" i="23" s="1"/>
  <c r="BZ75" i="23" s="1"/>
  <c r="AG80" i="23"/>
  <c r="BO80" i="23" s="1"/>
  <c r="CF80" i="23" s="1"/>
  <c r="FL75" i="23"/>
  <c r="FM87" i="23"/>
  <c r="AB87" i="23"/>
  <c r="BJ87" i="23" s="1"/>
  <c r="FM79" i="23"/>
  <c r="DH82" i="23"/>
  <c r="DJ75" i="23"/>
  <c r="FI75" i="23"/>
  <c r="DI85" i="23"/>
  <c r="FT85" i="23" s="1"/>
  <c r="AG86" i="23"/>
  <c r="BO86" i="23" s="1"/>
  <c r="CF86" i="23" s="1"/>
  <c r="FE68" i="23"/>
  <c r="AB70" i="23"/>
  <c r="BJ70" i="23" s="1"/>
  <c r="FG84" i="23"/>
  <c r="DI76" i="23"/>
  <c r="FT76" i="23" s="1"/>
  <c r="DH78" i="23"/>
  <c r="FG77" i="23"/>
  <c r="AE83" i="23"/>
  <c r="BM83" i="23" s="1"/>
  <c r="CD83" i="23" s="1"/>
  <c r="FI68" i="23"/>
  <c r="DJ68" i="23"/>
  <c r="DI84" i="23"/>
  <c r="FT84" i="23" s="1"/>
  <c r="AB79" i="23"/>
  <c r="BJ79" i="23" s="1"/>
  <c r="CA79" i="23" s="1"/>
  <c r="AG77" i="23"/>
  <c r="BO77" i="23" s="1"/>
  <c r="CF77" i="23" s="1"/>
  <c r="Z84" i="23"/>
  <c r="BH84" i="23" s="1"/>
  <c r="BY84" i="23" s="1"/>
  <c r="X68" i="23"/>
  <c r="BF68" i="23" s="1"/>
  <c r="BW68" i="23" s="1"/>
  <c r="FH71" i="23"/>
  <c r="FV71" i="23" s="1"/>
  <c r="FK68" i="23"/>
  <c r="FF86" i="23"/>
  <c r="Z76" i="23"/>
  <c r="BH76" i="23" s="1"/>
  <c r="AC80" i="23"/>
  <c r="BK80" i="23" s="1"/>
  <c r="CB80" i="23" s="1"/>
  <c r="FI79" i="23"/>
  <c r="FH74" i="23"/>
  <c r="FV74" i="23" s="1"/>
  <c r="AA88" i="23"/>
  <c r="BI88" i="23" s="1"/>
  <c r="BZ88" i="23" s="1"/>
  <c r="DN75" i="23"/>
  <c r="Z88" i="23"/>
  <c r="BH88" i="23" s="1"/>
  <c r="BY88" i="23" s="1"/>
  <c r="AF84" i="23"/>
  <c r="BN84" i="23" s="1"/>
  <c r="CE84" i="23" s="1"/>
  <c r="FK69" i="23"/>
  <c r="DI70" i="23"/>
  <c r="FT70" i="23" s="1"/>
  <c r="DM84" i="23"/>
  <c r="DL73" i="23"/>
  <c r="AE72" i="23"/>
  <c r="BM72" i="23" s="1"/>
  <c r="CD72" i="23" s="1"/>
  <c r="AA71" i="23"/>
  <c r="BI71" i="23" s="1"/>
  <c r="BZ71" i="23" s="1"/>
  <c r="FI77" i="23"/>
  <c r="AB73" i="23"/>
  <c r="BJ73" i="23" s="1"/>
  <c r="CA73" i="23" s="1"/>
  <c r="AD69" i="23"/>
  <c r="BL69" i="23" s="1"/>
  <c r="CC69" i="23" s="1"/>
  <c r="V69" i="23"/>
  <c r="BD69" i="23" s="1"/>
  <c r="BU69" i="23" s="1"/>
  <c r="X69" i="23"/>
  <c r="BF69" i="23" s="1"/>
  <c r="BW69" i="23" s="1"/>
  <c r="FD69" i="23"/>
  <c r="DE69" i="23"/>
  <c r="FC69" i="23"/>
  <c r="FE69" i="23"/>
  <c r="FH88" i="23"/>
  <c r="FV88" i="23" s="1"/>
  <c r="DF69" i="23"/>
  <c r="W69" i="23"/>
  <c r="BE69" i="23" s="1"/>
  <c r="DI73" i="23"/>
  <c r="FT73" i="23" s="1"/>
  <c r="FJ69" i="23"/>
  <c r="Y69" i="23"/>
  <c r="BG69" i="23" s="1"/>
  <c r="DC69" i="23"/>
  <c r="E71" i="23"/>
  <c r="G71" i="23"/>
  <c r="F71" i="23"/>
  <c r="M71" i="23"/>
  <c r="H71" i="23"/>
  <c r="CF88" i="23"/>
  <c r="AZ88" i="23"/>
  <c r="FL77" i="23"/>
  <c r="FL86" i="23"/>
  <c r="FL74" i="23"/>
  <c r="FL72" i="23"/>
  <c r="FL81" i="23"/>
  <c r="FL80" i="23"/>
  <c r="FL84" i="23"/>
  <c r="FL87" i="23"/>
  <c r="FL76" i="23"/>
  <c r="FL82" i="23"/>
  <c r="FL79" i="23"/>
  <c r="FL71" i="23"/>
  <c r="FL68" i="23"/>
  <c r="FL70" i="23"/>
  <c r="FL83" i="23"/>
  <c r="CB73" i="23"/>
  <c r="BY80" i="23"/>
  <c r="BZ77" i="23"/>
  <c r="CA69" i="23"/>
  <c r="CF81" i="23"/>
  <c r="CE79" i="23"/>
  <c r="BZ72" i="23"/>
  <c r="CA70" i="23"/>
  <c r="CE86" i="23"/>
  <c r="CE80" i="23"/>
  <c r="CA78" i="23"/>
  <c r="AZ84" i="23"/>
  <c r="BY79" i="23"/>
  <c r="BY76" i="23"/>
  <c r="CA87" i="23"/>
  <c r="CA86" i="23"/>
  <c r="BY70" i="23"/>
  <c r="CB85" i="23"/>
  <c r="BZ81" i="23"/>
  <c r="CA74" i="23"/>
  <c r="BV69" i="23"/>
  <c r="FV79" i="23"/>
  <c r="DK70" i="23" a="1"/>
  <c r="X70" i="23" a="1"/>
  <c r="V70" i="23" a="1"/>
  <c r="DF70" i="23" a="1"/>
  <c r="DE70" i="23" a="1"/>
  <c r="FC70" i="23" a="1"/>
  <c r="FE70" i="23" a="1"/>
  <c r="FJ70" i="23" a="1"/>
  <c r="DC70" i="23" a="1"/>
  <c r="Y70" i="23" a="1"/>
  <c r="FB70" i="23" a="1"/>
  <c r="FD70" i="23" a="1"/>
  <c r="DD70" i="23" a="1"/>
  <c r="AD70" i="23" a="1"/>
  <c r="W70" i="23" a="1"/>
  <c r="AN68" i="23" l="1"/>
  <c r="AP68" i="23"/>
  <c r="AQ78" i="23"/>
  <c r="AQ77" i="23"/>
  <c r="BY77" i="23"/>
  <c r="B17" i="23"/>
  <c r="AQ79" i="23"/>
  <c r="AQ76" i="23"/>
  <c r="AQ71" i="23"/>
  <c r="AO68" i="23"/>
  <c r="C12" i="23"/>
  <c r="AM68" i="23"/>
  <c r="H12" i="23"/>
  <c r="AQ73" i="23"/>
  <c r="BY73" i="23"/>
  <c r="G7" i="23"/>
  <c r="F7" i="23"/>
  <c r="AQ72" i="23"/>
  <c r="B3" i="23"/>
  <c r="B11" i="23"/>
  <c r="H17" i="23"/>
  <c r="D11" i="23"/>
  <c r="AQ82" i="23"/>
  <c r="FV69" i="23"/>
  <c r="F12" i="23"/>
  <c r="D12" i="23"/>
  <c r="AQ69" i="23"/>
  <c r="F17" i="23"/>
  <c r="AQ75" i="23"/>
  <c r="R17" i="23"/>
  <c r="AQ86" i="23"/>
  <c r="B7" i="23"/>
  <c r="BY71" i="23"/>
  <c r="F11" i="23"/>
  <c r="G11" i="23"/>
  <c r="H11" i="23"/>
  <c r="H50" i="23" s="1"/>
  <c r="BY69" i="23"/>
  <c r="BY78" i="23"/>
  <c r="D17" i="23"/>
  <c r="BJ68" i="23"/>
  <c r="CA68" i="23" s="1"/>
  <c r="R16" i="23"/>
  <c r="H7" i="23"/>
  <c r="H46" i="23" s="1"/>
  <c r="G17" i="23"/>
  <c r="AQ68" i="23"/>
  <c r="D7" i="23"/>
  <c r="AN69" i="23"/>
  <c r="C11" i="23"/>
  <c r="AP69" i="23"/>
  <c r="C17" i="23"/>
  <c r="AO69" i="23"/>
  <c r="X70" i="23"/>
  <c r="BF70" i="23" s="1"/>
  <c r="BW70" i="23" s="1"/>
  <c r="DK70" i="23"/>
  <c r="AD70" i="23"/>
  <c r="BL70" i="23" s="1"/>
  <c r="DE70" i="23"/>
  <c r="DF70" i="23"/>
  <c r="FC70" i="23"/>
  <c r="V70" i="23"/>
  <c r="BD70" i="23" s="1"/>
  <c r="BU70" i="23" s="1"/>
  <c r="Y70" i="23"/>
  <c r="BG70" i="23" s="1"/>
  <c r="BX70" i="23" s="1"/>
  <c r="DD70" i="23"/>
  <c r="DC70" i="23"/>
  <c r="FJ70" i="23"/>
  <c r="FD70" i="23"/>
  <c r="FE70" i="23"/>
  <c r="W70" i="23"/>
  <c r="BE70" i="23" s="1"/>
  <c r="BV70" i="23" s="1"/>
  <c r="FB70" i="23"/>
  <c r="H72" i="23"/>
  <c r="F72" i="23"/>
  <c r="E72" i="23"/>
  <c r="AM69" i="23"/>
  <c r="M72" i="23"/>
  <c r="G72" i="23"/>
  <c r="BX69" i="23"/>
  <c r="H51" i="23"/>
  <c r="G12" i="23"/>
  <c r="DK71" i="23" a="1"/>
  <c r="DD71" i="23" a="1"/>
  <c r="C69" i="23"/>
  <c r="X71" i="23" a="1"/>
  <c r="FC71" i="23" a="1"/>
  <c r="W71" i="23" a="1"/>
  <c r="DE71" i="23" a="1"/>
  <c r="DF71" i="23" a="1"/>
  <c r="FB71" i="23" a="1"/>
  <c r="V71" i="23" a="1"/>
  <c r="FJ71" i="23" a="1"/>
  <c r="DC71" i="23" a="1"/>
  <c r="AD71" i="23" a="1"/>
  <c r="FE71" i="23" a="1"/>
  <c r="C68" i="23"/>
  <c r="FD71" i="23" a="1"/>
  <c r="Y71" i="23" a="1"/>
  <c r="D15" i="23" l="1"/>
  <c r="G46" i="23"/>
  <c r="F46" i="23" s="1"/>
  <c r="G8" i="23"/>
  <c r="C7" i="23"/>
  <c r="F15" i="23"/>
  <c r="C15" i="23"/>
  <c r="B8" i="23"/>
  <c r="G50" i="23"/>
  <c r="F50" i="23" s="1"/>
  <c r="H15" i="23"/>
  <c r="H54" i="23" s="1"/>
  <c r="D8" i="23"/>
  <c r="F8" i="23"/>
  <c r="H8" i="23"/>
  <c r="H47" i="23" s="1"/>
  <c r="G47" i="23" s="1"/>
  <c r="DE71" i="23"/>
  <c r="FC71" i="23"/>
  <c r="FD71" i="23"/>
  <c r="X71" i="23"/>
  <c r="BF71" i="23" s="1"/>
  <c r="V71" i="23"/>
  <c r="BD71" i="23" s="1"/>
  <c r="FE71" i="23"/>
  <c r="FB71" i="23"/>
  <c r="DF71" i="23"/>
  <c r="FJ71" i="23"/>
  <c r="DC71" i="23"/>
  <c r="Y71" i="23"/>
  <c r="BG71" i="23" s="1"/>
  <c r="DK71" i="23"/>
  <c r="AD71" i="23"/>
  <c r="BL71" i="23" s="1"/>
  <c r="W71" i="23"/>
  <c r="BE71" i="23" s="1"/>
  <c r="CL69" i="23"/>
  <c r="CR69" i="23"/>
  <c r="GA69" i="23"/>
  <c r="CN69" i="23"/>
  <c r="GF69" i="23"/>
  <c r="GD69" i="23"/>
  <c r="GC69" i="23"/>
  <c r="CT69" i="23"/>
  <c r="CV69" i="23"/>
  <c r="GI69" i="23"/>
  <c r="GK69" i="23"/>
  <c r="GB69" i="23"/>
  <c r="CW69" i="23"/>
  <c r="CO69" i="23"/>
  <c r="AY69" i="23" s="1"/>
  <c r="GH69" i="23"/>
  <c r="GL69" i="23"/>
  <c r="GJ69" i="23"/>
  <c r="GE69" i="23"/>
  <c r="CQ69" i="23"/>
  <c r="GG69" i="23"/>
  <c r="CP69" i="23"/>
  <c r="CM69" i="23"/>
  <c r="CS69" i="23"/>
  <c r="CU69" i="23"/>
  <c r="DD71" i="23"/>
  <c r="F73" i="23"/>
  <c r="AP70" i="23"/>
  <c r="G73" i="23"/>
  <c r="AO70" i="23"/>
  <c r="CC70" i="23"/>
  <c r="E73" i="23"/>
  <c r="H73" i="23"/>
  <c r="AM70" i="23"/>
  <c r="AN70" i="23"/>
  <c r="M73" i="23"/>
  <c r="GC68" i="23"/>
  <c r="GF68" i="23"/>
  <c r="GL68" i="23"/>
  <c r="GJ68" i="23"/>
  <c r="GH68" i="23"/>
  <c r="GB68" i="23"/>
  <c r="CV68" i="23"/>
  <c r="CW68" i="23"/>
  <c r="GG68" i="23"/>
  <c r="CM68" i="23"/>
  <c r="GD68" i="23"/>
  <c r="CL68" i="23"/>
  <c r="CT68" i="23"/>
  <c r="GE68" i="23"/>
  <c r="CQ68" i="23"/>
  <c r="CO68" i="23"/>
  <c r="CU68" i="23"/>
  <c r="GA68" i="23"/>
  <c r="GI68" i="23"/>
  <c r="CN68" i="23"/>
  <c r="CP68" i="23"/>
  <c r="GK68" i="23"/>
  <c r="CS68" i="23"/>
  <c r="C8" i="23"/>
  <c r="CR68" i="23"/>
  <c r="G15" i="23"/>
  <c r="G51" i="23"/>
  <c r="F51" i="23" s="1"/>
  <c r="ER68" i="23" a="1"/>
  <c r="ES68" i="23" a="1"/>
  <c r="DK72" i="23" a="1"/>
  <c r="EN68" i="23" a="1"/>
  <c r="EO69" i="23" a="1"/>
  <c r="EL68" i="23" a="1"/>
  <c r="DE72" i="23" a="1"/>
  <c r="EM68" i="23" a="1"/>
  <c r="EP69" i="23" a="1"/>
  <c r="EO68" i="23" a="1"/>
  <c r="Y72" i="23" a="1"/>
  <c r="EN69" i="23" a="1"/>
  <c r="FE72" i="23" a="1"/>
  <c r="EV69" i="23" a="1"/>
  <c r="EU68" i="23" a="1"/>
  <c r="EK68" i="23" a="1"/>
  <c r="V72" i="23" a="1"/>
  <c r="FD72" i="23" a="1"/>
  <c r="FB72" i="23" a="1"/>
  <c r="ET69" i="23" a="1"/>
  <c r="EQ68" i="23" a="1"/>
  <c r="AD72" i="23" a="1"/>
  <c r="EU69" i="23" a="1"/>
  <c r="W72" i="23" a="1"/>
  <c r="C70" i="23"/>
  <c r="ET68" i="23" a="1"/>
  <c r="ES69" i="23" a="1"/>
  <c r="EK69" i="23" a="1"/>
  <c r="DF72" i="23" a="1"/>
  <c r="ER69" i="23" a="1"/>
  <c r="FJ72" i="23" a="1"/>
  <c r="FC72" i="23" a="1"/>
  <c r="EQ69" i="23" a="1"/>
  <c r="EP68" i="23" a="1"/>
  <c r="DC72" i="23" a="1"/>
  <c r="X72" i="23" a="1"/>
  <c r="EL69" i="23" a="1"/>
  <c r="DD72" i="23" a="1"/>
  <c r="EV68" i="23" a="1"/>
  <c r="EM69" i="23" a="1"/>
  <c r="G54" i="23" l="1"/>
  <c r="F54" i="23" s="1"/>
  <c r="F47" i="23"/>
  <c r="AN71" i="23"/>
  <c r="AP71" i="23"/>
  <c r="EU69" i="23"/>
  <c r="ED69" i="23" s="1"/>
  <c r="GY69" i="23" s="1"/>
  <c r="EK69" i="23"/>
  <c r="DT69" i="23" s="1"/>
  <c r="GO69" i="23" s="1"/>
  <c r="DF72" i="23"/>
  <c r="ET69" i="23"/>
  <c r="EC69" i="23" s="1"/>
  <c r="GX69" i="23" s="1"/>
  <c r="ES69" i="23"/>
  <c r="EB69" i="23" s="1"/>
  <c r="GW69" i="23" s="1"/>
  <c r="AD72" i="23"/>
  <c r="BL72" i="23" s="1"/>
  <c r="FB72" i="23"/>
  <c r="ER69" i="23"/>
  <c r="EA69" i="23" s="1"/>
  <c r="GV69" i="23" s="1"/>
  <c r="V72" i="23"/>
  <c r="BD72" i="23" s="1"/>
  <c r="EL69" i="23"/>
  <c r="DU69" i="23" s="1"/>
  <c r="HD69" i="23" s="1"/>
  <c r="EN69" i="23"/>
  <c r="DW69" i="23" s="1"/>
  <c r="HF69" i="23" s="1"/>
  <c r="DK72" i="23"/>
  <c r="DC72" i="23"/>
  <c r="FD72" i="23"/>
  <c r="W72" i="23"/>
  <c r="BE72" i="23" s="1"/>
  <c r="EO69" i="23"/>
  <c r="DX69" i="23" s="1"/>
  <c r="GS69" i="23" s="1"/>
  <c r="EV69" i="23"/>
  <c r="EE69" i="23" s="1"/>
  <c r="GZ69" i="23" s="1"/>
  <c r="DE72" i="23"/>
  <c r="DD72" i="23"/>
  <c r="EM69" i="23"/>
  <c r="DV69" i="23" s="1"/>
  <c r="GQ69" i="23" s="1"/>
  <c r="FJ72" i="23"/>
  <c r="Y72" i="23"/>
  <c r="BG72" i="23" s="1"/>
  <c r="X72" i="23"/>
  <c r="BF72" i="23" s="1"/>
  <c r="FC72" i="23"/>
  <c r="EP69" i="23"/>
  <c r="DY69" i="23" s="1"/>
  <c r="GT69" i="23" s="1"/>
  <c r="FE72" i="23"/>
  <c r="GD70" i="23"/>
  <c r="GL70" i="23"/>
  <c r="GH70" i="23"/>
  <c r="CR70" i="23"/>
  <c r="CQ70" i="23"/>
  <c r="CU70" i="23"/>
  <c r="GJ70" i="23"/>
  <c r="GF70" i="23"/>
  <c r="GC70" i="23"/>
  <c r="CS70" i="23"/>
  <c r="GB70" i="23"/>
  <c r="GE70" i="23"/>
  <c r="GK70" i="23"/>
  <c r="CP70" i="23"/>
  <c r="CV70" i="23"/>
  <c r="GG70" i="23"/>
  <c r="CW70" i="23"/>
  <c r="CM70" i="23"/>
  <c r="CL70" i="23"/>
  <c r="CO70" i="23"/>
  <c r="CN70" i="23"/>
  <c r="GA70" i="23"/>
  <c r="EQ69" i="23"/>
  <c r="DZ69" i="23" s="1"/>
  <c r="FU69" i="23" s="1"/>
  <c r="AV69" i="23"/>
  <c r="H74" i="23"/>
  <c r="BV71" i="23"/>
  <c r="CC71" i="23"/>
  <c r="BU71" i="23"/>
  <c r="AZ69" i="23"/>
  <c r="BW71" i="23"/>
  <c r="AW69" i="23"/>
  <c r="M74" i="23"/>
  <c r="E74" i="23"/>
  <c r="AX69" i="23"/>
  <c r="BX71" i="23"/>
  <c r="AM71" i="23"/>
  <c r="CT70" i="23"/>
  <c r="GI70" i="23"/>
  <c r="G74" i="23"/>
  <c r="F74" i="23"/>
  <c r="AO71" i="23"/>
  <c r="ER68" i="23"/>
  <c r="EA68" i="23" s="1"/>
  <c r="EP68" i="23"/>
  <c r="DY68" i="23" s="1"/>
  <c r="EU68" i="23"/>
  <c r="ED68" i="23" s="1"/>
  <c r="EO68" i="23"/>
  <c r="DX68" i="23" s="1"/>
  <c r="ES68" i="23"/>
  <c r="EQ68" i="23"/>
  <c r="DZ68" i="23" s="1"/>
  <c r="EK68" i="23"/>
  <c r="DT68" i="23" s="1"/>
  <c r="EM68" i="23"/>
  <c r="DV68" i="23" s="1"/>
  <c r="EL68" i="23"/>
  <c r="DU68" i="23" s="1"/>
  <c r="ET68" i="23"/>
  <c r="EC68" i="23" s="1"/>
  <c r="EN68" i="23"/>
  <c r="DW68" i="23" s="1"/>
  <c r="EV68" i="23"/>
  <c r="EE68" i="23" s="1"/>
  <c r="AZ68" i="23"/>
  <c r="EB68" i="23"/>
  <c r="AV68" i="23"/>
  <c r="AX68" i="23"/>
  <c r="AW68" i="23"/>
  <c r="AY68" i="23"/>
  <c r="AD73" i="23" a="1"/>
  <c r="FB73" i="23" a="1"/>
  <c r="DD73" i="23" a="1"/>
  <c r="DK73" i="23" a="1"/>
  <c r="ER70" i="23" a="1"/>
  <c r="DC73" i="23" a="1"/>
  <c r="V73" i="23" a="1"/>
  <c r="FC73" i="23" a="1"/>
  <c r="Y73" i="23" a="1"/>
  <c r="EQ70" i="23" a="1"/>
  <c r="C71" i="23"/>
  <c r="FD73" i="23" a="1"/>
  <c r="EK70" i="23" a="1"/>
  <c r="EN70" i="23" a="1"/>
  <c r="W73" i="23" a="1"/>
  <c r="ES70" i="23" a="1"/>
  <c r="DE73" i="23" a="1"/>
  <c r="EV70" i="23" a="1"/>
  <c r="FE73" i="23" a="1"/>
  <c r="EL70" i="23" a="1"/>
  <c r="ET70" i="23" a="1"/>
  <c r="FJ73" i="23" a="1"/>
  <c r="X73" i="23" a="1"/>
  <c r="EO70" i="23" a="1"/>
  <c r="EU70" i="23" a="1"/>
  <c r="DF73" i="23" a="1"/>
  <c r="EM70" i="23" a="1"/>
  <c r="EP70" i="23" a="1"/>
  <c r="HJ69" i="23" l="1"/>
  <c r="HG69" i="23"/>
  <c r="HI69" i="23"/>
  <c r="HM69" i="23"/>
  <c r="GU69" i="23"/>
  <c r="HE69" i="23"/>
  <c r="GP69" i="23"/>
  <c r="AM72" i="23"/>
  <c r="GR69" i="23"/>
  <c r="HN69" i="23"/>
  <c r="HK69" i="23"/>
  <c r="HH69" i="23"/>
  <c r="HC69" i="23"/>
  <c r="HL69" i="23"/>
  <c r="X73" i="23"/>
  <c r="BF73" i="23" s="1"/>
  <c r="EO70" i="23"/>
  <c r="DX70" i="23" s="1"/>
  <c r="ET70" i="23"/>
  <c r="EC70" i="23" s="1"/>
  <c r="FD73" i="23"/>
  <c r="EM70" i="23"/>
  <c r="DV70" i="23" s="1"/>
  <c r="EP70" i="23"/>
  <c r="DY70" i="23" s="1"/>
  <c r="DE73" i="23"/>
  <c r="DK73" i="23"/>
  <c r="EN70" i="23"/>
  <c r="DW70" i="23" s="1"/>
  <c r="EQ70" i="23"/>
  <c r="DZ70" i="23" s="1"/>
  <c r="W73" i="23"/>
  <c r="BE73" i="23" s="1"/>
  <c r="FJ73" i="23"/>
  <c r="DF73" i="23"/>
  <c r="EK70" i="23"/>
  <c r="DT70" i="23" s="1"/>
  <c r="FC73" i="23"/>
  <c r="AD73" i="23"/>
  <c r="BL73" i="23" s="1"/>
  <c r="CV71" i="23"/>
  <c r="GF71" i="23"/>
  <c r="GK71" i="23"/>
  <c r="GL71" i="23"/>
  <c r="GE71" i="23"/>
  <c r="GJ71" i="23"/>
  <c r="CS71" i="23"/>
  <c r="CU71" i="23"/>
  <c r="CR71" i="23"/>
  <c r="GH71" i="23"/>
  <c r="CP71" i="23"/>
  <c r="CQ71" i="23"/>
  <c r="CW71" i="23"/>
  <c r="GG71" i="23"/>
  <c r="GA71" i="23"/>
  <c r="GD71" i="23"/>
  <c r="Y73" i="23"/>
  <c r="BG73" i="23" s="1"/>
  <c r="EL70" i="23"/>
  <c r="DU70" i="23" s="1"/>
  <c r="ER70" i="23"/>
  <c r="EA70" i="23" s="1"/>
  <c r="DD73" i="23"/>
  <c r="ES70" i="23"/>
  <c r="EB70" i="23" s="1"/>
  <c r="V73" i="23"/>
  <c r="BD73" i="23" s="1"/>
  <c r="FE73" i="23"/>
  <c r="EV70" i="23"/>
  <c r="EE70" i="23" s="1"/>
  <c r="DC73" i="23"/>
  <c r="FB73" i="23"/>
  <c r="EU70" i="23"/>
  <c r="ED70" i="23" s="1"/>
  <c r="GC71" i="23"/>
  <c r="GI71" i="23"/>
  <c r="E75" i="23"/>
  <c r="CM71" i="23"/>
  <c r="AZ70" i="23"/>
  <c r="CN71" i="23"/>
  <c r="AX71" i="23" s="1"/>
  <c r="AX70" i="23"/>
  <c r="BW72" i="23"/>
  <c r="BV72" i="23"/>
  <c r="CO71" i="23"/>
  <c r="AY70" i="23"/>
  <c r="BX72" i="23"/>
  <c r="CC72" i="23"/>
  <c r="G75" i="23"/>
  <c r="AV70" i="23"/>
  <c r="CL71" i="23"/>
  <c r="AW70" i="23"/>
  <c r="M75" i="23"/>
  <c r="AN72" i="23"/>
  <c r="AP72" i="23"/>
  <c r="F75" i="23"/>
  <c r="CT71" i="23"/>
  <c r="H75" i="23"/>
  <c r="AO72" i="23"/>
  <c r="GB71" i="23"/>
  <c r="BU72" i="23"/>
  <c r="HE68" i="23"/>
  <c r="GQ68" i="23"/>
  <c r="HC68" i="23"/>
  <c r="GO68" i="23"/>
  <c r="GW68" i="23"/>
  <c r="HK68" i="23"/>
  <c r="FX69" i="23"/>
  <c r="FW69" i="23"/>
  <c r="GU68" i="23"/>
  <c r="FU68" i="23"/>
  <c r="HI68" i="23"/>
  <c r="GV68" i="23"/>
  <c r="HJ68" i="23"/>
  <c r="GZ68" i="23"/>
  <c r="HN68" i="23"/>
  <c r="HD68" i="23"/>
  <c r="GP68" i="23"/>
  <c r="HF68" i="23"/>
  <c r="GR68" i="23"/>
  <c r="GY68" i="23"/>
  <c r="HM68" i="23"/>
  <c r="HG68" i="23"/>
  <c r="GS68" i="23"/>
  <c r="GX68" i="23"/>
  <c r="HL68" i="23"/>
  <c r="GT68" i="23"/>
  <c r="HH68" i="23"/>
  <c r="DD74" i="23" a="1"/>
  <c r="DC74" i="23" a="1"/>
  <c r="EP71" i="23" a="1"/>
  <c r="DF74" i="23" a="1"/>
  <c r="DE74" i="23" a="1"/>
  <c r="ER71" i="23" a="1"/>
  <c r="EQ71" i="23" a="1"/>
  <c r="FC74" i="23" a="1"/>
  <c r="ET71" i="23" a="1"/>
  <c r="Y74" i="23" a="1"/>
  <c r="FE74" i="23" a="1"/>
  <c r="EV71" i="23" a="1"/>
  <c r="EO71" i="23" a="1"/>
  <c r="EN71" i="23" a="1"/>
  <c r="FJ74" i="23" a="1"/>
  <c r="V74" i="23" a="1"/>
  <c r="C72" i="23"/>
  <c r="EM71" i="23" a="1"/>
  <c r="EK71" i="23" a="1"/>
  <c r="ES71" i="23" a="1"/>
  <c r="EL71" i="23" a="1"/>
  <c r="DK74" i="23" a="1"/>
  <c r="X74" i="23" a="1"/>
  <c r="AD74" i="23" a="1"/>
  <c r="EU71" i="23" a="1"/>
  <c r="FD74" i="23" a="1"/>
  <c r="FB74" i="23" a="1"/>
  <c r="W74" i="23" a="1"/>
  <c r="EK71" i="23" l="1"/>
  <c r="DT71" i="23" s="1"/>
  <c r="EL71" i="23"/>
  <c r="DU71" i="23" s="1"/>
  <c r="W74" i="23"/>
  <c r="BE74" i="23" s="1"/>
  <c r="EV71" i="23"/>
  <c r="EE71" i="23" s="1"/>
  <c r="FC74" i="23"/>
  <c r="FB74" i="23"/>
  <c r="EP71" i="23"/>
  <c r="DY71" i="23" s="1"/>
  <c r="EO71" i="23"/>
  <c r="DX71" i="23" s="1"/>
  <c r="AD74" i="23"/>
  <c r="BL74" i="23" s="1"/>
  <c r="V74" i="23"/>
  <c r="BD74" i="23" s="1"/>
  <c r="GG72" i="23"/>
  <c r="CP72" i="23"/>
  <c r="GL72" i="23"/>
  <c r="GJ72" i="23"/>
  <c r="GE72" i="23"/>
  <c r="GF72" i="23"/>
  <c r="CQ72" i="23"/>
  <c r="GK72" i="23"/>
  <c r="CS72" i="23"/>
  <c r="GH72" i="23"/>
  <c r="CW72" i="23"/>
  <c r="CV72" i="23"/>
  <c r="CU72" i="23"/>
  <c r="CR72" i="23"/>
  <c r="GC72" i="23"/>
  <c r="GD72" i="23"/>
  <c r="GA72" i="23"/>
  <c r="GI72" i="23"/>
  <c r="Y74" i="23"/>
  <c r="BG74" i="23" s="1"/>
  <c r="DC74" i="23"/>
  <c r="FE74" i="23"/>
  <c r="DF74" i="23"/>
  <c r="X74" i="23"/>
  <c r="BF74" i="23" s="1"/>
  <c r="EM71" i="23"/>
  <c r="DV71" i="23" s="1"/>
  <c r="EQ71" i="23"/>
  <c r="DZ71" i="23" s="1"/>
  <c r="EU71" i="23"/>
  <c r="ED71" i="23" s="1"/>
  <c r="DK74" i="23"/>
  <c r="ES71" i="23"/>
  <c r="EB71" i="23" s="1"/>
  <c r="DE74" i="23"/>
  <c r="ET71" i="23"/>
  <c r="EC71" i="23" s="1"/>
  <c r="DD74" i="23"/>
  <c r="FJ74" i="23"/>
  <c r="FD74" i="23"/>
  <c r="EN71" i="23"/>
  <c r="DW71" i="23" s="1"/>
  <c r="ER71" i="23"/>
  <c r="EA71" i="23" s="1"/>
  <c r="GB72" i="23"/>
  <c r="AV71" i="23"/>
  <c r="G76" i="23"/>
  <c r="AW71" i="23"/>
  <c r="GW70" i="23"/>
  <c r="HK70" i="23"/>
  <c r="HC70" i="23"/>
  <c r="GO70" i="23"/>
  <c r="AO73" i="23"/>
  <c r="AN73" i="23"/>
  <c r="AP73" i="23"/>
  <c r="GT70" i="23"/>
  <c r="HH70" i="23"/>
  <c r="GY70" i="23"/>
  <c r="HM70" i="23"/>
  <c r="GV70" i="23"/>
  <c r="HJ70" i="23"/>
  <c r="GQ70" i="23"/>
  <c r="HE70" i="23"/>
  <c r="GP70" i="23"/>
  <c r="HD70" i="23"/>
  <c r="AZ71" i="23"/>
  <c r="BV73" i="23"/>
  <c r="CL72" i="23"/>
  <c r="M76" i="23"/>
  <c r="AM73" i="23"/>
  <c r="BX73" i="23"/>
  <c r="GU70" i="23"/>
  <c r="FU70" i="23"/>
  <c r="HI70" i="23"/>
  <c r="CM72" i="23"/>
  <c r="AW72" i="23" s="1"/>
  <c r="F76" i="23"/>
  <c r="CT72" i="23"/>
  <c r="H76" i="23"/>
  <c r="CO72" i="23"/>
  <c r="E76" i="23"/>
  <c r="GZ70" i="23"/>
  <c r="HN70" i="23"/>
  <c r="HF70" i="23"/>
  <c r="GR70" i="23"/>
  <c r="GX70" i="23"/>
  <c r="HL70" i="23"/>
  <c r="CN72" i="23"/>
  <c r="CC73" i="23"/>
  <c r="HG70" i="23"/>
  <c r="GS70" i="23"/>
  <c r="AY71" i="23"/>
  <c r="BU73" i="23"/>
  <c r="BW73" i="23"/>
  <c r="FX68" i="23"/>
  <c r="FW68" i="23"/>
  <c r="DC75" i="23" a="1"/>
  <c r="ET72" i="23" a="1"/>
  <c r="FJ75" i="23" a="1"/>
  <c r="EN72" i="23" a="1"/>
  <c r="FB75" i="23" a="1"/>
  <c r="AD75" i="23" a="1"/>
  <c r="X75" i="23" a="1"/>
  <c r="EK72" i="23" a="1"/>
  <c r="EO72" i="23" a="1"/>
  <c r="EM72" i="23" a="1"/>
  <c r="C73" i="23"/>
  <c r="EQ72" i="23" a="1"/>
  <c r="DF75" i="23" a="1"/>
  <c r="EL72" i="23" a="1"/>
  <c r="W75" i="23" a="1"/>
  <c r="DE75" i="23" a="1"/>
  <c r="DD75" i="23" a="1"/>
  <c r="DK75" i="23" a="1"/>
  <c r="EV72" i="23" a="1"/>
  <c r="ER72" i="23" a="1"/>
  <c r="V75" i="23" a="1"/>
  <c r="EP72" i="23" a="1"/>
  <c r="FD75" i="23" a="1"/>
  <c r="Y75" i="23" a="1"/>
  <c r="ES72" i="23" a="1"/>
  <c r="FE75" i="23" a="1"/>
  <c r="EU72" i="23" a="1"/>
  <c r="FC75" i="23" a="1"/>
  <c r="AO74" i="23" l="1"/>
  <c r="AN74" i="23"/>
  <c r="GL73" i="23"/>
  <c r="GJ73" i="23"/>
  <c r="CQ73" i="23"/>
  <c r="GG73" i="23"/>
  <c r="GF73" i="23"/>
  <c r="CS73" i="23"/>
  <c r="GH73" i="23"/>
  <c r="GK73" i="23"/>
  <c r="CR73" i="23"/>
  <c r="CV73" i="23"/>
  <c r="CW73" i="23"/>
  <c r="GE73" i="23"/>
  <c r="CU73" i="23"/>
  <c r="CP73" i="23"/>
  <c r="GC73" i="23"/>
  <c r="GD73" i="23"/>
  <c r="FB75" i="23"/>
  <c r="Y75" i="23"/>
  <c r="BG75" i="23" s="1"/>
  <c r="FC75" i="23"/>
  <c r="FJ75" i="23"/>
  <c r="EQ72" i="23"/>
  <c r="DZ72" i="23" s="1"/>
  <c r="ET72" i="23"/>
  <c r="EC72" i="23" s="1"/>
  <c r="FD75" i="23"/>
  <c r="EU72" i="23"/>
  <c r="ED72" i="23" s="1"/>
  <c r="EK72" i="23"/>
  <c r="DT72" i="23" s="1"/>
  <c r="DE75" i="23"/>
  <c r="EV72" i="23"/>
  <c r="EE72" i="23" s="1"/>
  <c r="W75" i="23"/>
  <c r="BE75" i="23" s="1"/>
  <c r="EO72" i="23"/>
  <c r="DX72" i="23" s="1"/>
  <c r="EN72" i="23"/>
  <c r="DW72" i="23" s="1"/>
  <c r="EL72" i="23"/>
  <c r="DU72" i="23" s="1"/>
  <c r="X75" i="23"/>
  <c r="BF75" i="23" s="1"/>
  <c r="EM72" i="23"/>
  <c r="DV72" i="23" s="1"/>
  <c r="ER72" i="23"/>
  <c r="EA72" i="23" s="1"/>
  <c r="V75" i="23"/>
  <c r="BD75" i="23" s="1"/>
  <c r="DF75" i="23"/>
  <c r="DD75" i="23"/>
  <c r="ES72" i="23"/>
  <c r="EB72" i="23" s="1"/>
  <c r="DK75" i="23"/>
  <c r="FE75" i="23"/>
  <c r="DC75" i="23"/>
  <c r="AD75" i="23"/>
  <c r="BL75" i="23" s="1"/>
  <c r="EP72" i="23"/>
  <c r="DY72" i="23" s="1"/>
  <c r="CL73" i="23"/>
  <c r="AV73" i="23" s="1"/>
  <c r="CT73" i="23"/>
  <c r="CM73" i="23"/>
  <c r="GV71" i="23"/>
  <c r="HJ71" i="23"/>
  <c r="GS71" i="23"/>
  <c r="HG71" i="23"/>
  <c r="HK71" i="23"/>
  <c r="GW71" i="23"/>
  <c r="AM74" i="23"/>
  <c r="HH71" i="23"/>
  <c r="GT71" i="23"/>
  <c r="HF71" i="23"/>
  <c r="GR71" i="23"/>
  <c r="BX74" i="23"/>
  <c r="AV72" i="23"/>
  <c r="GY71" i="23"/>
  <c r="HM71" i="23"/>
  <c r="AZ72" i="23"/>
  <c r="GZ71" i="23"/>
  <c r="HN71" i="23"/>
  <c r="E77" i="23"/>
  <c r="CO73" i="23"/>
  <c r="CN73" i="23"/>
  <c r="H77" i="23"/>
  <c r="F77" i="23"/>
  <c r="G77" i="23"/>
  <c r="HE71" i="23"/>
  <c r="GQ71" i="23"/>
  <c r="BV74" i="23"/>
  <c r="M77" i="23"/>
  <c r="AY72" i="23"/>
  <c r="AX72" i="23"/>
  <c r="GX71" i="23"/>
  <c r="HL71" i="23"/>
  <c r="BW74" i="23"/>
  <c r="BU74" i="23"/>
  <c r="HD71" i="23"/>
  <c r="GP71" i="23"/>
  <c r="GU71" i="23"/>
  <c r="HI71" i="23"/>
  <c r="FU71" i="23"/>
  <c r="GA73" i="23"/>
  <c r="GI73" i="23"/>
  <c r="FW70" i="23"/>
  <c r="FX70" i="23"/>
  <c r="GB73" i="23"/>
  <c r="AP74" i="23"/>
  <c r="CC74" i="23"/>
  <c r="HC71" i="23"/>
  <c r="GO71" i="23"/>
  <c r="EU73" i="23" a="1"/>
  <c r="FB76" i="23" a="1"/>
  <c r="EN73" i="23" a="1"/>
  <c r="DE76" i="23" a="1"/>
  <c r="DD76" i="23" a="1"/>
  <c r="EL73" i="23" a="1"/>
  <c r="C74" i="23"/>
  <c r="EK73" i="23" a="1"/>
  <c r="DC76" i="23" a="1"/>
  <c r="Y76" i="23" a="1"/>
  <c r="EP73" i="23" a="1"/>
  <c r="W76" i="23" a="1"/>
  <c r="FD76" i="23" a="1"/>
  <c r="V76" i="23" a="1"/>
  <c r="DF76" i="23" a="1"/>
  <c r="EV73" i="23" a="1"/>
  <c r="ER73" i="23" a="1"/>
  <c r="FJ76" i="23" a="1"/>
  <c r="EO73" i="23" a="1"/>
  <c r="X76" i="23" a="1"/>
  <c r="ET73" i="23" a="1"/>
  <c r="EM73" i="23" a="1"/>
  <c r="ES73" i="23" a="1"/>
  <c r="AD76" i="23" a="1"/>
  <c r="EQ73" i="23" a="1"/>
  <c r="FC76" i="23" a="1"/>
  <c r="FE76" i="23" a="1"/>
  <c r="DK76" i="23" a="1"/>
  <c r="DK76" i="23" l="1"/>
  <c r="FE76" i="23"/>
  <c r="FB76" i="23"/>
  <c r="EL73" i="23"/>
  <c r="DU73" i="23" s="1"/>
  <c r="FJ76" i="23"/>
  <c r="W76" i="23"/>
  <c r="BE76" i="23" s="1"/>
  <c r="ES73" i="23"/>
  <c r="EB73" i="23" s="1"/>
  <c r="EK73" i="23"/>
  <c r="DT73" i="23" s="1"/>
  <c r="EO73" i="23"/>
  <c r="DX73" i="23" s="1"/>
  <c r="ER73" i="23"/>
  <c r="EA73" i="23" s="1"/>
  <c r="ET73" i="23"/>
  <c r="EC73" i="23" s="1"/>
  <c r="EM73" i="23"/>
  <c r="DV73" i="23" s="1"/>
  <c r="FD76" i="23"/>
  <c r="EN73" i="23"/>
  <c r="DW73" i="23" s="1"/>
  <c r="DD76" i="23"/>
  <c r="GE74" i="23"/>
  <c r="GH74" i="23"/>
  <c r="GG74" i="23"/>
  <c r="GK74" i="23"/>
  <c r="GF74" i="23"/>
  <c r="CV74" i="23"/>
  <c r="CU74" i="23"/>
  <c r="GJ74" i="23"/>
  <c r="GL74" i="23"/>
  <c r="CW74" i="23"/>
  <c r="CQ74" i="23"/>
  <c r="CP74" i="23"/>
  <c r="CS74" i="23"/>
  <c r="CR74" i="23"/>
  <c r="GC74" i="23"/>
  <c r="GD74" i="23"/>
  <c r="GB74" i="23"/>
  <c r="X76" i="23"/>
  <c r="BF76" i="23" s="1"/>
  <c r="EV73" i="23"/>
  <c r="EE73" i="23" s="1"/>
  <c r="EP73" i="23"/>
  <c r="DY73" i="23" s="1"/>
  <c r="FC76" i="23"/>
  <c r="DF76" i="23"/>
  <c r="DC76" i="23"/>
  <c r="EU73" i="23"/>
  <c r="ED73" i="23" s="1"/>
  <c r="DE76" i="23"/>
  <c r="AD76" i="23"/>
  <c r="BL76" i="23" s="1"/>
  <c r="Y76" i="23"/>
  <c r="BG76" i="23" s="1"/>
  <c r="V76" i="23"/>
  <c r="BD76" i="23" s="1"/>
  <c r="EQ73" i="23"/>
  <c r="DZ73" i="23" s="1"/>
  <c r="GA74" i="23"/>
  <c r="HG72" i="23"/>
  <c r="GS72" i="23"/>
  <c r="GI74" i="23"/>
  <c r="AW73" i="23"/>
  <c r="GW72" i="23"/>
  <c r="HK72" i="23"/>
  <c r="H78" i="23"/>
  <c r="E78" i="23"/>
  <c r="AN75" i="23"/>
  <c r="GX72" i="23"/>
  <c r="HL72" i="23"/>
  <c r="AP75" i="23"/>
  <c r="FU72" i="23"/>
  <c r="HI72" i="23"/>
  <c r="GU72" i="23"/>
  <c r="AZ73" i="23"/>
  <c r="BU75" i="23"/>
  <c r="BV75" i="23"/>
  <c r="AX73" i="23"/>
  <c r="HH72" i="23"/>
  <c r="GT72" i="23"/>
  <c r="CM74" i="23"/>
  <c r="F78" i="23"/>
  <c r="AY73" i="23"/>
  <c r="CC75" i="23"/>
  <c r="M78" i="23"/>
  <c r="CT74" i="23"/>
  <c r="CL74" i="23"/>
  <c r="GV72" i="23"/>
  <c r="HJ72" i="23"/>
  <c r="GZ72" i="23"/>
  <c r="HN72" i="23"/>
  <c r="CO74" i="23"/>
  <c r="AM75" i="23"/>
  <c r="HE72" i="23"/>
  <c r="GQ72" i="23"/>
  <c r="AO75" i="23"/>
  <c r="BX75" i="23"/>
  <c r="FW71" i="23"/>
  <c r="FX71" i="23"/>
  <c r="G78" i="23"/>
  <c r="BW75" i="23"/>
  <c r="HC72" i="23"/>
  <c r="GO72" i="23"/>
  <c r="HF72" i="23"/>
  <c r="GR72" i="23"/>
  <c r="CN74" i="23"/>
  <c r="HD72" i="23"/>
  <c r="GP72" i="23"/>
  <c r="GY72" i="23"/>
  <c r="HM72" i="23"/>
  <c r="FC77" i="23" a="1"/>
  <c r="W77" i="23" a="1"/>
  <c r="EK74" i="23" a="1"/>
  <c r="DF77" i="23" a="1"/>
  <c r="DD77" i="23" a="1"/>
  <c r="EV74" i="23" a="1"/>
  <c r="AD77" i="23" a="1"/>
  <c r="C75" i="23"/>
  <c r="EP74" i="23" a="1"/>
  <c r="FJ77" i="23" a="1"/>
  <c r="ES74" i="23" a="1"/>
  <c r="ER74" i="23" a="1"/>
  <c r="DK77" i="23" a="1"/>
  <c r="FE77" i="23" a="1"/>
  <c r="EQ74" i="23" a="1"/>
  <c r="X77" i="23" a="1"/>
  <c r="V77" i="23" a="1"/>
  <c r="ET74" i="23" a="1"/>
  <c r="Y77" i="23" a="1"/>
  <c r="FD77" i="23" a="1"/>
  <c r="EU74" i="23" a="1"/>
  <c r="EN74" i="23" a="1"/>
  <c r="EL74" i="23" a="1"/>
  <c r="FB77" i="23" a="1"/>
  <c r="EM74" i="23" a="1"/>
  <c r="DE77" i="23" a="1"/>
  <c r="DC77" i="23" a="1"/>
  <c r="EO74" i="23" a="1"/>
  <c r="AP76" i="23" l="1"/>
  <c r="AO76" i="23"/>
  <c r="AN76" i="23"/>
  <c r="AM76" i="23"/>
  <c r="V77" i="23"/>
  <c r="BD77" i="23" s="1"/>
  <c r="ET74" i="23"/>
  <c r="EC74" i="23" s="1"/>
  <c r="EN74" i="23"/>
  <c r="DW74" i="23" s="1"/>
  <c r="GJ75" i="23"/>
  <c r="GF75" i="23"/>
  <c r="CU75" i="23"/>
  <c r="GK75" i="23"/>
  <c r="CR75" i="23"/>
  <c r="CV75" i="23"/>
  <c r="CQ75" i="23"/>
  <c r="GH75" i="23"/>
  <c r="GG75" i="23"/>
  <c r="CP75" i="23"/>
  <c r="CS75" i="23"/>
  <c r="GE75" i="23"/>
  <c r="GL75" i="23"/>
  <c r="CW75" i="23"/>
  <c r="GI75" i="23"/>
  <c r="GC75" i="23"/>
  <c r="ER74" i="23"/>
  <c r="EA74" i="23" s="1"/>
  <c r="AD77" i="23"/>
  <c r="BL77" i="23" s="1"/>
  <c r="FJ77" i="23"/>
  <c r="DC77" i="23"/>
  <c r="EQ74" i="23"/>
  <c r="DZ74" i="23" s="1"/>
  <c r="DD77" i="23"/>
  <c r="FD77" i="23"/>
  <c r="FC77" i="23"/>
  <c r="EO74" i="23"/>
  <c r="DX74" i="23" s="1"/>
  <c r="DE77" i="23"/>
  <c r="EK74" i="23"/>
  <c r="DT74" i="23" s="1"/>
  <c r="W77" i="23"/>
  <c r="BE77" i="23" s="1"/>
  <c r="Y77" i="23"/>
  <c r="BG77" i="23" s="1"/>
  <c r="EP74" i="23"/>
  <c r="DY74" i="23" s="1"/>
  <c r="EM74" i="23"/>
  <c r="DV74" i="23" s="1"/>
  <c r="FB77" i="23"/>
  <c r="EU74" i="23"/>
  <c r="ED74" i="23" s="1"/>
  <c r="X77" i="23"/>
  <c r="BF77" i="23" s="1"/>
  <c r="FE77" i="23"/>
  <c r="EV74" i="23"/>
  <c r="EE74" i="23" s="1"/>
  <c r="DK77" i="23"/>
  <c r="ES74" i="23"/>
  <c r="EB74" i="23" s="1"/>
  <c r="EL74" i="23"/>
  <c r="DU74" i="23" s="1"/>
  <c r="DF77" i="23"/>
  <c r="GD75" i="23"/>
  <c r="GB75" i="23"/>
  <c r="FU73" i="23"/>
  <c r="GU73" i="23"/>
  <c r="HI73" i="23"/>
  <c r="HF73" i="23"/>
  <c r="GR73" i="23"/>
  <c r="GW73" i="23"/>
  <c r="HK73" i="23"/>
  <c r="CL75" i="23"/>
  <c r="H79" i="23"/>
  <c r="CN75" i="23"/>
  <c r="BV76" i="23"/>
  <c r="GT73" i="23"/>
  <c r="HH73" i="23"/>
  <c r="HE73" i="23"/>
  <c r="GQ73" i="23"/>
  <c r="AY74" i="23"/>
  <c r="E79" i="23"/>
  <c r="M79" i="23"/>
  <c r="GZ73" i="23"/>
  <c r="HN73" i="23"/>
  <c r="AZ74" i="23"/>
  <c r="GX73" i="23"/>
  <c r="HL73" i="23"/>
  <c r="HD73" i="23"/>
  <c r="GP73" i="23"/>
  <c r="BU76" i="23"/>
  <c r="AV74" i="23"/>
  <c r="FX72" i="23"/>
  <c r="FW72" i="23"/>
  <c r="CC76" i="23"/>
  <c r="BW76" i="23"/>
  <c r="GV73" i="23"/>
  <c r="HJ73" i="23"/>
  <c r="AX74" i="23"/>
  <c r="BX76" i="23"/>
  <c r="CO75" i="23"/>
  <c r="AY75" i="23" s="1"/>
  <c r="F79" i="23"/>
  <c r="CM75" i="23"/>
  <c r="AW75" i="23" s="1"/>
  <c r="HG73" i="23"/>
  <c r="GS73" i="23"/>
  <c r="G79" i="23"/>
  <c r="CT75" i="23"/>
  <c r="AW74" i="23"/>
  <c r="GA75" i="23"/>
  <c r="GY73" i="23"/>
  <c r="HM73" i="23"/>
  <c r="HC73" i="23"/>
  <c r="GO73" i="23"/>
  <c r="EN75" i="23" a="1"/>
  <c r="FB78" i="23" a="1"/>
  <c r="ET75" i="23" a="1"/>
  <c r="FD78" i="23" a="1"/>
  <c r="EM75" i="23" a="1"/>
  <c r="AD78" i="23" a="1"/>
  <c r="C76" i="23"/>
  <c r="EP75" i="23" a="1"/>
  <c r="DF78" i="23" a="1"/>
  <c r="EQ75" i="23" a="1"/>
  <c r="FE78" i="23" a="1"/>
  <c r="Y78" i="23" a="1"/>
  <c r="ER75" i="23" a="1"/>
  <c r="X78" i="23" a="1"/>
  <c r="EK75" i="23" a="1"/>
  <c r="EL75" i="23" a="1"/>
  <c r="DC78" i="23" a="1"/>
  <c r="DK78" i="23" a="1"/>
  <c r="EU75" i="23" a="1"/>
  <c r="FJ78" i="23" a="1"/>
  <c r="DE78" i="23" a="1"/>
  <c r="EO75" i="23" a="1"/>
  <c r="ES75" i="23" a="1"/>
  <c r="FC78" i="23" a="1"/>
  <c r="DD78" i="23" a="1"/>
  <c r="EV75" i="23" a="1"/>
  <c r="V78" i="23" a="1"/>
  <c r="W78" i="23" a="1"/>
  <c r="AP77" i="23" l="1"/>
  <c r="AM77" i="23"/>
  <c r="FD78" i="23"/>
  <c r="DE78" i="23"/>
  <c r="FC78" i="23"/>
  <c r="CU76" i="23"/>
  <c r="CQ76" i="23"/>
  <c r="GJ76" i="23"/>
  <c r="CP76" i="23"/>
  <c r="CR76" i="23"/>
  <c r="GG76" i="23"/>
  <c r="CS76" i="23"/>
  <c r="GL76" i="23"/>
  <c r="GE76" i="23"/>
  <c r="GK76" i="23"/>
  <c r="GH76" i="23"/>
  <c r="CV76" i="23"/>
  <c r="GF76" i="23"/>
  <c r="CW76" i="23"/>
  <c r="GI76" i="23"/>
  <c r="GC76" i="23"/>
  <c r="EM75" i="23"/>
  <c r="DV75" i="23" s="1"/>
  <c r="ER75" i="23"/>
  <c r="EA75" i="23" s="1"/>
  <c r="ET75" i="23"/>
  <c r="EC75" i="23" s="1"/>
  <c r="X78" i="23"/>
  <c r="BF78" i="23" s="1"/>
  <c r="DC78" i="23"/>
  <c r="EO75" i="23"/>
  <c r="DX75" i="23" s="1"/>
  <c r="EN75" i="23"/>
  <c r="DW75" i="23" s="1"/>
  <c r="EK75" i="23"/>
  <c r="DT75" i="23" s="1"/>
  <c r="EL75" i="23"/>
  <c r="DU75" i="23" s="1"/>
  <c r="AD78" i="23"/>
  <c r="BL78" i="23" s="1"/>
  <c r="FB78" i="23"/>
  <c r="ES75" i="23"/>
  <c r="EB75" i="23" s="1"/>
  <c r="FJ78" i="23"/>
  <c r="FE78" i="23"/>
  <c r="EP75" i="23"/>
  <c r="DY75" i="23" s="1"/>
  <c r="V78" i="23"/>
  <c r="BD78" i="23" s="1"/>
  <c r="W78" i="23"/>
  <c r="BE78" i="23" s="1"/>
  <c r="DK78" i="23"/>
  <c r="DF78" i="23"/>
  <c r="EV75" i="23"/>
  <c r="EE75" i="23" s="1"/>
  <c r="EU75" i="23"/>
  <c r="ED75" i="23" s="1"/>
  <c r="DD78" i="23"/>
  <c r="Y78" i="23"/>
  <c r="BG78" i="23" s="1"/>
  <c r="EQ75" i="23"/>
  <c r="DZ75" i="23" s="1"/>
  <c r="GD76" i="23"/>
  <c r="CL76" i="23"/>
  <c r="CM76" i="23"/>
  <c r="H80" i="23"/>
  <c r="GZ74" i="23"/>
  <c r="HN74" i="23"/>
  <c r="BV77" i="23"/>
  <c r="HC74" i="23"/>
  <c r="GO74" i="23"/>
  <c r="F80" i="23"/>
  <c r="BW77" i="23"/>
  <c r="AO77" i="23"/>
  <c r="CC77" i="23"/>
  <c r="AZ75" i="23"/>
  <c r="GY74" i="23"/>
  <c r="HM74" i="23"/>
  <c r="HG74" i="23"/>
  <c r="GS74" i="23"/>
  <c r="GV74" i="23"/>
  <c r="HJ74" i="23"/>
  <c r="CN76" i="23"/>
  <c r="HF74" i="23"/>
  <c r="GR74" i="23"/>
  <c r="E80" i="23"/>
  <c r="AX75" i="23"/>
  <c r="HD74" i="23"/>
  <c r="GP74" i="23"/>
  <c r="GQ74" i="23"/>
  <c r="HE74" i="23"/>
  <c r="GX74" i="23"/>
  <c r="HL74" i="23"/>
  <c r="G80" i="23"/>
  <c r="FX73" i="23"/>
  <c r="FW73" i="23"/>
  <c r="CO76" i="23"/>
  <c r="AV75" i="23"/>
  <c r="GW74" i="23"/>
  <c r="HK74" i="23"/>
  <c r="GT74" i="23"/>
  <c r="HH74" i="23"/>
  <c r="AN77" i="23"/>
  <c r="BU77" i="23"/>
  <c r="CT76" i="23"/>
  <c r="GA76" i="23"/>
  <c r="M80" i="23"/>
  <c r="GB76" i="23"/>
  <c r="BX77" i="23"/>
  <c r="GU74" i="23"/>
  <c r="FU74" i="23"/>
  <c r="HI74" i="23"/>
  <c r="ET76" i="23" a="1"/>
  <c r="EO76" i="23" a="1"/>
  <c r="EQ76" i="23" a="1"/>
  <c r="DF79" i="23" a="1"/>
  <c r="EP76" i="23" a="1"/>
  <c r="DE79" i="23" a="1"/>
  <c r="DC79" i="23" a="1"/>
  <c r="FE79" i="23" a="1"/>
  <c r="EU76" i="23" a="1"/>
  <c r="EM76" i="23" a="1"/>
  <c r="X79" i="23" a="1"/>
  <c r="EK76" i="23" a="1"/>
  <c r="AD79" i="23" a="1"/>
  <c r="W79" i="23" a="1"/>
  <c r="ES76" i="23" a="1"/>
  <c r="C77" i="23"/>
  <c r="DD79" i="23" a="1"/>
  <c r="V79" i="23" a="1"/>
  <c r="DK79" i="23" a="1"/>
  <c r="FC79" i="23" a="1"/>
  <c r="FB79" i="23" a="1"/>
  <c r="ER76" i="23" a="1"/>
  <c r="EN76" i="23" a="1"/>
  <c r="FJ79" i="23" a="1"/>
  <c r="Y79" i="23" a="1"/>
  <c r="FD79" i="23" a="1"/>
  <c r="EL76" i="23" a="1"/>
  <c r="EV76" i="23" a="1"/>
  <c r="AP78" i="23" l="1"/>
  <c r="AM78" i="23"/>
  <c r="FJ79" i="23"/>
  <c r="CU77" i="23"/>
  <c r="GF77" i="23"/>
  <c r="GJ77" i="23"/>
  <c r="CR77" i="23"/>
  <c r="CP77" i="23"/>
  <c r="CS77" i="23"/>
  <c r="GE77" i="23"/>
  <c r="GL77" i="23"/>
  <c r="GH77" i="23"/>
  <c r="CV77" i="23"/>
  <c r="CW77" i="23"/>
  <c r="GG77" i="23"/>
  <c r="CQ77" i="23"/>
  <c r="GK77" i="23"/>
  <c r="GD77" i="23"/>
  <c r="GC77" i="23"/>
  <c r="GB77" i="23"/>
  <c r="EQ76" i="23"/>
  <c r="DZ76" i="23" s="1"/>
  <c r="AD79" i="23"/>
  <c r="BL79" i="23" s="1"/>
  <c r="EL76" i="23"/>
  <c r="DU76" i="23" s="1"/>
  <c r="EU76" i="23"/>
  <c r="ED76" i="23" s="1"/>
  <c r="EO76" i="23"/>
  <c r="DX76" i="23" s="1"/>
  <c r="EM76" i="23"/>
  <c r="DV76" i="23" s="1"/>
  <c r="EK76" i="23"/>
  <c r="DT76" i="23" s="1"/>
  <c r="EP76" i="23"/>
  <c r="DY76" i="23" s="1"/>
  <c r="ET76" i="23"/>
  <c r="EC76" i="23" s="1"/>
  <c r="X79" i="23"/>
  <c r="BF79" i="23" s="1"/>
  <c r="DC79" i="23"/>
  <c r="ES76" i="23"/>
  <c r="EB76" i="23" s="1"/>
  <c r="DE79" i="23"/>
  <c r="DD79" i="23"/>
  <c r="Y79" i="23"/>
  <c r="BG79" i="23" s="1"/>
  <c r="FD79" i="23"/>
  <c r="W79" i="23"/>
  <c r="BE79" i="23" s="1"/>
  <c r="DF79" i="23"/>
  <c r="ER76" i="23"/>
  <c r="EA76" i="23" s="1"/>
  <c r="V79" i="23"/>
  <c r="BD79" i="23" s="1"/>
  <c r="FB79" i="23"/>
  <c r="DK79" i="23"/>
  <c r="EN76" i="23"/>
  <c r="DW76" i="23" s="1"/>
  <c r="FC79" i="23"/>
  <c r="FE79" i="23"/>
  <c r="EV76" i="23"/>
  <c r="EE76" i="23" s="1"/>
  <c r="GI77" i="23"/>
  <c r="FX74" i="23"/>
  <c r="FW74" i="23"/>
  <c r="CL77" i="23"/>
  <c r="F81" i="23"/>
  <c r="H81" i="23"/>
  <c r="GZ75" i="23"/>
  <c r="HN75" i="23"/>
  <c r="GW75" i="23"/>
  <c r="HK75" i="23"/>
  <c r="CM77" i="23"/>
  <c r="AW76" i="23"/>
  <c r="BW78" i="23"/>
  <c r="AZ76" i="23"/>
  <c r="M81" i="23"/>
  <c r="AX76" i="23"/>
  <c r="AV76" i="23"/>
  <c r="CC78" i="23"/>
  <c r="HL75" i="23"/>
  <c r="GX75" i="23"/>
  <c r="GV75" i="23"/>
  <c r="HJ75" i="23"/>
  <c r="BU78" i="23"/>
  <c r="HD75" i="23"/>
  <c r="GP75" i="23"/>
  <c r="HE75" i="23"/>
  <c r="GQ75" i="23"/>
  <c r="CN77" i="23"/>
  <c r="AX77" i="23" s="1"/>
  <c r="GU75" i="23"/>
  <c r="FU75" i="23"/>
  <c r="HI75" i="23"/>
  <c r="E81" i="23"/>
  <c r="BX78" i="23"/>
  <c r="GT75" i="23"/>
  <c r="HH75" i="23"/>
  <c r="HC75" i="23"/>
  <c r="GO75" i="23"/>
  <c r="CT77" i="23"/>
  <c r="AN78" i="23"/>
  <c r="HF75" i="23"/>
  <c r="GR75" i="23"/>
  <c r="AO78" i="23"/>
  <c r="CO77" i="23"/>
  <c r="BV78" i="23"/>
  <c r="GA77" i="23"/>
  <c r="AY76" i="23"/>
  <c r="G81" i="23"/>
  <c r="GY75" i="23"/>
  <c r="HM75" i="23"/>
  <c r="HG75" i="23"/>
  <c r="GS75" i="23"/>
  <c r="AD80" i="23" a="1"/>
  <c r="EU77" i="23" a="1"/>
  <c r="FE80" i="23" a="1"/>
  <c r="X80" i="23" a="1"/>
  <c r="DD80" i="23" a="1"/>
  <c r="EQ77" i="23" a="1"/>
  <c r="DE80" i="23" a="1"/>
  <c r="FD80" i="23" a="1"/>
  <c r="FB80" i="23" a="1"/>
  <c r="EV77" i="23" a="1"/>
  <c r="ET77" i="23" a="1"/>
  <c r="FC80" i="23" a="1"/>
  <c r="ES77" i="23" a="1"/>
  <c r="DK80" i="23" a="1"/>
  <c r="EM77" i="23" a="1"/>
  <c r="EL77" i="23" a="1"/>
  <c r="V80" i="23" a="1"/>
  <c r="EK77" i="23" a="1"/>
  <c r="C78" i="23"/>
  <c r="EP77" i="23" a="1"/>
  <c r="DF80" i="23" a="1"/>
  <c r="Y80" i="23" a="1"/>
  <c r="DC80" i="23" a="1"/>
  <c r="FJ80" i="23" a="1"/>
  <c r="EO77" i="23" a="1"/>
  <c r="EN77" i="23" a="1"/>
  <c r="W80" i="23" a="1"/>
  <c r="ER77" i="23" a="1"/>
  <c r="AP79" i="23" l="1"/>
  <c r="Y80" i="23"/>
  <c r="BG80" i="23" s="1"/>
  <c r="X80" i="23"/>
  <c r="BF80" i="23" s="1"/>
  <c r="EN77" i="23"/>
  <c r="DW77" i="23" s="1"/>
  <c r="EL77" i="23"/>
  <c r="DU77" i="23" s="1"/>
  <c r="ER77" i="23"/>
  <c r="EA77" i="23" s="1"/>
  <c r="DE80" i="23"/>
  <c r="DC80" i="23"/>
  <c r="GH78" i="23"/>
  <c r="CR78" i="23"/>
  <c r="GG78" i="23"/>
  <c r="CS78" i="23"/>
  <c r="GF78" i="23"/>
  <c r="CU78" i="23"/>
  <c r="GL78" i="23"/>
  <c r="CW78" i="23"/>
  <c r="CQ78" i="23"/>
  <c r="CP78" i="23"/>
  <c r="GJ78" i="23"/>
  <c r="GK78" i="23"/>
  <c r="CV78" i="23"/>
  <c r="GE78" i="23"/>
  <c r="GC78" i="23"/>
  <c r="EP77" i="23"/>
  <c r="DY77" i="23" s="1"/>
  <c r="EO77" i="23"/>
  <c r="DX77" i="23" s="1"/>
  <c r="FD80" i="23"/>
  <c r="V80" i="23"/>
  <c r="BD80" i="23" s="1"/>
  <c r="W80" i="23"/>
  <c r="BE80" i="23" s="1"/>
  <c r="EQ77" i="23"/>
  <c r="DZ77" i="23" s="1"/>
  <c r="EV77" i="23"/>
  <c r="EE77" i="23" s="1"/>
  <c r="AD80" i="23"/>
  <c r="BL80" i="23" s="1"/>
  <c r="FC80" i="23"/>
  <c r="EU77" i="23"/>
  <c r="ED77" i="23" s="1"/>
  <c r="EM77" i="23"/>
  <c r="DV77" i="23" s="1"/>
  <c r="DD80" i="23"/>
  <c r="DK80" i="23"/>
  <c r="DF80" i="23"/>
  <c r="ET77" i="23"/>
  <c r="EC77" i="23" s="1"/>
  <c r="FB80" i="23"/>
  <c r="ES77" i="23"/>
  <c r="EB77" i="23" s="1"/>
  <c r="FJ80" i="23"/>
  <c r="FE80" i="23"/>
  <c r="EK77" i="23"/>
  <c r="DT77" i="23" s="1"/>
  <c r="GI78" i="23"/>
  <c r="GA78" i="23"/>
  <c r="CM78" i="23"/>
  <c r="CO78" i="23"/>
  <c r="M82" i="23"/>
  <c r="AO79" i="23"/>
  <c r="HE76" i="23"/>
  <c r="GQ76" i="23"/>
  <c r="AY77" i="23"/>
  <c r="CT78" i="23"/>
  <c r="H82" i="23"/>
  <c r="BU79" i="23"/>
  <c r="GW76" i="23"/>
  <c r="HK76" i="23"/>
  <c r="HG76" i="23"/>
  <c r="GS76" i="23"/>
  <c r="FW75" i="23"/>
  <c r="FX75" i="23"/>
  <c r="CL78" i="23"/>
  <c r="GV76" i="23"/>
  <c r="HJ76" i="23"/>
  <c r="AM79" i="23"/>
  <c r="GY76" i="23"/>
  <c r="HM76" i="23"/>
  <c r="AZ77" i="23"/>
  <c r="HN76" i="23"/>
  <c r="GZ76" i="23"/>
  <c r="BW79" i="23"/>
  <c r="GP76" i="23"/>
  <c r="HD76" i="23"/>
  <c r="G82" i="23"/>
  <c r="E82" i="23"/>
  <c r="AW77" i="23"/>
  <c r="GX76" i="23"/>
  <c r="HL76" i="23"/>
  <c r="GU76" i="23"/>
  <c r="HI76" i="23"/>
  <c r="FU76" i="23"/>
  <c r="BV79" i="23"/>
  <c r="CC79" i="23"/>
  <c r="F82" i="23"/>
  <c r="HF76" i="23"/>
  <c r="GR76" i="23"/>
  <c r="BX79" i="23"/>
  <c r="GT76" i="23"/>
  <c r="HH76" i="23"/>
  <c r="CN78" i="23"/>
  <c r="AX78" i="23" s="1"/>
  <c r="GB78" i="23"/>
  <c r="GD78" i="23"/>
  <c r="AV77" i="23"/>
  <c r="AN79" i="23"/>
  <c r="GO76" i="23"/>
  <c r="HC76" i="23"/>
  <c r="ET78" i="23" a="1"/>
  <c r="FB81" i="23" a="1"/>
  <c r="FJ81" i="23" a="1"/>
  <c r="FD81" i="23" a="1"/>
  <c r="ER78" i="23" a="1"/>
  <c r="FE81" i="23" a="1"/>
  <c r="EM78" i="23" a="1"/>
  <c r="EQ78" i="23" a="1"/>
  <c r="AD81" i="23" a="1"/>
  <c r="V81" i="23" a="1"/>
  <c r="EK78" i="23" a="1"/>
  <c r="EP78" i="23" a="1"/>
  <c r="X81" i="23" a="1"/>
  <c r="ES78" i="23" a="1"/>
  <c r="C79" i="23"/>
  <c r="Y81" i="23" a="1"/>
  <c r="EN78" i="23" a="1"/>
  <c r="DK81" i="23" a="1"/>
  <c r="EO78" i="23" a="1"/>
  <c r="EV78" i="23" a="1"/>
  <c r="W81" i="23" a="1"/>
  <c r="FC81" i="23" a="1"/>
  <c r="EL78" i="23" a="1"/>
  <c r="DE81" i="23" a="1"/>
  <c r="DC81" i="23" a="1"/>
  <c r="DF81" i="23" a="1"/>
  <c r="DD81" i="23" a="1"/>
  <c r="EU78" i="23" a="1"/>
  <c r="AN80" i="23" l="1"/>
  <c r="AP80" i="23"/>
  <c r="AM80" i="23"/>
  <c r="AO80" i="23"/>
  <c r="FC81" i="23"/>
  <c r="X81" i="23"/>
  <c r="BF81" i="23" s="1"/>
  <c r="EM78" i="23"/>
  <c r="DV78" i="23" s="1"/>
  <c r="DD81" i="23"/>
  <c r="DE81" i="23"/>
  <c r="GL79" i="23"/>
  <c r="CW79" i="23"/>
  <c r="GH79" i="23"/>
  <c r="GE79" i="23"/>
  <c r="CS79" i="23"/>
  <c r="CR79" i="23"/>
  <c r="GJ79" i="23"/>
  <c r="CQ79" i="23"/>
  <c r="CV79" i="23"/>
  <c r="GG79" i="23"/>
  <c r="CU79" i="23"/>
  <c r="GF79" i="23"/>
  <c r="CP79" i="23"/>
  <c r="GK79" i="23"/>
  <c r="GC79" i="23"/>
  <c r="GD79" i="23"/>
  <c r="GI79" i="23"/>
  <c r="EP78" i="23"/>
  <c r="DY78" i="23" s="1"/>
  <c r="W81" i="23"/>
  <c r="BE81" i="23" s="1"/>
  <c r="FD81" i="23"/>
  <c r="EN78" i="23"/>
  <c r="DW78" i="23" s="1"/>
  <c r="EV78" i="23"/>
  <c r="EE78" i="23" s="1"/>
  <c r="Y81" i="23"/>
  <c r="BG81" i="23" s="1"/>
  <c r="EL78" i="23"/>
  <c r="DU78" i="23" s="1"/>
  <c r="DF81" i="23"/>
  <c r="ET78" i="23"/>
  <c r="EC78" i="23" s="1"/>
  <c r="DC81" i="23"/>
  <c r="EK78" i="23"/>
  <c r="DT78" i="23" s="1"/>
  <c r="DK81" i="23"/>
  <c r="ER78" i="23"/>
  <c r="EA78" i="23" s="1"/>
  <c r="FB81" i="23"/>
  <c r="V81" i="23"/>
  <c r="BD81" i="23" s="1"/>
  <c r="FE81" i="23"/>
  <c r="EU78" i="23"/>
  <c r="ED78" i="23" s="1"/>
  <c r="ES78" i="23"/>
  <c r="EB78" i="23" s="1"/>
  <c r="FJ81" i="23"/>
  <c r="AD81" i="23"/>
  <c r="BL81" i="23" s="1"/>
  <c r="EO78" i="23"/>
  <c r="DX78" i="23" s="1"/>
  <c r="EQ78" i="23"/>
  <c r="DZ78" i="23" s="1"/>
  <c r="FX76" i="23"/>
  <c r="FW76" i="23"/>
  <c r="CM79" i="23"/>
  <c r="CL79" i="23"/>
  <c r="M83" i="23"/>
  <c r="HG77" i="23"/>
  <c r="GS77" i="23"/>
  <c r="HM77" i="23"/>
  <c r="GY77" i="23"/>
  <c r="AY78" i="23"/>
  <c r="GW77" i="23"/>
  <c r="HK77" i="23"/>
  <c r="GT77" i="23"/>
  <c r="HH77" i="23"/>
  <c r="AW78" i="23"/>
  <c r="CC80" i="23"/>
  <c r="HL77" i="23"/>
  <c r="GX77" i="23"/>
  <c r="GZ77" i="23"/>
  <c r="HN77" i="23"/>
  <c r="GV77" i="23"/>
  <c r="HJ77" i="23"/>
  <c r="FU77" i="23"/>
  <c r="GU77" i="23"/>
  <c r="HI77" i="23"/>
  <c r="G83" i="23"/>
  <c r="HD77" i="23"/>
  <c r="GP77" i="23"/>
  <c r="AV78" i="23"/>
  <c r="H83" i="23"/>
  <c r="BV80" i="23"/>
  <c r="GR77" i="23"/>
  <c r="HF77" i="23"/>
  <c r="F83" i="23"/>
  <c r="CO79" i="23"/>
  <c r="CT79" i="23"/>
  <c r="E83" i="23"/>
  <c r="GO77" i="23"/>
  <c r="HC77" i="23"/>
  <c r="BU80" i="23"/>
  <c r="BW80" i="23"/>
  <c r="GB79" i="23"/>
  <c r="CN79" i="23"/>
  <c r="AX79" i="23" s="1"/>
  <c r="GA79" i="23"/>
  <c r="HE77" i="23"/>
  <c r="GQ77" i="23"/>
  <c r="AZ78" i="23"/>
  <c r="BX80" i="23"/>
  <c r="EQ79" i="23" a="1"/>
  <c r="ES79" i="23" a="1"/>
  <c r="DE82" i="23" a="1"/>
  <c r="EP79" i="23" a="1"/>
  <c r="W82" i="23" a="1"/>
  <c r="FJ82" i="23" a="1"/>
  <c r="EN79" i="23" a="1"/>
  <c r="DK82" i="23" a="1"/>
  <c r="DC82" i="23" a="1"/>
  <c r="FC82" i="23" a="1"/>
  <c r="X82" i="23" a="1"/>
  <c r="ER79" i="23" a="1"/>
  <c r="V82" i="23" a="1"/>
  <c r="EV79" i="23" a="1"/>
  <c r="DD82" i="23" a="1"/>
  <c r="FE82" i="23" a="1"/>
  <c r="Y82" i="23" a="1"/>
  <c r="EO79" i="23" a="1"/>
  <c r="FD82" i="23" a="1"/>
  <c r="EU79" i="23" a="1"/>
  <c r="C80" i="23"/>
  <c r="AD82" i="23" a="1"/>
  <c r="EM79" i="23" a="1"/>
  <c r="ET79" i="23" a="1"/>
  <c r="EL79" i="23" a="1"/>
  <c r="DF82" i="23" a="1"/>
  <c r="FB82" i="23" a="1"/>
  <c r="EK79" i="23" a="1"/>
  <c r="AO81" i="23" l="1"/>
  <c r="AP81" i="23"/>
  <c r="EL79" i="23"/>
  <c r="DU79" i="23" s="1"/>
  <c r="ET79" i="23"/>
  <c r="EC79" i="23" s="1"/>
  <c r="FC82" i="23"/>
  <c r="EV79" i="23"/>
  <c r="EE79" i="23" s="1"/>
  <c r="EU79" i="23"/>
  <c r="ED79" i="23" s="1"/>
  <c r="EP79" i="23"/>
  <c r="DY79" i="23" s="1"/>
  <c r="W82" i="23"/>
  <c r="BE82" i="23" s="1"/>
  <c r="DF82" i="23"/>
  <c r="X82" i="23"/>
  <c r="BF82" i="23" s="1"/>
  <c r="AD82" i="23"/>
  <c r="BL82" i="23" s="1"/>
  <c r="CV80" i="23"/>
  <c r="GJ80" i="23"/>
  <c r="CQ80" i="23"/>
  <c r="GH80" i="23"/>
  <c r="CP80" i="23"/>
  <c r="GL80" i="23"/>
  <c r="GF80" i="23"/>
  <c r="GK80" i="23"/>
  <c r="CR80" i="23"/>
  <c r="CU80" i="23"/>
  <c r="CS80" i="23"/>
  <c r="CW80" i="23"/>
  <c r="GG80" i="23"/>
  <c r="GE80" i="23"/>
  <c r="GI80" i="23"/>
  <c r="GD80" i="23"/>
  <c r="EN79" i="23"/>
  <c r="DW79" i="23" s="1"/>
  <c r="FD82" i="23"/>
  <c r="DK82" i="23"/>
  <c r="EQ79" i="23"/>
  <c r="DZ79" i="23" s="1"/>
  <c r="ES79" i="23"/>
  <c r="EB79" i="23" s="1"/>
  <c r="DC82" i="23"/>
  <c r="DE82" i="23"/>
  <c r="EO79" i="23"/>
  <c r="DX79" i="23" s="1"/>
  <c r="ER79" i="23"/>
  <c r="EA79" i="23" s="1"/>
  <c r="FB82" i="23"/>
  <c r="Y82" i="23"/>
  <c r="BG82" i="23" s="1"/>
  <c r="EM79" i="23"/>
  <c r="DV79" i="23" s="1"/>
  <c r="FE82" i="23"/>
  <c r="FJ82" i="23"/>
  <c r="V82" i="23"/>
  <c r="BD82" i="23" s="1"/>
  <c r="DD82" i="23"/>
  <c r="EK79" i="23"/>
  <c r="DT79" i="23" s="1"/>
  <c r="GC80" i="23"/>
  <c r="GW78" i="23"/>
  <c r="HK78" i="23"/>
  <c r="AM81" i="23"/>
  <c r="BV81" i="23"/>
  <c r="E84" i="23"/>
  <c r="HE78" i="23"/>
  <c r="GQ78" i="23"/>
  <c r="GY78" i="23"/>
  <c r="HM78" i="23"/>
  <c r="HL78" i="23"/>
  <c r="GX78" i="23"/>
  <c r="HH78" i="23"/>
  <c r="GT78" i="23"/>
  <c r="CM80" i="23"/>
  <c r="FW77" i="23"/>
  <c r="FX77" i="23"/>
  <c r="HD78" i="23"/>
  <c r="GP78" i="23"/>
  <c r="F84" i="23"/>
  <c r="AW79" i="23"/>
  <c r="GU78" i="23"/>
  <c r="HI78" i="23"/>
  <c r="FU78" i="23"/>
  <c r="BX81" i="23"/>
  <c r="AN81" i="23"/>
  <c r="CL80" i="23"/>
  <c r="BU81" i="23"/>
  <c r="AY79" i="23"/>
  <c r="H84" i="23"/>
  <c r="HG78" i="23"/>
  <c r="GS78" i="23"/>
  <c r="HJ78" i="23"/>
  <c r="GV78" i="23"/>
  <c r="HN78" i="23"/>
  <c r="GZ78" i="23"/>
  <c r="CN80" i="23"/>
  <c r="CT80" i="23"/>
  <c r="M84" i="23"/>
  <c r="CC81" i="23"/>
  <c r="GR78" i="23"/>
  <c r="HF78" i="23"/>
  <c r="AZ79" i="23"/>
  <c r="BW81" i="23"/>
  <c r="CO80" i="23"/>
  <c r="GA80" i="23"/>
  <c r="GB80" i="23"/>
  <c r="G84" i="23"/>
  <c r="AV79" i="23"/>
  <c r="GO78" i="23"/>
  <c r="HC78" i="23"/>
  <c r="AD83" i="23" a="1"/>
  <c r="EN80" i="23" a="1"/>
  <c r="Y83" i="23" a="1"/>
  <c r="FD83" i="23" a="1"/>
  <c r="DC83" i="23" a="1"/>
  <c r="FB83" i="23" a="1"/>
  <c r="EL80" i="23" a="1"/>
  <c r="EM80" i="23" a="1"/>
  <c r="DK83" i="23" a="1"/>
  <c r="X83" i="23" a="1"/>
  <c r="ER80" i="23" a="1"/>
  <c r="EO80" i="23" a="1"/>
  <c r="FE83" i="23" a="1"/>
  <c r="ET80" i="23" a="1"/>
  <c r="EV80" i="23" a="1"/>
  <c r="DE83" i="23" a="1"/>
  <c r="FC83" i="23" a="1"/>
  <c r="DF83" i="23" a="1"/>
  <c r="C81" i="23"/>
  <c r="V83" i="23" a="1"/>
  <c r="EU80" i="23" a="1"/>
  <c r="EP80" i="23" a="1"/>
  <c r="EK80" i="23" a="1"/>
  <c r="DD83" i="23" a="1"/>
  <c r="FJ83" i="23" a="1"/>
  <c r="ES80" i="23" a="1"/>
  <c r="W83" i="23" a="1"/>
  <c r="EQ80" i="23" a="1"/>
  <c r="AO82" i="23" l="1"/>
  <c r="AM82" i="23"/>
  <c r="EM80" i="23"/>
  <c r="DV80" i="23" s="1"/>
  <c r="EN80" i="23"/>
  <c r="DW80" i="23" s="1"/>
  <c r="GG81" i="23"/>
  <c r="CS81" i="23"/>
  <c r="GH81" i="23"/>
  <c r="CQ81" i="23"/>
  <c r="CU81" i="23"/>
  <c r="GK81" i="23"/>
  <c r="GE81" i="23"/>
  <c r="CV81" i="23"/>
  <c r="GL81" i="23"/>
  <c r="GJ81" i="23"/>
  <c r="CP81" i="23"/>
  <c r="CW81" i="23"/>
  <c r="GF81" i="23"/>
  <c r="CR81" i="23"/>
  <c r="GC81" i="23"/>
  <c r="GB81" i="23"/>
  <c r="GD81" i="23"/>
  <c r="GI81" i="23"/>
  <c r="EV80" i="23"/>
  <c r="EE80" i="23" s="1"/>
  <c r="ER80" i="23"/>
  <c r="EA80" i="23" s="1"/>
  <c r="FD83" i="23"/>
  <c r="FJ83" i="23"/>
  <c r="FC83" i="23"/>
  <c r="ET80" i="23"/>
  <c r="EC80" i="23" s="1"/>
  <c r="FE83" i="23"/>
  <c r="EK80" i="23"/>
  <c r="DT80" i="23" s="1"/>
  <c r="DC83" i="23"/>
  <c r="DE83" i="23"/>
  <c r="X83" i="23"/>
  <c r="BF83" i="23" s="1"/>
  <c r="AD83" i="23"/>
  <c r="BL83" i="23" s="1"/>
  <c r="DF83" i="23"/>
  <c r="W83" i="23"/>
  <c r="BE83" i="23" s="1"/>
  <c r="V83" i="23"/>
  <c r="BD83" i="23" s="1"/>
  <c r="EP80" i="23"/>
  <c r="DY80" i="23" s="1"/>
  <c r="DK83" i="23"/>
  <c r="DD83" i="23"/>
  <c r="EL80" i="23"/>
  <c r="DU80" i="23" s="1"/>
  <c r="EQ80" i="23"/>
  <c r="DZ80" i="23" s="1"/>
  <c r="EU80" i="23"/>
  <c r="ED80" i="23" s="1"/>
  <c r="EO80" i="23"/>
  <c r="DX80" i="23" s="1"/>
  <c r="Y83" i="23"/>
  <c r="BG83" i="23" s="1"/>
  <c r="FB83" i="23"/>
  <c r="ES80" i="23"/>
  <c r="EB80" i="23" s="1"/>
  <c r="AX80" i="23"/>
  <c r="AP82" i="23"/>
  <c r="BV82" i="23"/>
  <c r="BX82" i="23"/>
  <c r="HH79" i="23"/>
  <c r="GT79" i="23"/>
  <c r="GY79" i="23"/>
  <c r="HM79" i="23"/>
  <c r="AY80" i="23"/>
  <c r="CL81" i="23"/>
  <c r="GW79" i="23"/>
  <c r="HK79" i="23"/>
  <c r="H85" i="23"/>
  <c r="CO81" i="23"/>
  <c r="E85" i="23"/>
  <c r="GZ79" i="23"/>
  <c r="HN79" i="23"/>
  <c r="CT81" i="23"/>
  <c r="AV80" i="23"/>
  <c r="HE79" i="23"/>
  <c r="GQ79" i="23"/>
  <c r="CN81" i="23"/>
  <c r="HC79" i="23"/>
  <c r="GO79" i="23"/>
  <c r="G85" i="23"/>
  <c r="AW80" i="23"/>
  <c r="AN82" i="23"/>
  <c r="GV79" i="23"/>
  <c r="HJ79" i="23"/>
  <c r="HF79" i="23"/>
  <c r="GR79" i="23"/>
  <c r="GU79" i="23"/>
  <c r="HI79" i="23"/>
  <c r="FU79" i="23"/>
  <c r="M85" i="23"/>
  <c r="FX78" i="23"/>
  <c r="FW78" i="23"/>
  <c r="F85" i="23"/>
  <c r="CM81" i="23"/>
  <c r="AW81" i="23" s="1"/>
  <c r="BU82" i="23"/>
  <c r="GS79" i="23"/>
  <c r="HG79" i="23"/>
  <c r="CC82" i="23"/>
  <c r="HL79" i="23"/>
  <c r="GX79" i="23"/>
  <c r="GA81" i="23"/>
  <c r="AV81" i="23"/>
  <c r="BW82" i="23"/>
  <c r="HD79" i="23"/>
  <c r="GP79" i="23"/>
  <c r="DC84" i="23" a="1"/>
  <c r="ET81" i="23" a="1"/>
  <c r="EL81" i="23" a="1"/>
  <c r="DD84" i="23" a="1"/>
  <c r="EV81" i="23" a="1"/>
  <c r="DK84" i="23" a="1"/>
  <c r="FJ84" i="23" a="1"/>
  <c r="Y84" i="23" a="1"/>
  <c r="EO81" i="23" a="1"/>
  <c r="V84" i="23" a="1"/>
  <c r="X84" i="23" a="1"/>
  <c r="FE84" i="23" a="1"/>
  <c r="AD84" i="23" a="1"/>
  <c r="EP81" i="23" a="1"/>
  <c r="EQ81" i="23" a="1"/>
  <c r="FD84" i="23" a="1"/>
  <c r="FB84" i="23" a="1"/>
  <c r="FC84" i="23" a="1"/>
  <c r="DF84" i="23" a="1"/>
  <c r="ES81" i="23" a="1"/>
  <c r="EU81" i="23" a="1"/>
  <c r="C82" i="23"/>
  <c r="EN81" i="23" a="1"/>
  <c r="DE84" i="23" a="1"/>
  <c r="ER81" i="23" a="1"/>
  <c r="EM81" i="23" a="1"/>
  <c r="W84" i="23" a="1"/>
  <c r="EK81" i="23" a="1"/>
  <c r="AM83" i="23" l="1"/>
  <c r="AN83" i="23"/>
  <c r="AD84" i="23"/>
  <c r="BL84" i="23" s="1"/>
  <c r="DE84" i="23"/>
  <c r="V84" i="23"/>
  <c r="BD84" i="23" s="1"/>
  <c r="DF84" i="23"/>
  <c r="EQ81" i="23"/>
  <c r="DZ81" i="23" s="1"/>
  <c r="FC84" i="23"/>
  <c r="DC84" i="23"/>
  <c r="ET81" i="23"/>
  <c r="EC81" i="23" s="1"/>
  <c r="DK84" i="23"/>
  <c r="EV81" i="23"/>
  <c r="EE81" i="23" s="1"/>
  <c r="EP81" i="23"/>
  <c r="DY81" i="23" s="1"/>
  <c r="EO81" i="23"/>
  <c r="DX81" i="23" s="1"/>
  <c r="EN81" i="23"/>
  <c r="DW81" i="23" s="1"/>
  <c r="ER81" i="23"/>
  <c r="EA81" i="23" s="1"/>
  <c r="FB84" i="23"/>
  <c r="GK82" i="23"/>
  <c r="GF82" i="23"/>
  <c r="GH82" i="23"/>
  <c r="CW82" i="23"/>
  <c r="CP82" i="23"/>
  <c r="GJ82" i="23"/>
  <c r="CU82" i="23"/>
  <c r="GE82" i="23"/>
  <c r="CR82" i="23"/>
  <c r="CS82" i="23"/>
  <c r="GL82" i="23"/>
  <c r="CQ82" i="23"/>
  <c r="GG82" i="23"/>
  <c r="CV82" i="23"/>
  <c r="GB82" i="23"/>
  <c r="GD82" i="23"/>
  <c r="GI82" i="23"/>
  <c r="GC82" i="23"/>
  <c r="EM81" i="23"/>
  <c r="DV81" i="23" s="1"/>
  <c r="EL81" i="23"/>
  <c r="DU81" i="23" s="1"/>
  <c r="X84" i="23"/>
  <c r="BF84" i="23" s="1"/>
  <c r="Y84" i="23"/>
  <c r="BG84" i="23" s="1"/>
  <c r="EK81" i="23"/>
  <c r="DT81" i="23" s="1"/>
  <c r="EU81" i="23"/>
  <c r="ED81" i="23" s="1"/>
  <c r="W84" i="23"/>
  <c r="BE84" i="23" s="1"/>
  <c r="ES81" i="23"/>
  <c r="EB81" i="23" s="1"/>
  <c r="DD84" i="23"/>
  <c r="FJ84" i="23"/>
  <c r="FD84" i="23"/>
  <c r="FE84" i="23"/>
  <c r="GA82" i="23"/>
  <c r="GU80" i="23"/>
  <c r="FU80" i="23"/>
  <c r="HI80" i="23"/>
  <c r="CC83" i="23"/>
  <c r="H86" i="23"/>
  <c r="GP80" i="23"/>
  <c r="HD80" i="23"/>
  <c r="BW83" i="23"/>
  <c r="GW80" i="23"/>
  <c r="HK80" i="23"/>
  <c r="AO83" i="23"/>
  <c r="GV80" i="23"/>
  <c r="HJ80" i="23"/>
  <c r="FW79" i="23"/>
  <c r="FX79" i="23"/>
  <c r="AY81" i="23"/>
  <c r="BX83" i="23"/>
  <c r="GT80" i="23"/>
  <c r="HH80" i="23"/>
  <c r="HC80" i="23"/>
  <c r="GO80" i="23"/>
  <c r="F86" i="23"/>
  <c r="E86" i="23"/>
  <c r="CL82" i="23"/>
  <c r="AX81" i="23"/>
  <c r="CO82" i="23"/>
  <c r="HG80" i="23"/>
  <c r="GS80" i="23"/>
  <c r="BU83" i="23"/>
  <c r="G86" i="23"/>
  <c r="BV83" i="23"/>
  <c r="GX80" i="23"/>
  <c r="HL80" i="23"/>
  <c r="GR80" i="23"/>
  <c r="HF80" i="23"/>
  <c r="CN82" i="23"/>
  <c r="CT82" i="23"/>
  <c r="M86" i="23"/>
  <c r="GZ80" i="23"/>
  <c r="HN80" i="23"/>
  <c r="CM82" i="23"/>
  <c r="GY80" i="23"/>
  <c r="HM80" i="23"/>
  <c r="AP83" i="23"/>
  <c r="HE80" i="23"/>
  <c r="GQ80" i="23"/>
  <c r="EU82" i="23" a="1"/>
  <c r="DC85" i="23" a="1"/>
  <c r="FC85" i="23" a="1"/>
  <c r="DE85" i="23" a="1"/>
  <c r="W85" i="23" a="1"/>
  <c r="EL82" i="23" a="1"/>
  <c r="EO82" i="23" a="1"/>
  <c r="EK82" i="23" a="1"/>
  <c r="DK85" i="23" a="1"/>
  <c r="ES82" i="23" a="1"/>
  <c r="FB85" i="23" a="1"/>
  <c r="FE85" i="23" a="1"/>
  <c r="EV82" i="23" a="1"/>
  <c r="X85" i="23" a="1"/>
  <c r="EP82" i="23" a="1"/>
  <c r="ET82" i="23" a="1"/>
  <c r="EM82" i="23" a="1"/>
  <c r="EN82" i="23" a="1"/>
  <c r="ER82" i="23" a="1"/>
  <c r="DD85" i="23" a="1"/>
  <c r="FD85" i="23" a="1"/>
  <c r="V85" i="23" a="1"/>
  <c r="AD85" i="23" a="1"/>
  <c r="EQ82" i="23" a="1"/>
  <c r="FJ85" i="23" a="1"/>
  <c r="Y85" i="23" a="1"/>
  <c r="C83" i="23"/>
  <c r="DF85" i="23" a="1"/>
  <c r="AM84" i="23" l="1"/>
  <c r="AN84" i="23"/>
  <c r="AP84" i="23"/>
  <c r="FJ85" i="23"/>
  <c r="DF85" i="23"/>
  <c r="DK85" i="23"/>
  <c r="DD85" i="23"/>
  <c r="ET82" i="23"/>
  <c r="EC82" i="23" s="1"/>
  <c r="EU82" i="23"/>
  <c r="ED82" i="23" s="1"/>
  <c r="EL82" i="23"/>
  <c r="DU82" i="23" s="1"/>
  <c r="DC85" i="23"/>
  <c r="ES82" i="23"/>
  <c r="EB82" i="23" s="1"/>
  <c r="FB85" i="23"/>
  <c r="FC85" i="23"/>
  <c r="EO82" i="23"/>
  <c r="DX82" i="23" s="1"/>
  <c r="X85" i="23"/>
  <c r="BF85" i="23" s="1"/>
  <c r="EN82" i="23"/>
  <c r="DW82" i="23" s="1"/>
  <c r="DE85" i="23"/>
  <c r="EP82" i="23"/>
  <c r="DY82" i="23" s="1"/>
  <c r="EV82" i="23"/>
  <c r="EE82" i="23" s="1"/>
  <c r="FD85" i="23"/>
  <c r="FE85" i="23"/>
  <c r="ER82" i="23"/>
  <c r="EA82" i="23" s="1"/>
  <c r="CQ83" i="23"/>
  <c r="CP83" i="23"/>
  <c r="CS83" i="23"/>
  <c r="GE83" i="23"/>
  <c r="GF83" i="23"/>
  <c r="CV83" i="23"/>
  <c r="GK83" i="23"/>
  <c r="GH83" i="23"/>
  <c r="GL83" i="23"/>
  <c r="GG83" i="23"/>
  <c r="CW83" i="23"/>
  <c r="CU83" i="23"/>
  <c r="GJ83" i="23"/>
  <c r="CR83" i="23"/>
  <c r="GI83" i="23"/>
  <c r="W85" i="23"/>
  <c r="BE85" i="23" s="1"/>
  <c r="EM82" i="23"/>
  <c r="DV82" i="23" s="1"/>
  <c r="V85" i="23"/>
  <c r="BD85" i="23" s="1"/>
  <c r="AD85" i="23"/>
  <c r="BL85" i="23" s="1"/>
  <c r="EK82" i="23"/>
  <c r="DT82" i="23" s="1"/>
  <c r="Y85" i="23"/>
  <c r="BG85" i="23" s="1"/>
  <c r="EQ82" i="23"/>
  <c r="DZ82" i="23" s="1"/>
  <c r="GB83" i="23"/>
  <c r="GC83" i="23"/>
  <c r="GD83" i="23"/>
  <c r="GA83" i="23"/>
  <c r="HL81" i="23"/>
  <c r="GX81" i="23"/>
  <c r="GY81" i="23"/>
  <c r="HM81" i="23"/>
  <c r="H87" i="23"/>
  <c r="HC81" i="23"/>
  <c r="GO81" i="23"/>
  <c r="BX84" i="23"/>
  <c r="HJ81" i="23"/>
  <c r="GV81" i="23"/>
  <c r="GU81" i="23"/>
  <c r="HI81" i="23"/>
  <c r="FU81" i="23"/>
  <c r="M87" i="23"/>
  <c r="CO83" i="23"/>
  <c r="BW84" i="23"/>
  <c r="AZ82" i="23"/>
  <c r="AY82" i="23"/>
  <c r="E87" i="23"/>
  <c r="GQ81" i="23"/>
  <c r="HE81" i="23"/>
  <c r="GT81" i="23"/>
  <c r="HH81" i="23"/>
  <c r="BU84" i="23"/>
  <c r="F87" i="23"/>
  <c r="FW80" i="23"/>
  <c r="FX80" i="23"/>
  <c r="GW81" i="23"/>
  <c r="HK81" i="23"/>
  <c r="HN81" i="23"/>
  <c r="GZ81" i="23"/>
  <c r="AO84" i="23"/>
  <c r="CM83" i="23"/>
  <c r="CL83" i="23"/>
  <c r="CN83" i="23"/>
  <c r="AX83" i="23" s="1"/>
  <c r="HF81" i="23"/>
  <c r="GR81" i="23"/>
  <c r="AX82" i="23"/>
  <c r="CT83" i="23"/>
  <c r="HD81" i="23"/>
  <c r="GP81" i="23"/>
  <c r="GS81" i="23"/>
  <c r="HG81" i="23"/>
  <c r="G87" i="23"/>
  <c r="AV82" i="23"/>
  <c r="AW82" i="23"/>
  <c r="BV84" i="23"/>
  <c r="CC84" i="23"/>
  <c r="DC86" i="23" a="1"/>
  <c r="Y86" i="23" a="1"/>
  <c r="EV83" i="23" a="1"/>
  <c r="FB86" i="23" a="1"/>
  <c r="ET83" i="23" a="1"/>
  <c r="EQ83" i="23" a="1"/>
  <c r="X86" i="23" a="1"/>
  <c r="ES83" i="23" a="1"/>
  <c r="FD86" i="23" a="1"/>
  <c r="DD86" i="23" a="1"/>
  <c r="DF86" i="23" a="1"/>
  <c r="FJ86" i="23" a="1"/>
  <c r="EP83" i="23" a="1"/>
  <c r="EM83" i="23" a="1"/>
  <c r="DE86" i="23" a="1"/>
  <c r="V86" i="23" a="1"/>
  <c r="EU83" i="23" a="1"/>
  <c r="C84" i="23"/>
  <c r="FE86" i="23" a="1"/>
  <c r="FC86" i="23" a="1"/>
  <c r="EN83" i="23" a="1"/>
  <c r="EK83" i="23" a="1"/>
  <c r="EL83" i="23" a="1"/>
  <c r="DK86" i="23" a="1"/>
  <c r="W86" i="23" a="1"/>
  <c r="ER83" i="23" a="1"/>
  <c r="AD86" i="23" a="1"/>
  <c r="EO83" i="23" a="1"/>
  <c r="AO85" i="23" l="1"/>
  <c r="Y86" i="23"/>
  <c r="BG86" i="23" s="1"/>
  <c r="EV83" i="23"/>
  <c r="EE83" i="23" s="1"/>
  <c r="ER83" i="23"/>
  <c r="EA83" i="23" s="1"/>
  <c r="FE86" i="23"/>
  <c r="EO83" i="23"/>
  <c r="DX83" i="23" s="1"/>
  <c r="FD86" i="23"/>
  <c r="ES83" i="23"/>
  <c r="EB83" i="23" s="1"/>
  <c r="DD86" i="23"/>
  <c r="FB86" i="23"/>
  <c r="W86" i="23"/>
  <c r="BE86" i="23" s="1"/>
  <c r="EN83" i="23"/>
  <c r="DW83" i="23" s="1"/>
  <c r="FC86" i="23"/>
  <c r="EP83" i="23"/>
  <c r="DY83" i="23" s="1"/>
  <c r="FJ86" i="23"/>
  <c r="EM83" i="23"/>
  <c r="DV83" i="23" s="1"/>
  <c r="DK86" i="23"/>
  <c r="EK83" i="23"/>
  <c r="DT83" i="23" s="1"/>
  <c r="AD86" i="23"/>
  <c r="BL86" i="23" s="1"/>
  <c r="EQ83" i="23"/>
  <c r="DZ83" i="23" s="1"/>
  <c r="EU83" i="23"/>
  <c r="ED83" i="23" s="1"/>
  <c r="DE86" i="23"/>
  <c r="EL83" i="23"/>
  <c r="DU83" i="23" s="1"/>
  <c r="GL84" i="23"/>
  <c r="GE84" i="23"/>
  <c r="CU84" i="23"/>
  <c r="GJ84" i="23"/>
  <c r="CS84" i="23"/>
  <c r="CQ84" i="23"/>
  <c r="CV84" i="23"/>
  <c r="GK84" i="23"/>
  <c r="GF84" i="23"/>
  <c r="GH84" i="23"/>
  <c r="CW84" i="23"/>
  <c r="CR84" i="23"/>
  <c r="GG84" i="23"/>
  <c r="CP84" i="23"/>
  <c r="GC84" i="23"/>
  <c r="GB84" i="23"/>
  <c r="V86" i="23"/>
  <c r="BD86" i="23" s="1"/>
  <c r="X86" i="23"/>
  <c r="BF86" i="23" s="1"/>
  <c r="DC86" i="23"/>
  <c r="DF86" i="23"/>
  <c r="ET83" i="23"/>
  <c r="EC83" i="23" s="1"/>
  <c r="GA84" i="23"/>
  <c r="CO84" i="23"/>
  <c r="CC85" i="23"/>
  <c r="HD82" i="23"/>
  <c r="GP82" i="23"/>
  <c r="FX81" i="23"/>
  <c r="FW81" i="23"/>
  <c r="BU85" i="23"/>
  <c r="HF82" i="23"/>
  <c r="GR82" i="23"/>
  <c r="HM82" i="23"/>
  <c r="GY82" i="23"/>
  <c r="CT84" i="23"/>
  <c r="G88" i="23"/>
  <c r="E88" i="23"/>
  <c r="AY83" i="23"/>
  <c r="CM84" i="23"/>
  <c r="H88" i="23"/>
  <c r="GQ82" i="23"/>
  <c r="HE82" i="23"/>
  <c r="BW85" i="23"/>
  <c r="HL82" i="23"/>
  <c r="GX82" i="23"/>
  <c r="BV85" i="23"/>
  <c r="GV82" i="23"/>
  <c r="HJ82" i="23"/>
  <c r="HG82" i="23"/>
  <c r="GS82" i="23"/>
  <c r="AN85" i="23"/>
  <c r="F88" i="23"/>
  <c r="AV83" i="23"/>
  <c r="CN84" i="23"/>
  <c r="GU82" i="23"/>
  <c r="FU82" i="23"/>
  <c r="HI82" i="23"/>
  <c r="AP85" i="23"/>
  <c r="AW83" i="23"/>
  <c r="CL84" i="23"/>
  <c r="M88" i="23"/>
  <c r="BX85" i="23"/>
  <c r="GZ82" i="23"/>
  <c r="HN82" i="23"/>
  <c r="GW82" i="23"/>
  <c r="HK82" i="23"/>
  <c r="GI84" i="23"/>
  <c r="GD84" i="23"/>
  <c r="HC82" i="23"/>
  <c r="GO82" i="23"/>
  <c r="GT82" i="23"/>
  <c r="HH82" i="23"/>
  <c r="AM85" i="23"/>
  <c r="Y87" i="23" a="1"/>
  <c r="X87" i="23" a="1"/>
  <c r="EV84" i="23" a="1"/>
  <c r="EU84" i="23" a="1"/>
  <c r="ET84" i="23" a="1"/>
  <c r="FE87" i="23" a="1"/>
  <c r="ER84" i="23" a="1"/>
  <c r="DE87" i="23" a="1"/>
  <c r="FB87" i="23" a="1"/>
  <c r="W87" i="23" a="1"/>
  <c r="V87" i="23" a="1"/>
  <c r="EP84" i="23" a="1"/>
  <c r="EN84" i="23" a="1"/>
  <c r="FC87" i="23" a="1"/>
  <c r="EK84" i="23" a="1"/>
  <c r="FJ87" i="23" a="1"/>
  <c r="DC87" i="23" a="1"/>
  <c r="EO84" i="23" a="1"/>
  <c r="ES84" i="23" a="1"/>
  <c r="DF87" i="23" a="1"/>
  <c r="EQ84" i="23" a="1"/>
  <c r="EM84" i="23" a="1"/>
  <c r="DD87" i="23" a="1"/>
  <c r="DK87" i="23" a="1"/>
  <c r="C85" i="23"/>
  <c r="AD87" i="23" a="1"/>
  <c r="FD87" i="23" a="1"/>
  <c r="EL84" i="23" a="1"/>
  <c r="AM86" i="23" l="1"/>
  <c r="AP86" i="23"/>
  <c r="AO86" i="23"/>
  <c r="AN86" i="23"/>
  <c r="EM84" i="23"/>
  <c r="DV84" i="23" s="1"/>
  <c r="DC87" i="23"/>
  <c r="FB87" i="23"/>
  <c r="ER84" i="23"/>
  <c r="EA84" i="23" s="1"/>
  <c r="DD87" i="23"/>
  <c r="EL84" i="23"/>
  <c r="DU84" i="23" s="1"/>
  <c r="EQ84" i="23"/>
  <c r="DZ84" i="23" s="1"/>
  <c r="GL85" i="23"/>
  <c r="CV85" i="23"/>
  <c r="GE85" i="23"/>
  <c r="CQ85" i="23"/>
  <c r="CW85" i="23"/>
  <c r="GF85" i="23"/>
  <c r="GH85" i="23"/>
  <c r="GK85" i="23"/>
  <c r="CP85" i="23"/>
  <c r="GG85" i="23"/>
  <c r="CR85" i="23"/>
  <c r="CU85" i="23"/>
  <c r="CS85" i="23"/>
  <c r="GJ85" i="23"/>
  <c r="GD85" i="23"/>
  <c r="GC85" i="23"/>
  <c r="EK84" i="23"/>
  <c r="DT84" i="23" s="1"/>
  <c r="EU84" i="23"/>
  <c r="ED84" i="23" s="1"/>
  <c r="DF87" i="23"/>
  <c r="ES84" i="23"/>
  <c r="EB84" i="23" s="1"/>
  <c r="AD87" i="23"/>
  <c r="BL87" i="23" s="1"/>
  <c r="FC87" i="23"/>
  <c r="EV84" i="23"/>
  <c r="EE84" i="23" s="1"/>
  <c r="ET84" i="23"/>
  <c r="EC84" i="23" s="1"/>
  <c r="FE87" i="23"/>
  <c r="X87" i="23"/>
  <c r="BF87" i="23" s="1"/>
  <c r="EN84" i="23"/>
  <c r="DW84" i="23" s="1"/>
  <c r="EO84" i="23"/>
  <c r="DX84" i="23" s="1"/>
  <c r="FJ87" i="23"/>
  <c r="W87" i="23"/>
  <c r="BE87" i="23" s="1"/>
  <c r="DE87" i="23"/>
  <c r="Y87" i="23"/>
  <c r="BG87" i="23" s="1"/>
  <c r="V87" i="23"/>
  <c r="BD87" i="23" s="1"/>
  <c r="EP84" i="23"/>
  <c r="DY84" i="23" s="1"/>
  <c r="DK87" i="23"/>
  <c r="FD87" i="23"/>
  <c r="GW83" i="23"/>
  <c r="HK83" i="23"/>
  <c r="AX84" i="23"/>
  <c r="HG83" i="23"/>
  <c r="GS83" i="23"/>
  <c r="CO85" i="23"/>
  <c r="HI83" i="23"/>
  <c r="GU83" i="23"/>
  <c r="FU83" i="23"/>
  <c r="GT83" i="23"/>
  <c r="HH83" i="23"/>
  <c r="CN85" i="23"/>
  <c r="AW84" i="23"/>
  <c r="CC86" i="23"/>
  <c r="CM85" i="23"/>
  <c r="CL85" i="23"/>
  <c r="AV85" i="23" s="1"/>
  <c r="CT85" i="23"/>
  <c r="GP83" i="23"/>
  <c r="HD83" i="23"/>
  <c r="AV84" i="23"/>
  <c r="GY83" i="23"/>
  <c r="HM83" i="23"/>
  <c r="GO83" i="23"/>
  <c r="HC83" i="23"/>
  <c r="HF83" i="23"/>
  <c r="GR83" i="23"/>
  <c r="GV83" i="23"/>
  <c r="HJ83" i="23"/>
  <c r="AY84" i="23"/>
  <c r="BW86" i="23"/>
  <c r="BV86" i="23"/>
  <c r="GZ83" i="23"/>
  <c r="HN83" i="23"/>
  <c r="GX83" i="23"/>
  <c r="HL83" i="23"/>
  <c r="FW82" i="23"/>
  <c r="FX82" i="23"/>
  <c r="GB85" i="23"/>
  <c r="GA85" i="23"/>
  <c r="GI85" i="23"/>
  <c r="BU86" i="23"/>
  <c r="HE83" i="23"/>
  <c r="GQ83" i="23"/>
  <c r="BX86" i="23"/>
  <c r="EQ85" i="23" a="1"/>
  <c r="X88" i="23" a="1"/>
  <c r="EL85" i="23" a="1"/>
  <c r="ET85" i="23" a="1"/>
  <c r="V88" i="23" a="1"/>
  <c r="W88" i="23" a="1"/>
  <c r="AD88" i="23" a="1"/>
  <c r="EP85" i="23" a="1"/>
  <c r="DF88" i="23" a="1"/>
  <c r="Y88" i="23" a="1"/>
  <c r="EN85" i="23" a="1"/>
  <c r="C86" i="23"/>
  <c r="FC88" i="23" a="1"/>
  <c r="ER85" i="23" a="1"/>
  <c r="EO85" i="23" a="1"/>
  <c r="FE88" i="23" a="1"/>
  <c r="EM85" i="23" a="1"/>
  <c r="DD88" i="23" a="1"/>
  <c r="DK88" i="23" a="1"/>
  <c r="FB88" i="23" a="1"/>
  <c r="FD88" i="23" a="1"/>
  <c r="EU85" i="23" a="1"/>
  <c r="DC88" i="23" a="1"/>
  <c r="ES85" i="23" a="1"/>
  <c r="FJ88" i="23" a="1"/>
  <c r="EK85" i="23" a="1"/>
  <c r="EV85" i="23" a="1"/>
  <c r="DE88" i="23" a="1"/>
  <c r="AO87" i="23" l="1"/>
  <c r="Y88" i="23"/>
  <c r="BG88" i="23" s="1"/>
  <c r="EO85" i="23"/>
  <c r="DX85" i="23" s="1"/>
  <c r="DF88" i="23"/>
  <c r="FE88" i="23"/>
  <c r="FC88" i="23"/>
  <c r="EN85" i="23"/>
  <c r="DW85" i="23" s="1"/>
  <c r="GE86" i="23"/>
  <c r="CW86" i="23"/>
  <c r="CR86" i="23"/>
  <c r="GL86" i="23"/>
  <c r="CP86" i="23"/>
  <c r="CU86" i="23"/>
  <c r="GK86" i="23"/>
  <c r="CQ86" i="23"/>
  <c r="GH86" i="23"/>
  <c r="GJ86" i="23"/>
  <c r="CV86" i="23"/>
  <c r="CS86" i="23"/>
  <c r="GF86" i="23"/>
  <c r="GG86" i="23"/>
  <c r="GC86" i="23"/>
  <c r="GD86" i="23"/>
  <c r="GB86" i="23"/>
  <c r="GA86" i="23"/>
  <c r="GI86" i="23"/>
  <c r="FD88" i="23"/>
  <c r="ES85" i="23"/>
  <c r="EB85" i="23" s="1"/>
  <c r="ER85" i="23"/>
  <c r="EA85" i="23" s="1"/>
  <c r="EV85" i="23"/>
  <c r="EE85" i="23" s="1"/>
  <c r="FJ88" i="23"/>
  <c r="X88" i="23"/>
  <c r="BF88" i="23" s="1"/>
  <c r="EK85" i="23"/>
  <c r="DT85" i="23" s="1"/>
  <c r="DC88" i="23"/>
  <c r="ET85" i="23"/>
  <c r="EC85" i="23" s="1"/>
  <c r="EP85" i="23"/>
  <c r="DY85" i="23" s="1"/>
  <c r="DD88" i="23"/>
  <c r="DK88" i="23"/>
  <c r="DE88" i="23"/>
  <c r="EL85" i="23"/>
  <c r="DU85" i="23" s="1"/>
  <c r="V88" i="23"/>
  <c r="BD88" i="23" s="1"/>
  <c r="EQ85" i="23"/>
  <c r="DZ85" i="23" s="1"/>
  <c r="EM85" i="23"/>
  <c r="DV85" i="23" s="1"/>
  <c r="W88" i="23"/>
  <c r="BE88" i="23" s="1"/>
  <c r="AD88" i="23"/>
  <c r="BL88" i="23" s="1"/>
  <c r="FB88" i="23"/>
  <c r="EU85" i="23"/>
  <c r="ED85" i="23" s="1"/>
  <c r="BX87" i="23"/>
  <c r="GO84" i="23"/>
  <c r="HC84" i="23"/>
  <c r="HL84" i="23"/>
  <c r="GX84" i="23"/>
  <c r="GU84" i="23"/>
  <c r="HI84" i="23"/>
  <c r="FU84" i="23"/>
  <c r="HN84" i="23"/>
  <c r="GZ84" i="23"/>
  <c r="HD84" i="23"/>
  <c r="GP84" i="23"/>
  <c r="BV87" i="23"/>
  <c r="AN87" i="23"/>
  <c r="AY85" i="23"/>
  <c r="CL86" i="23"/>
  <c r="FX83" i="23"/>
  <c r="FW83" i="23"/>
  <c r="CC87" i="23"/>
  <c r="GV84" i="23"/>
  <c r="HJ84" i="23"/>
  <c r="CM86" i="23"/>
  <c r="GS84" i="23"/>
  <c r="HG84" i="23"/>
  <c r="GW84" i="23"/>
  <c r="HK84" i="23"/>
  <c r="AW85" i="23"/>
  <c r="HH84" i="23"/>
  <c r="GT84" i="23"/>
  <c r="GR84" i="23"/>
  <c r="HF84" i="23"/>
  <c r="AP87" i="23"/>
  <c r="AM87" i="23"/>
  <c r="AX85" i="23"/>
  <c r="CT86" i="23"/>
  <c r="CO86" i="23"/>
  <c r="CN86" i="23"/>
  <c r="BU87" i="23"/>
  <c r="BW87" i="23"/>
  <c r="GY84" i="23"/>
  <c r="HM84" i="23"/>
  <c r="HE84" i="23"/>
  <c r="GQ84" i="23"/>
  <c r="ES86" i="23" a="1"/>
  <c r="EQ86" i="23" a="1"/>
  <c r="C87" i="23"/>
  <c r="EK86" i="23" a="1"/>
  <c r="EO86" i="23" a="1"/>
  <c r="EL86" i="23" a="1"/>
  <c r="ER86" i="23" a="1"/>
  <c r="EV86" i="23" a="1"/>
  <c r="EU86" i="23" a="1"/>
  <c r="EN86" i="23" a="1"/>
  <c r="ET86" i="23" a="1"/>
  <c r="EP86" i="23" a="1"/>
  <c r="EM86" i="23" a="1"/>
  <c r="ES86" i="23" l="1"/>
  <c r="EB86" i="23" s="1"/>
  <c r="EM86" i="23"/>
  <c r="DV86" i="23" s="1"/>
  <c r="EV86" i="23"/>
  <c r="EE86" i="23" s="1"/>
  <c r="EN86" i="23"/>
  <c r="DW86" i="23" s="1"/>
  <c r="EL86" i="23"/>
  <c r="DU86" i="23" s="1"/>
  <c r="EP86" i="23"/>
  <c r="DY86" i="23" s="1"/>
  <c r="ET86" i="23"/>
  <c r="EC86" i="23" s="1"/>
  <c r="EK86" i="23"/>
  <c r="DT86" i="23" s="1"/>
  <c r="EO86" i="23"/>
  <c r="DX86" i="23" s="1"/>
  <c r="ER86" i="23"/>
  <c r="CU87" i="23"/>
  <c r="GJ87" i="23"/>
  <c r="GK87" i="23"/>
  <c r="GL87" i="23"/>
  <c r="CS87" i="23"/>
  <c r="GE87" i="23"/>
  <c r="GF87" i="23"/>
  <c r="GG87" i="23"/>
  <c r="CR87" i="23"/>
  <c r="CP87" i="23"/>
  <c r="CQ87" i="23"/>
  <c r="CV87" i="23"/>
  <c r="GH87" i="23"/>
  <c r="CW87" i="23"/>
  <c r="GI87" i="23"/>
  <c r="GA87" i="23"/>
  <c r="GC87" i="23"/>
  <c r="EU86" i="23"/>
  <c r="ED86" i="23" s="1"/>
  <c r="EQ86" i="23"/>
  <c r="DZ86" i="23" s="1"/>
  <c r="GV85" i="23"/>
  <c r="HJ85" i="23"/>
  <c r="AX86" i="23"/>
  <c r="CM87" i="23"/>
  <c r="CO87" i="23"/>
  <c r="HD85" i="23"/>
  <c r="GP85" i="23"/>
  <c r="HC85" i="23"/>
  <c r="GO85" i="23"/>
  <c r="AY86" i="23"/>
  <c r="HM85" i="23"/>
  <c r="GY85" i="23"/>
  <c r="AO88" i="23"/>
  <c r="P16" i="23"/>
  <c r="P17" i="23"/>
  <c r="BW88" i="23"/>
  <c r="AW86" i="23"/>
  <c r="E11" i="23"/>
  <c r="E50" i="23" s="1"/>
  <c r="D50" i="23" s="1"/>
  <c r="C50" i="23" s="1"/>
  <c r="B50" i="23" s="1"/>
  <c r="E17" i="23"/>
  <c r="E12" i="23"/>
  <c r="HF85" i="23"/>
  <c r="GR85" i="23"/>
  <c r="CC88" i="23"/>
  <c r="E7" i="23"/>
  <c r="AN88" i="23"/>
  <c r="O16" i="23"/>
  <c r="O17" i="23"/>
  <c r="HN85" i="23"/>
  <c r="GZ85" i="23"/>
  <c r="AV86" i="23"/>
  <c r="CN87" i="23"/>
  <c r="FX84" i="23"/>
  <c r="FW84" i="23"/>
  <c r="GQ85" i="23"/>
  <c r="HE85" i="23"/>
  <c r="HH85" i="23"/>
  <c r="GT85" i="23"/>
  <c r="GW85" i="23"/>
  <c r="HK85" i="23"/>
  <c r="AZ86" i="23"/>
  <c r="AP88" i="23"/>
  <c r="Q17" i="23"/>
  <c r="Q16" i="23"/>
  <c r="AW87" i="23"/>
  <c r="GU85" i="23"/>
  <c r="FU85" i="23"/>
  <c r="HI85" i="23"/>
  <c r="HL85" i="23"/>
  <c r="GX85" i="23"/>
  <c r="EA86" i="23"/>
  <c r="HG85" i="23"/>
  <c r="GS85" i="23"/>
  <c r="BV88" i="23"/>
  <c r="CL87" i="23"/>
  <c r="AV87" i="23" s="1"/>
  <c r="CT87" i="23"/>
  <c r="GB87" i="23"/>
  <c r="GD87" i="23"/>
  <c r="BU88" i="23"/>
  <c r="AM88" i="23"/>
  <c r="N16" i="23"/>
  <c r="N17" i="23"/>
  <c r="BX88" i="23"/>
  <c r="EO87" i="23" a="1"/>
  <c r="EV87" i="23" a="1"/>
  <c r="EP87" i="23" a="1"/>
  <c r="ES87" i="23" a="1"/>
  <c r="EM87" i="23" a="1"/>
  <c r="C88" i="23"/>
  <c r="ER87" i="23" a="1"/>
  <c r="EU87" i="23" a="1"/>
  <c r="EK87" i="23" a="1"/>
  <c r="EN87" i="23" a="1"/>
  <c r="ET87" i="23" a="1"/>
  <c r="EQ87" i="23" a="1"/>
  <c r="EL87" i="23" a="1"/>
  <c r="EV87" i="23" l="1"/>
  <c r="EE87" i="23" s="1"/>
  <c r="ER87" i="23"/>
  <c r="EA87" i="23" s="1"/>
  <c r="EU87" i="23"/>
  <c r="ED87" i="23" s="1"/>
  <c r="GG88" i="23"/>
  <c r="CQ88" i="23"/>
  <c r="GH88" i="23"/>
  <c r="GL88" i="23"/>
  <c r="CV88" i="23"/>
  <c r="CW88" i="23"/>
  <c r="GJ88" i="23"/>
  <c r="GF88" i="23"/>
  <c r="CS88" i="23"/>
  <c r="CU88" i="23"/>
  <c r="GK88" i="23"/>
  <c r="GE88" i="23"/>
  <c r="CR88" i="23"/>
  <c r="CP88" i="23"/>
  <c r="H3" i="23"/>
  <c r="GC88" i="23"/>
  <c r="GB88" i="23"/>
  <c r="EP87" i="23"/>
  <c r="DY87" i="23" s="1"/>
  <c r="EM87" i="23"/>
  <c r="DV87" i="23" s="1"/>
  <c r="EN87" i="23"/>
  <c r="DW87" i="23" s="1"/>
  <c r="EO87" i="23"/>
  <c r="DX87" i="23" s="1"/>
  <c r="EL87" i="23"/>
  <c r="DU87" i="23" s="1"/>
  <c r="EQ87" i="23"/>
  <c r="DZ87" i="23" s="1"/>
  <c r="ET87" i="23"/>
  <c r="EC87" i="23" s="1"/>
  <c r="ES87" i="23"/>
  <c r="EB87" i="23" s="1"/>
  <c r="EK87" i="23"/>
  <c r="DT87" i="23" s="1"/>
  <c r="GI88" i="23"/>
  <c r="GD88" i="23"/>
  <c r="GA88" i="23"/>
  <c r="GO86" i="23"/>
  <c r="HC86" i="23"/>
  <c r="CM88" i="23"/>
  <c r="FW85" i="23"/>
  <c r="FX85" i="23"/>
  <c r="CN88" i="23"/>
  <c r="AX88" i="23" s="1"/>
  <c r="GX86" i="23"/>
  <c r="HL86" i="23"/>
  <c r="E15" i="23"/>
  <c r="E54" i="23" s="1"/>
  <c r="D54" i="23" s="1"/>
  <c r="C54" i="23" s="1"/>
  <c r="B54" i="23" s="1"/>
  <c r="E51" i="23"/>
  <c r="D51" i="23" s="1"/>
  <c r="C51" i="23" s="1"/>
  <c r="B51" i="23" s="1"/>
  <c r="GT86" i="23"/>
  <c r="HH86" i="23"/>
  <c r="CL88" i="23"/>
  <c r="AV88" i="23" s="1"/>
  <c r="FU86" i="23"/>
  <c r="GU86" i="23"/>
  <c r="HI86" i="23"/>
  <c r="GP86" i="23"/>
  <c r="HD86" i="23"/>
  <c r="GV86" i="23"/>
  <c r="HJ86" i="23"/>
  <c r="AX87" i="23"/>
  <c r="AY87" i="23"/>
  <c r="GY86" i="23"/>
  <c r="HM86" i="23"/>
  <c r="HF86" i="23"/>
  <c r="GR86" i="23"/>
  <c r="E8" i="23"/>
  <c r="E47" i="23" s="1"/>
  <c r="D47" i="23" s="1"/>
  <c r="C47" i="23" s="1"/>
  <c r="B47" i="23" s="1"/>
  <c r="E46" i="23"/>
  <c r="D46" i="23" s="1"/>
  <c r="C46" i="23" s="1"/>
  <c r="B46" i="23" s="1"/>
  <c r="HN86" i="23"/>
  <c r="GZ86" i="23"/>
  <c r="CO88" i="23"/>
  <c r="HE86" i="23"/>
  <c r="GQ86" i="23"/>
  <c r="CT88" i="23"/>
  <c r="GS86" i="23"/>
  <c r="HG86" i="23"/>
  <c r="GW86" i="23"/>
  <c r="HK86" i="23"/>
  <c r="ER88" i="23" a="1"/>
  <c r="EM88" i="23" a="1"/>
  <c r="EO88" i="23" a="1"/>
  <c r="EN88" i="23" a="1"/>
  <c r="EV88" i="23" a="1"/>
  <c r="EP88" i="23" a="1"/>
  <c r="EQ88" i="23" a="1"/>
  <c r="ET88" i="23" a="1"/>
  <c r="EU88" i="23" a="1"/>
  <c r="EK88" i="23" a="1"/>
  <c r="ES88" i="23" a="1"/>
  <c r="EL88" i="23" a="1"/>
  <c r="EQ88" i="23" l="1"/>
  <c r="DZ88" i="23" s="1"/>
  <c r="EU88" i="23"/>
  <c r="EL88" i="23"/>
  <c r="DU88" i="23" s="1"/>
  <c r="ET88" i="23"/>
  <c r="EC88" i="23" s="1"/>
  <c r="EP88" i="23"/>
  <c r="DY88" i="23" s="1"/>
  <c r="ES88" i="23"/>
  <c r="EB88" i="23" s="1"/>
  <c r="ER88" i="23"/>
  <c r="EA88" i="23" s="1"/>
  <c r="EK88" i="23"/>
  <c r="DT88" i="23" s="1"/>
  <c r="EM88" i="23"/>
  <c r="EN88" i="23"/>
  <c r="DW88" i="23" s="1"/>
  <c r="EO88" i="23"/>
  <c r="DX88" i="23" s="1"/>
  <c r="EV88" i="23"/>
  <c r="EE88" i="23" s="1"/>
  <c r="GS87" i="23"/>
  <c r="HG87" i="23"/>
  <c r="C9" i="23"/>
  <c r="C10" i="23" s="1"/>
  <c r="ED88" i="23"/>
  <c r="G9" i="23"/>
  <c r="G10" i="23" s="1"/>
  <c r="HF87" i="23"/>
  <c r="GR87" i="23"/>
  <c r="GQ87" i="23"/>
  <c r="HE87" i="23"/>
  <c r="HC87" i="23"/>
  <c r="GO87" i="23"/>
  <c r="HH87" i="23"/>
  <c r="GT87" i="23"/>
  <c r="F9" i="23"/>
  <c r="F10" i="23" s="1"/>
  <c r="B9" i="23"/>
  <c r="E9" i="23"/>
  <c r="E10" i="23" s="1"/>
  <c r="FX86" i="23"/>
  <c r="FW86" i="23"/>
  <c r="GW87" i="23"/>
  <c r="HK87" i="23"/>
  <c r="D9" i="23"/>
  <c r="D10" i="23" s="1"/>
  <c r="GX87" i="23"/>
  <c r="HL87" i="23"/>
  <c r="GY87" i="23"/>
  <c r="HM87" i="23"/>
  <c r="DV88" i="23"/>
  <c r="GU87" i="23"/>
  <c r="HI87" i="23"/>
  <c r="FU87" i="23"/>
  <c r="H18" i="23"/>
  <c r="E18" i="23"/>
  <c r="B18" i="23"/>
  <c r="G18" i="23"/>
  <c r="D18" i="23"/>
  <c r="F18" i="23"/>
  <c r="C18" i="23"/>
  <c r="GV87" i="23"/>
  <c r="HJ87" i="23"/>
  <c r="AW88" i="23"/>
  <c r="AY88" i="23"/>
  <c r="HD87" i="23"/>
  <c r="GP87" i="23"/>
  <c r="H9" i="23"/>
  <c r="HN87" i="23"/>
  <c r="GZ87" i="23"/>
  <c r="HC88" i="23" l="1"/>
  <c r="GO88" i="23"/>
  <c r="GW88" i="23"/>
  <c r="E13" i="23"/>
  <c r="HK88" i="23"/>
  <c r="GY88" i="23"/>
  <c r="HM88" i="23"/>
  <c r="G13" i="23"/>
  <c r="GT88" i="23"/>
  <c r="HH88" i="23"/>
  <c r="H10" i="23"/>
  <c r="H49" i="23" s="1"/>
  <c r="G49" i="23" s="1"/>
  <c r="F49" i="23" s="1"/>
  <c r="E49" i="23" s="1"/>
  <c r="D49" i="23" s="1"/>
  <c r="C49" i="23" s="1"/>
  <c r="H48" i="23"/>
  <c r="G48" i="23" s="1"/>
  <c r="F48" i="23" s="1"/>
  <c r="E48" i="23" s="1"/>
  <c r="D48" i="23" s="1"/>
  <c r="C48" i="23" s="1"/>
  <c r="B48" i="23" s="1"/>
  <c r="GV88" i="23"/>
  <c r="HJ88" i="23"/>
  <c r="D13" i="23"/>
  <c r="HE88" i="23"/>
  <c r="GQ88" i="23"/>
  <c r="GZ88" i="23"/>
  <c r="HN88" i="23"/>
  <c r="H13" i="23"/>
  <c r="GX88" i="23"/>
  <c r="HL88" i="23"/>
  <c r="F13" i="23"/>
  <c r="B10" i="23"/>
  <c r="GS88" i="23"/>
  <c r="HG88" i="23"/>
  <c r="HD88" i="23"/>
  <c r="GP88" i="23"/>
  <c r="HF88" i="23"/>
  <c r="GR88" i="23"/>
  <c r="FW87" i="23"/>
  <c r="FX87" i="23"/>
  <c r="HI88" i="23"/>
  <c r="FU88" i="23"/>
  <c r="GU88" i="23"/>
  <c r="C13" i="23"/>
  <c r="B49" i="23" l="1"/>
  <c r="H16" i="23"/>
  <c r="H55" i="23" s="1"/>
  <c r="H52" i="23"/>
  <c r="G52" i="23" s="1"/>
  <c r="F52" i="23" s="1"/>
  <c r="E52" i="23" s="1"/>
  <c r="D52" i="23" s="1"/>
  <c r="C52" i="23" s="1"/>
  <c r="B52" i="23" s="1"/>
  <c r="H14" i="23"/>
  <c r="H53" i="23" s="1"/>
  <c r="G16" i="23"/>
  <c r="G14" i="23"/>
  <c r="FX88" i="23"/>
  <c r="FW88" i="23"/>
  <c r="F16" i="23"/>
  <c r="F14" i="23"/>
  <c r="D14" i="23"/>
  <c r="D16" i="23"/>
  <c r="E16" i="23"/>
  <c r="E14" i="23"/>
  <c r="C14" i="23"/>
  <c r="C16" i="23"/>
  <c r="G53" i="23" l="1"/>
  <c r="F53" i="23" s="1"/>
  <c r="E53" i="23" s="1"/>
  <c r="D53" i="23" s="1"/>
  <c r="C53" i="23" s="1"/>
  <c r="B53" i="23" s="1"/>
  <c r="G55" i="23"/>
  <c r="F55" i="23" s="1"/>
  <c r="E55" i="23" s="1"/>
  <c r="D55" i="23" s="1"/>
  <c r="C55" i="23" s="1"/>
  <c r="B55" i="23" s="1"/>
  <c r="P8" i="23" s="1"/>
  <c r="Q11" i="23" l="1"/>
  <c r="Q12" i="23" s="1"/>
  <c r="R8" i="23"/>
  <c r="R47" i="23" s="1"/>
  <c r="P13" i="23"/>
  <c r="P14" i="23" s="1"/>
  <c r="R13" i="23"/>
  <c r="O8" i="23"/>
  <c r="P11" i="23"/>
  <c r="N7" i="23"/>
  <c r="R7" i="23"/>
  <c r="N8" i="23"/>
  <c r="O13" i="23"/>
  <c r="O14" i="23" s="1"/>
  <c r="R11" i="23"/>
  <c r="Q7" i="23"/>
  <c r="O7" i="23"/>
  <c r="P7" i="23"/>
  <c r="Q8" i="23"/>
  <c r="Q47" i="23" s="1"/>
  <c r="P47" i="23" s="1"/>
  <c r="N11" i="23"/>
  <c r="O11" i="23"/>
  <c r="N13" i="23"/>
  <c r="N14" i="23" s="1"/>
  <c r="Q13" i="23"/>
  <c r="Q14" i="23" s="1"/>
  <c r="O47" i="23" l="1"/>
  <c r="N47" i="23" s="1"/>
  <c r="N10" i="23"/>
  <c r="N9" i="23"/>
  <c r="P15" i="23"/>
  <c r="P12" i="23"/>
  <c r="R14" i="23"/>
  <c r="R53" i="23" s="1"/>
  <c r="Q53" i="23" s="1"/>
  <c r="P53" i="23" s="1"/>
  <c r="O53" i="23" s="1"/>
  <c r="N53" i="23" s="1"/>
  <c r="R52" i="23"/>
  <c r="Q52" i="23" s="1"/>
  <c r="P52" i="23" s="1"/>
  <c r="O52" i="23" s="1"/>
  <c r="N52" i="23" s="1"/>
  <c r="P10" i="23"/>
  <c r="P9" i="23"/>
  <c r="Q9" i="23"/>
  <c r="Q10" i="23"/>
  <c r="R15" i="23"/>
  <c r="R54" i="23" s="1"/>
  <c r="R50" i="23"/>
  <c r="Q50" i="23" s="1"/>
  <c r="P50" i="23" s="1"/>
  <c r="O50" i="23" s="1"/>
  <c r="N50" i="23" s="1"/>
  <c r="R12" i="23"/>
  <c r="R51" i="23" s="1"/>
  <c r="Q51" i="23" s="1"/>
  <c r="P51" i="23" s="1"/>
  <c r="O51" i="23" s="1"/>
  <c r="N51" i="23" s="1"/>
  <c r="O9" i="23"/>
  <c r="O10" i="23"/>
  <c r="O15" i="23"/>
  <c r="O12" i="23"/>
  <c r="N12" i="23"/>
  <c r="N15" i="23"/>
  <c r="R10" i="23"/>
  <c r="R49" i="23" s="1"/>
  <c r="R46" i="23"/>
  <c r="Q46" i="23" s="1"/>
  <c r="P46" i="23" s="1"/>
  <c r="O46" i="23" s="1"/>
  <c r="N46" i="23" s="1"/>
  <c r="R9" i="23"/>
  <c r="R48" i="23" s="1"/>
  <c r="Q15" i="23"/>
  <c r="Q49" i="23" l="1"/>
  <c r="P49" i="23" s="1"/>
  <c r="O49" i="23" s="1"/>
  <c r="N49" i="23" s="1"/>
  <c r="Q54" i="23"/>
  <c r="P54" i="23" s="1"/>
  <c r="O54" i="23" s="1"/>
  <c r="N54" i="23" s="1"/>
  <c r="Q48" i="23"/>
  <c r="P48" i="23" s="1"/>
  <c r="O48" i="23" s="1"/>
  <c r="N48" i="2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<sst xmlns="http://schemas.openxmlformats.org/spreadsheetml/2006/main" count="1376" uniqueCount="457">
  <si>
    <t>runMode: serial</t>
  </si>
  <si>
    <t>maxCount: 10000</t>
  </si>
  <si>
    <t>method: CLISATDist</t>
  </si>
  <si>
    <t>ignoreTrivialCodes: 1</t>
  </si>
  <si>
    <t>resume: 1</t>
  </si>
  <si>
    <t>iterCount: 10000</t>
  </si>
  <si>
    <t>maxTime: 28800</t>
  </si>
  <si>
    <t>nThreads: 1</t>
  </si>
  <si>
    <t>verbose: False</t>
  </si>
  <si>
    <t>maxErr: -1</t>
  </si>
  <si>
    <t>filterCircuit: 1</t>
  </si>
  <si>
    <t>PauliProductType: X</t>
  </si>
  <si>
    <t>SingleQubitPauliErrors: 1</t>
  </si>
  <si>
    <t>fourBlock: 1</t>
  </si>
  <si>
    <t>HL: 0</t>
  </si>
  <si>
    <t>popSize: 100</t>
  </si>
  <si>
    <t>offspring: 10</t>
  </si>
  <si>
    <t>CCstart: 1</t>
  </si>
  <si>
    <t>addStabs: 0</t>
  </si>
  <si>
    <t>#########################################</t>
  </si>
  <si>
    <t>name</t>
  </si>
  <si>
    <t>n</t>
  </si>
  <si>
    <t>k</t>
  </si>
  <si>
    <t>d</t>
  </si>
  <si>
    <t>delta d</t>
  </si>
  <si>
    <t>Time</t>
  </si>
  <si>
    <t>R</t>
  </si>
  <si>
    <t>T</t>
  </si>
  <si>
    <t>Progress</t>
  </si>
  <si>
    <t>method: ColourCodeDistStim</t>
  </si>
  <si>
    <t>resume: 0</t>
  </si>
  <si>
    <t>method: decoderDist</t>
  </si>
  <si>
    <t>decoder: bposd</t>
  </si>
  <si>
    <t>bp_method: product_sum</t>
  </si>
  <si>
    <t>bp_schedule: parallel</t>
  </si>
  <si>
    <t>bp_max_iter: 100</t>
  </si>
  <si>
    <t>osd_method: OSD_CS</t>
  </si>
  <si>
    <t>osd_order: 1</t>
  </si>
  <si>
    <t>method: dist_m4ri_CC</t>
  </si>
  <si>
    <t>method: dist_m4ri_RW</t>
  </si>
  <si>
    <t>method: GraphLikeErrorStim</t>
  </si>
  <si>
    <t>method: GurobiDist</t>
  </si>
  <si>
    <t>method: MIPDist</t>
  </si>
  <si>
    <t>MIP_solver: SCIP</t>
  </si>
  <si>
    <t>method: QDistRndMW</t>
  </si>
  <si>
    <t>method: UndetectableErrorStim</t>
  </si>
  <si>
    <t>dont_explore_detection_event_sets_with_size_above=2,dont_explore_edges_with_degree_above=2; Found w:3</t>
  </si>
  <si>
    <t>datafile: RG-3-8.txt</t>
  </si>
  <si>
    <t>dataset: hyperbolic_surface_code</t>
  </si>
  <si>
    <t>[[6,1,0]]</t>
  </si>
  <si>
    <t>[[24,4,0]]</t>
  </si>
  <si>
    <t>[[48,6,0]]</t>
  </si>
  <si>
    <t>[[84,9,0]]</t>
  </si>
  <si>
    <t>[[96,10,0]]</t>
  </si>
  <si>
    <t>[[168,16,0]]</t>
  </si>
  <si>
    <t>[[180,17,0]]</t>
  </si>
  <si>
    <t>[[252,23,0]]</t>
  </si>
  <si>
    <t>[[360,32,0]]</t>
  </si>
  <si>
    <t>[[384,34,0]]</t>
  </si>
  <si>
    <t>[[504,44,0]]</t>
  </si>
  <si>
    <t>[[540,47,0]]</t>
  </si>
  <si>
    <t>[[768,66,0]]</t>
  </si>
  <si>
    <t>[[1008,86,0]]</t>
  </si>
  <si>
    <t>[[1080,92,0]]</t>
  </si>
  <si>
    <t>[[1224,104,0]]</t>
  </si>
  <si>
    <t>dont_explore_detection_event_sets_with_size_above=2,dont_explore_edges_with_degree_above=2; Found w:6</t>
  </si>
  <si>
    <t>t</t>
  </si>
  <si>
    <t>success rate</t>
  </si>
  <si>
    <t>t/R</t>
  </si>
  <si>
    <t>Trials</t>
  </si>
  <si>
    <t>Time/Trial</t>
  </si>
  <si>
    <t>At lowest distance</t>
  </si>
  <si>
    <t>Chart Dataset:</t>
  </si>
  <si>
    <t>QDistRndMW</t>
  </si>
  <si>
    <t>Total Processing Time</t>
  </si>
  <si>
    <t>Time/Successful Trial</t>
  </si>
  <si>
    <t>\begin{center}</t>
  </si>
  <si>
    <t>r|</t>
  </si>
  <si>
    <t>}</t>
  </si>
  <si>
    <t>\hline</t>
  </si>
  <si>
    <t>\\</t>
  </si>
  <si>
    <t>\end{tabular}</t>
  </si>
  <si>
    <t>\end{center}</t>
  </si>
  <si>
    <t>Match</t>
  </si>
  <si>
    <t>dCalc</t>
  </si>
  <si>
    <t>d Estimated Successfully</t>
  </si>
  <si>
    <t>dEst</t>
  </si>
  <si>
    <t>d correct</t>
  </si>
  <si>
    <t>dMin</t>
  </si>
  <si>
    <t>CLISAT</t>
  </si>
  <si>
    <t>CCStim</t>
  </si>
  <si>
    <t>bposd</t>
  </si>
  <si>
    <t>m4ri_CC</t>
  </si>
  <si>
    <t>m4ri_RW</t>
  </si>
  <si>
    <t>GEStim</t>
  </si>
  <si>
    <t>Gurobi</t>
  </si>
  <si>
    <t>MIP-SCIP</t>
  </si>
  <si>
    <t>QDistEvol</t>
  </si>
  <si>
    <t>UEStim</t>
  </si>
  <si>
    <t>Family Size</t>
  </si>
  <si>
    <t>MaxTime</t>
  </si>
  <si>
    <t>Heuristic Methods</t>
  </si>
  <si>
    <t>Exact Methods</t>
  </si>
  <si>
    <t>No Result</t>
  </si>
  <si>
    <t>#,##0</t>
  </si>
  <si>
    <t>Completed &lt; MaxTime</t>
  </si>
  <si>
    <t>\begin{tabular}{ |l|</t>
  </si>
  <si>
    <t>Offset</t>
  </si>
  <si>
    <t>Chart Data</t>
  </si>
  <si>
    <t>Algorithm Completed within maxTime</t>
  </si>
  <si>
    <t>magma</t>
  </si>
  <si>
    <t>nMax</t>
  </si>
  <si>
    <t>nMin</t>
  </si>
  <si>
    <t>m4riRW</t>
  </si>
  <si>
    <t>BP-OSD</t>
  </si>
  <si>
    <t>m4riCC</t>
  </si>
  <si>
    <t>Magma</t>
  </si>
  <si>
    <t>#,##0;;</t>
  </si>
  <si>
    <t>0.0E+00;;</t>
  </si>
  <si>
    <t>0.0%;;</t>
  </si>
  <si>
    <t>repeat: 1</t>
  </si>
  <si>
    <t>method: magmaMinWeight</t>
  </si>
  <si>
    <t>genCount: 100</t>
  </si>
  <si>
    <t>pMut: 2.0</t>
  </si>
  <si>
    <t>sMut: 1.0</t>
  </si>
  <si>
    <t>outfile: /Users/markwebster/Dropbox/QuantumComputing/dev/codeDistance/results/hyperbolic_surface_code-RG-3-8.txt-magmaMinWeight-20260106_161534.150531_85062422.txt</t>
  </si>
  <si>
    <t>Magma V2.28-26    Tue Jan  6 2026 16:15:35 on Marks-MacBook-Air-2 [Seed = \n2310919613]\nType ? for help.  Type &lt;Ctrl&gt;-D to quit.\n[1 1 1 1 0 0 0 0 0 0 0 0]\n[0 0 1 1 1 1 0 0 0 0 0 0]\n[1 1 0 0 1 1 0 0 0 0 0 0]\n[0 0 0 0 0 0 1 1 1 1 0 0]\n[0 0 0 0 0 0 1 0 1 0 1 0]\n[0 0 0 0 0 0 0 1 1 0 0 1]\n[[6, 1]] quantum code over GF(2^2), stabilised by:\n[    1     1     0     0     1     1]\n[  $.1     0     0   $.1     0   $.1]\n[    0   $.1     0   $.1   $.1     0]\n[    0     0     1     1     1     1]\n[    0     0   $.1   $.1   $.1   $.1]\nQuantum GF(2)-Additive code over GF(4) of length 6 with 7 generators.\nLower Bound: 1, Upper Bound: 4\nConstructed 2 distinct generator matrices\nTotal Ranks:      4   4 \nRelative Ranks:   4   2 \n(4 4 4 2 )\n(4 4 2 4 )\nTime Taken: 0.00\nStarting search for low weight codewords... (reset timings)\nEnumerating using 1 generator at a time:\n     New codeword identified of weight 3, time 0.00\n     New codeword identified of weight 2, time 0.00\n     Discarding non-contributing rank 2 matrix\n     New Total Ranks:      4 \n     New Relative Ranks:   4 \n   Completed Matrix  1:  lower =  2, upper =  2. Elapsed: 0.00s\nComputation complete \nFinal Results: lower = 2, upper = 2,\nTotal CPU time: 0.00, real time: 0.000\n2\n\nTotal time: 0.010 seconds, Total memory usage: 32.09MB\n</t>
  </si>
  <si>
    <t>Magma V2.28-26    Tue Jan  6 2026 16:15:35 on Marks-MacBook-Air-2 [Seed = \n3012030343]\nType ? for help.  Type &lt;Ctrl&gt;-D to quit.\n[1 1 1 1 0 0 0 0 1 1 0 0 1 1 0 0 0 0 0 0 0 0 0 0 0 0 0 0 0 0 0 0 0 0 0 0 0 0 0 0\n    0 0 0 0 0 0 0 0]\n[0 0 0 0 1 1 1 1 0 0 1 1 0 0 1 1 0 0 0 0 0 0 0 0 0 0 0 0 0 0 0 0 0 0 0 0 0 0 0 0\n    0 0 0 0 0 0 0 0]\n[0 0 0 0 0 0 0 0 1 1 1 1 0 0 0 0 1 1 0 0 1 1 0 0 0 0 0 0 0 0 0 0 0 0 0 0 0 0 0 0\n    0 0 0 0 0 0 0 0]\n[0 0 0 0 0 0 0 0 0 0 0 0 1 1 1 1 0 0 1 1 0 0 1 1 0 0 0 0 0 0 0 0 0 0 0 0 0 0 0 0\n    0 0 0 0 0 0 0 0]\n[1 1 0 0 1 1 0 0 0 0 0 0 0 0 0 0 1 1 1 1 0 0 0 0 0 0 0 0 0 0 0 0 0 0 0 0 0 0 0 0\n    0 0 0 0 0 0 0 0]\n[0 0 1 1 0 0 1 1 0 0 0 0 0 0 0 0 0 0 0 0 1 1 1 1 0 0 0 0 0 0 0 0 0 0 0 0 0 0 0 0\n    0 0 0 0 0 0 0 0]\n[0 0 0 0 0 0 0 0 0 0 0 0 0 0 0 0 0 0 0 0 0 0 0 0 1 1 1 1 1 1 1 1 0 0 0 0 0 0 0 0\n    0 0 0 0 0 0 0 0]\n[0 0 0 0 0 0 0 0 0 0 0 0 0 0 0 0 0 0 0 0 0 0 0 0 0 1 1 0 0 1 1 0 1 1 0 0 0 0 0 0\n    0 0 0 0 0 0 0 0]\n[0 0 0 0 0 0 0 0 0 0 0 0 0 0 0 0 0 0 0 0 0 0 0 0 1 0 0 0 1 0 0 0 1 0 1 0 0 0 0 0\n    0 0 0 0 0 0 0 0]\n[0 0 0 0 0 0 0 0 0 0 0 0 0 0 0 0 0 0 0 0 0 0 0 0 0 0 1 0 0 0 1 0 1 0 0 1 0 0 0 0\n    0 0 0 0 0 0 0 0]\n[0 0 0 0 0 0 0 0 0 0 0 0 0 0 0 0 0 0 0 0 0 0 0 0 0 1 0 1 1 0 1 0 0 0 0 0 1 1 0 0\n    0 0 0 0 0 0 0 0]\n[0 0 0 0 0 0 0 0 0 0 0 0 0 0 0 0 0 0 0 0 0 0 0 0 0 0 0 1 0 0 1 0 0 0 0 0 1 0 1 0\n    0 0 0 0 0 0 0 0]\n[0 0 0 0 0 0 0 0 0 0 0 0 0 0 0 0 0 0 0 0 0 0 0 0 1 0 0 0 0 1 0 0 0 0 0 0 1 0 0 1\n    0 0 0 0 0 0 0 0]\n[0 0 0 0 0 0 0 0 0 0 0 0 0 0 0 0 0 0 0 0 0 0 0 0 1 0 0 0 0 0 0 0 1 0 0 0 0 0 0 0\n    1 0 0 0 0 0 0 0]\n[0 0 0 0 0 0 0 0 0 0 0 0 0 0 0 0 0 0 0 0 0 0 0 0 0 0 1 0 0 1 1 0 1 0 0 0 0 0 0 0\n    0 1 0 0 0 0 0 0]\n[0 0 0 0 0 0 0 0 0 0 0 0 0 0 0 0 0 0 0 0 0 0 0 0 1 0 0 0 0 0 0 0 0 0 0 0 1 0 0 0\n    0 0 1 0 0 0 0 0]\n[0 0 0 0 0 0 0 0 0 0 0 0 0 0 0 0 0 0 0 0 0 0 0 0 0 0 0 1 1 0 1 0 0 0 0 0 1 0 0 0\n    0 0 0 1 0 0 0 0]\n[0 0 0 0 0 0 0 0 0 0 0 0 0 0 0 0 0 0 0 0 0 0 0 0 0 0 1 0 0 0 0 0 1 0 0 0 0 0 0 0\n    0 0 0 0 1 0 0 0]\n[0 0 0 0 0 0 0 0 0 0 0 0 0 0 0 0 0 0 0 0 0 0 0 0 0 1 1 1 0 1 1 0 1 0 0 0 0 0 0 0\n    0 0 0 0 0 1 0 0]\n[0 0 0 0 0 0 0 0 0 0 0 0 0 0 0 0 0 0 0 0 0 0 0 0 0 0 0 1 0 0 0 0 0 0 0 0 1 0 0 0\n    0 0 0 0 0 0 1 0]\n[0 0 0 0 0 0 0 0 0 0 0 0 0 0 0 0 0 0 0 0 0 0 0 0 0 1 1 1 1 0 1 0 0 0 0 0 1 0 0 0\n    0 0 0 0 0 0 0 1]\n[[24, 4]] quantum code over GF(2^2), stabilised by:\n[1 1 0 0 0 0 1 1 0 0 1 1 0 0 1 1 1 1 1 1 0 0 0 0]\n[$.1 0 0 0 0 0 0 0 0 0 0 0 0 $.1 0 0 0 $.1 $.1 $.1 0 $.1 $.1 0]\n[0 $.1 0 0 0 0 0 0 0 0 0 0 0 $.1 0 0 0 0 0 $.1 0 0 0 0]\n[0 0 1 1 0 0 1 1 0 0 0 0 0 0 0 0 0 0 0 0 1 1 1 1]\n[0 0 $.1 0 0 0 0 0 0 0 0 0 0 $.1 0 0 0 0 0 0 0 0 0 $.1]\n[0 0 0 $.1 0 0 0 0 0 0 0 0 0 $.1 0 0 0 $.1 0 $.1 0 $.1 0 0]\n[0 0 0 0 1 1 1 1 0 0 1 1 0 0 1 1 0 0 0 0 0 0 0 0]\n[0 0 0 0 $.1 0 0 0 0 0 0 0 0 0 0 $.1 0 $.1 $.1 $.1 $.1 0 $.1 0]\n[0 0 0 0 0 $.1 0 0 0 0 0 0 0 0 0 $.1 0 0 $.1 0 0 0 0 0]\n[0 0 0 0 0 0 $.1 0 0 0 0 0 0 0 0 $.1 0 $.1 $.1 0 $.1 0 0 0]\n[0 0 0 0 0 0 0 $.1 0 0 0 0 0 0 0 $.1 0 0 0 0 0 0 0 $.1]\n[0 0 0 0 0 0 0 0 1 1 1 1 0 0 0 0 1 1 0 0 1 1 0 0]\n[0 0 0 0 0 0 0 0 $.1 0 0 0 0 $.1 0 0 0 0 0 0 $.1 0 0 $.1]\n[0 0 0 0 0 0 0 0 0 $.1 0 0 0 $.1 0 0 0 $.1 0 $.1 0 0 0 0]\n[0 0 0 0 0 0 0 0 0 0 $.1 0 0 0 0 $.1 0 0 0 0 0 $.1 0 $.1]\n[0 0 0 0 0 0 0 0 0 0 0 $.1 0 0 0 $.1 0 $.1 $.1 0 0 0 0 0]\n[0 0 0 0 0 0 0 0 0 0 0 0 1 1 1 1 0 0 1 1 0 0 1 1]\n[0 0 0 0 0 0 0 0 0 0 0 0 $.1 $.1 0 0 0 $.1 0 $.1 0 $.1 $.1 0]\n[0 0 0 0 0 0 0 0 0 0 0 0 0 0 $.1 $.1 0 $.1 $.1 0 $.1 0 $.1 0]\n[0 0 0 0 0 0 0 0 0 0 0 0 0 0 0 0 $.1 $.1 $.1 $.1 $.1 $.1 $.1 $.1]\nQuantum GF(2)-Additive code over GF(4) of length 24 with 28 generators.\nLower Bound: 1, Upper Bound: 11\nConstructed 2 distinct generator matrices\nTotal Ranks:     19  19 \nRelative Ranks:  19   5 \n(4 4 4 4 4 4 4 2 4 2 2 2 4 2 2 2 2 2 2 )\n(4 4 4 4 4 4 2 2 4 4 4 2 2 2 2 2 2 2 2 )\n     Discarding non-contributing rank 5 matrix\n     New Total Ranks:     19 \n     New Relative Ranks:  19 \nTime Taken: 0.00\nStarting search for low weight codewords... (reset timings)\nEnumerating using 1 generator at a time:\n     New codeword identified of weight 6, time 0.00\n     New codeword identified of weight 3, time 0.00\n     New codeword identified of weight 2, time 0.00\n   Completed Matrix  1:  lower =  2, upper =  2. Elapsed: 0.00s\nComputation complete \nFinal Results: lower = 2, upper = 2,\nTotal CPU time: 0.00, real time: 0.003\n2\n\nTotal time: 0.020 seconds, Total memory usage: 32.09MB\n</t>
  </si>
  <si>
    <t>Magma V2.28-26    Tue Jan  6 2026 16:15:35 on Marks-MacBook-Air-2 [Seed = \n3045190017]\nType ? for help.  Type &lt;Ctrl&gt;-D to quit.\n[1 0 1 0 0 0 0 0 1 0 0 0 0 0 0 0 0 0 0 0 0 0 1 0 0 0 0 1 0 0 0 0 0 0 0 0 1 0 0 0\n    0 1 0 0 0 1 0 0 0 0 0 0 0 0 0 0 0 0 0 0 0 0 0 0 0 0 0 0 0 0 0 0 0 0 0 0 0 0 \n    0 0 0 0 0 0 0 0 0 0 0 0 0 0 0 0 0 0]\n[1 0 0 1 0 0 0 0 0 0 0 1 0 0 0 0 1 0 0 1 0 0 0 0 0 0 0 0 0 1 0 0 0 0 0 1 0 0 1 0\n    0 0 0 0 0 0 0 0 0 0 0 0 0 0 0 0 0 0 0 0 0 0 0 0 0 0 0 0 0 0 0 0 0 0 0 0 0 0 \n    0 0 0 0 0 0 0 0 0 0 0 0 0 0 0 0 0 0]\n[0 1 0 0 1 0 1 0 0 0 0 1 0 0 0 1 0 0 0 0 0 1 0 0 0 0 0 0 0 0 0 0 0 0 0 0 0 0 0 1\n    1 0 0 0 0 0 0 0 0 0 0 0 0 0 0 0 0 0 0 0 0 0 0 0 0 0 0 0 0 0 0 0 0 0 0 0 0 0 \n    0 0 0 0 0 0 0 0 0 0 0 0 0 0 0 0 0 0]\n[0 0 0 0 0 1 0 0 0 0 0 0 1 0 1 0 0 0 0 1 0 0 0 0 0 1 0 0 0 0 1 1 0 0 0 0 0 1 0 0\n    0 0 0 0 0 0 0 0 0 0 0 0 0 0 0 0 0 0 0 0 0 0 0 0 0 0 0 0 0 0 0 0 0 0 0 0 0 0 \n    0 0 0 0 0 0 0 0 0 0 0 0 0 0 0 0 0 0]\n[0 0 0 0 1 0 0 0 1 0 1 0 0 0 1 0 1 0 0 0 0 0 0 0 0 0 1 0 1 0 0 0 0 0 1 0 0 0 0 0\n    0 0 0 0 0 0 0 0 0 0 0 0 0 0 0 0 0 0 0 0 0 0 0 0 0 0 0 0 0 0 0 0 0 0 0 0 0 0 \n    0 0 0 0 0 0 0 0 0 0 0 0 0 0 0 0 0 0]\n[0 0 0 0 0 0 0 1 0 0 0 0 0 0 0 0 0 0 0 0 0 0 0 1 0 0 0 0 0 1 0 0 0 0 0 0 0 1 0 0\n    1 0 0 0 1 1 0 1 0 0 0 0 0 0 0 0 0 0 0 0 0 0 0 0 0 0 0 0 0 0 0 0 0 0 0 0 0 0 \n    0 0 0 0 0 0 0 0 0 0 0 0 0 0 0 0 0 0]\n[0 0 0 0 0 0 1 0 0 0 0 0 1 0 0 0 0 0 0 0 1 0 0 1 0 0 0 0 1 0 0 0 0 1 0 0 1 0 0 0\n    0 0 0 0 0 0 1 0 0 0 0 0 0 0 0 0 0 0 0 0 0 0 0 0 0 0 0 0 0 0 0 0 0 0 0 0 0 0 \n    0 0 0 0 0 0 0 0 0 0 0 0 0 0 0 0 0 0]\n[0 0 0 1 0 0 0 1 0 0 1 0 0 1 0 0 0 1 0 0 1 0 0 0 1 0 0 0 0 0 0 0 1 0 0 0 0 0 0 0\n    0 0 0 0 0 0 0 0 0 0 0 0 0 0 0 0 0 0 0 0 0 0 0 0 0 0 0 0 0 0 0 0 0 0 0 0 0 0 \n    0 0 0 0 0 0 0 0 0 0 0 0 0 0 0 0 0 0]\n[0 1 0 0 0 0 0 0 0 1 0 0 0 0 0 0 0 1 0 0 0 0 0 0 0 0 1 1 0 0 1 0 0 0 0 0 0 0 0 0\n    0 0 1 0 1 0 0 0 0 0 0 0 0 0 0 0 0 0 0 0 0 0 0 0 0 0 0 0 0 0 0 0 0 0 0 0 0 0 \n    0 0 0 0 0 0 0 0 0 0 0 0 0 0 0 0 0 0]\n[0 0 1 0 0 1 0 0 0 1 0 0 0 1 0 1 0 0 1 0 0 0 0 0 0 0 0 0 0 0 0 0 0 1 0 1 0 0 0 0\n    0 0 0 0 0 0 0 0 0 0 0 0 0 0 0 0 0 0 0 0 0 0 0 0 0 0 0 0 0 0 0 0 0 0 0 0 0 0 \n    0 0 0 0 0 0 0 0 0 0 0 0 0 0 0 0 0 0]\n[0 0 0 0 0 0 0 0 0 0 0 0 0 0 0 0 0 0 1 0 0 0 0 0 1 1 0 0 0 0 0 0 0 0 1 0 0 0 0 1\n    0 1 0 1 0 0 0 1 0 0 0 0 0 0 0 0 0 0 0 0 0 0 0 0 0 0 0 0 0 0 0 0 0 0 0 0 0 0 \n    0 0 0 0 0 0 0 0 0 0 0 0 0 0 0 0 0 0]\n[0 0 0 0 0 0 0 0 0 0 0 0 0 0 0 0 0 0 0 0 0 1 1 0 0 0 0 0 0 0 0 1 1 0 0 0 0 0 1 0\n    0 0 1 1 0 0 1 0 0 0 0 0 0 0 0 0 0 0 0 0 0 0 0 0 0 0 0 0 0 0 0 0 0 0 0 0 0 0 \n    0 0 0 0 0 0 0 0 0 0 0 0 0 0 0 0 0 0]\n[0 0 0 0 0 0 0 0 0 0 0 0 0 0 0 0 0 0 0 0 0 0 0 0 0 0 0 0 0 0 0 0 0 0 0 0 0 0 0 0\n    0 0 0 0 0 0 0 0 0 1 1 0 1 0 0 0 1 1 0 0 0 0 0 0 0 0 0 0 0 0 0 0 0 0 0 0 0 0 \n    0 0 0 0 0 0 0 0 0 0 0 0 0 0 0 0 0 0]\n[0 0 0 0 0 0 0 0 0 0 0 0 0 0 0 0 0 0 0 0 0 0 0 0 0 0 0 0 0 0 0 0 0 0 0 0 0 0 0 0\n    0 0 0 0 0 0 0 0 1 0 0 1 0 1 0 0 1 0 0 0 0 1 1 0 0 0 0 0 0 0 0 0 0 0 0 0 0 0 \n    0 0 0 0 0 0 0 0 0 0 0 0 0 0 0 0 0 0]\n[0 0 0 0 0 0 0 0 0 0 0 0 0 0 0 0 0 0 0 0 0 0 0 0 0 0 0 0 0 0 0 0 0 0 0 0 0 0 0 0\n    0 0 0 0 0 0 0 0 1 0 0 1 0 1 1 0 1 0 1 0 1 0 0 1 0 0 0 0 0 0 0 0 0 0 0 0 0 0 \n    0 0 0 0 0 0 0 0 0 0 0 0 0 0 0 0 0 0]\n[0 0 0 0 0 0 0 0 0 0 0 0 0 0 0 0 0 0 0 0 0 0 0 0 0 0 0 0 0 0 0 0 0 0 0 0 0 0 0 0\n    0 0 0 0 0 0 0 0 1 0 0 0 0 0 0 0 1 0 0 0 0 0 0 0 1 0 0 0 0 0 0 0 0 0 0 0 0 0 \n    0 0 0 0 0 0 0 0 0 0 0 0 0 0 0 0 0 0]\n[0 0 0 0 0 0 0 0 0 0 0 0 0 0 0 0 0 0 0 0 0 0 0 0 0 0 0 0 0 0 0 0 0 0 0 0 0 0 0 0\n    0 0 0 0 0 0 0 0 0 0 0 1 0 1 0 0 0 0 0 0 0 1 0 0 0 0 0 1 0 0 0 0 0 0 0 0 0 0 \n    0 0 0 0 0 0 0 0 0 0 0 0 0 0 0 0 0 0]\n[0 0 0 0 0 0 0 0 0 0 0 0 0 0 0 0 0 0 0 0 0 0 0 0 0 0 0 0 0 0 0 0 0 0 0 0 0 0 0 0\n    0 0 0 0 0 0 0 0 1 0 0 1 0 1 0 0 1 0 1 0 1 1 0 0 0 0 0 0 1 0 0 0 0 0 0 0 0 0 \n    0 0 0 0 0 0 0 0 0 0 0 0 0 0 0 0 0 0]\n[0 0 0 0 0 0 0 0 0 0 0 0 0 0 0 0 0 0 0 0 0 0 0 0 0 0 0 0 0 0 0 0 0 0 0 0 0 0 0 0\n    0 0 0 0 0 0 0 0 1 1 0 0 0 0 1 1 0 0 0 1 0 0 0 0 0 1 0 0 0 1 1 1 0 0 0 0 0 0 \n    0 0 0 0 0 0 0 0 0 0 0 0 0 0 0 0 0 0]\n[0 0 0 0 0 0 0 0 0 0 0 0 0 0 0 0 0 0 0 0 0 0 0 0 0 0 0 0 0 0 0 0 0 0 0 0 0 0 0 0\n    0 0 0 0 0 0 0 0 1 0 0 1 1 1 1 0 1 0 0 0 1 0 0 0 0 0 1 0 0 0 0 0 1 0 0 0 0 0 \n    0 0 0 0 0 0 0 0 0 0 0 0 0 0 0 0 0 0]\n[0 0 0 0 0 0 0 0 0 0 0 0 0 0 0 0 0 0 0 0 0 0 0 0 0 0 0 0 0 0 0 0 0 0 0 0 0 0 0 0\n    0 0 0 0 0 0 0 0 0 1 0 1 1 1 0 0 1 0 0 1 0 0 0 0 0 1 1 0 0 1 1 0 0 1 0 0 0 0 \n    0 0 0 0 0 0 0 0 0 0 0 0 0 0 0 0 0 0]\n[0 0 0 0 0 0 0 0 0 0 0 0 0 0 0 0 0 0 0 0 0 0 0 0 0 0 0 0 0 0 0 0 0 0 0 0 0 0 0 0\n    0 0 0 0 0 0 0 0 0 1 0 0 1 0 0 0 0 0 0 0 0 0 0 0 0 0 0 0 0 0 0 0 0 0 1 0 0 0 \n    0 0 0 0 0 0 0 0 0 0 0 0 0 0 0 0 0 0]\n[0 0 0 0 0 0 0 0 0 0 0 0 0 0 0 0 0 0 0 0 0 0 0 0 0 0 0 0 0 0 0 0 0 0 0 0 0 0 0 0\n    0 0 0 0 0 0 0 0 0 1 0 0 1 0 0 0 1 0 0 0 0 0 0 0 0 0 0 0 0 0 0 0 0 0 0 1 0 0 \n    0 0 0 0 0 0 0 0 0 0 0 0 0 0 0 0 0 0]\n[0 0 0 0 0 0 0 0 0 0 0 0 0 0 0 0 0 0 0 0 0 0 0 0 0 0 0 0 0 0 0 0 0 0 0 0 0 0 0 0\n    0 0 0 0 0 0 0 0 1 0 0 1 0 1 0 0 1 0 0 0 1 1 0 0 0 0 0 0 0 0 0 0 0 0 0 0 1 0 \n    0 0 0 0 0 0 0 0 0 0 0 0 0 0 0 0 0 0]\n[0 0 0 0 0 0 0 0 0 0 0 0 0 0 0 0 0 0 0 0 0 0 0 0 0 0 0 0 0 0 0 0 0 0 0 0 0 0 0 0\n    0 0 0 0 0 0 0 0 0 1 0 0 0 0 0 1 0 0 0 1 0 0 0 0 0 1 0 0 0 0 0 0 0 0 0 0 0 1 \n    0 0 0 0 0 0 0 0 0 0 0 0 0 0 0 0 0 0]\n[0 0 0 0 0 0 0 0 0 0 0 0 0 0 0 0 0 0 0 0 0 0 0 0 0 0 0 0 0 0 0 0 0 0 0 0 0 0 0 0\n    0 0 0 0 0 0 0 0 0 1 1 0 1 1 0 0 1 0 0 0 0 0 0 0 0 0 0 0 0 0 0 0 0 0 0 0 0 0 \n    1 0 0 0 0 0 0 0 0 0 0 0 0 0 0 0 0 0]\n[0 0 0 0 0 0 0 0 0 0 0 0 0 0 0 0 0 0 0 0 0 0 0 0 0 0 0 0 0 0 0 0 0 0 0 0 0 0 0 0\n    0 0 0 0 0 0 0 0 0 1 1 1 1 1 0 0 1 0 0 1 0 0 0 0 0 1 0 0 0 1 0 0 0 0 0 0 0 0 \n    0 1 0 0 0 0 0 0 0 0 0 0 0 0 0 0 0 0]\n[0 0 0 0 0 0 0 0 0 0 0 0 0 0 0 0 0 0 0 0 0 0 0 0 0 0 0 0 0 0 0 0 0 0 0 0 0 0 0 0\n    0 0 0 0 0 0 0 0 0 0 0 1 0 0 0 0 0 0 0 1 0 0 0 0 0 0 0 0 0 1 0 0 0 0 0 0 0 0 \n    0 0 1 0 0 0 0 0 0 0 0 0 0 0 0 0 0 0]\n[0 0 0 0 0 0 0 0 0 0 0 0 0 0 0 0 0 0 0 0 0 0 0 0 0 0 0 0 0 0 0 0 0 0 0 0 0 0 0 0\n    0 0 0 0 0 0 0 0 1 0 0 1 0 1 0 0 1 0 1 0 1 0 0 0 0 0 0 0 0 0 0 0 0 0 0 0 0 0 \n    0 0 0 1 0 0 0 0 0 0 0 0 0 0 0 0 0 0]\n[0 0 0 0 0 0 0 0 0 0 0 0 0 0 0 0 0 0 0 0 0 0 0 0 0 0 0 0 0 0 0 0 0 0 0 0 0 0 0 0\n    0 0 0 0 0 0 0 0 1 0 0 1 1 1 1 0 1 0 1 0 1 0 0 0 0 0 1 0 0 0 0 0 0 0 0 0 0 0 \n    0 0 0 0 1 0 0 0 0 0 0 0 0 0 0 0 0 0]\n[0 0 0 0 0 0 0 0 0 0 0 0 0 0 0 0 0 0 0 0 0 0 0 0 0 0 0 0 0 0 0 0 0 0 0 0 0 0 0 0\n    0 0 0 0 0 0 0 0 0 0 0 1 0 0 0 0 0 0 0 0 0 1 0 0 0 0 0 0 0 0 0 0 0 0 0 0 0 0 \n    0 0 0 0 0 1 0 0 0 0 0 0 0 0 0 0 0 0]\n[0 0 0 0 0 0 0 0 0 0 0 0 0 0 0 0 0 0 0 0 0 0 0 0 0 0 0 0 0 0 0 0 0 0 0 0 0 0 0 0\n    0 0 0 0 0 0 0 0 0 0 0 0 0 0 1 0 0 0 0 0 0 0 0 0 0 0 0 0 0 1 1 0 0 0 0 0 0 0 \n    0 0 0 0 0 0 1 0 0 0 0 0 0 0 0 0 0 0]\n[0 0 0 0 0 0 0 0 0 0 0 0 0 0 0 0 0 0 0 0 0 0 0 0 0 0 0 0 0 0 0 0 0 0 0 0 0 0 0 0\n    0 0 0 0 0 0 0 0 1 1 0 0 0 0 1 1 0 0 0 1 1 0 0 0 0 1 0 0 0 1 1 0 0 0 0 0 0 0 \n    0 0 0 0 0 0 0 1 0 0 0 0 0 0 0 0 0 0]\n[0 0 0 0 0 0 0 0 0 0 0 0 0 0 0 0 0 0 0 0 0 0 0 0 0 0 0 0 0 0 0 0 0 0 0 0 0 0 0 0\n    0 0 0 0 0 0 0 0 0 0 0 0 0 0 0 0 0 0 0 1 0 0 0 0 0 0 0 0 0 1 0 0 0 0 0 0 0 0 \n    0 0 0 0 0 0 0 0 1 0 0 0 0 0 0 0 0 0]\n[0 0 0 0 0 0 0 0 0 0 0 0 0 0 0 0 0 0 0 0 0 0 0 0 0 0 0 0 0 0 0 0 0 0 0 0 0 0 0 0\n    0 0 0 0 0 0 0 0 1 0 0 1 0 1 1 0 1 0 1 0 1 0 0 0 0 0 1 0 0 0 0 0 0 0 0 0 0 0 \n    0 0 0 0 0 0 0 0 0 1 0 0 0 0 0 0 0 0]\n[0 0 0 0 0 0 0 0 0 0 0 0 0 0 0 0 0 0 0 0 0 0 0 0 0 0 0 0 0 0 0 0 0 0 0 0 0 0 0 0\n    0 0 0 0 0 0 0 0 0 1 0 0 0 0 0 1 0 0 0 0 0 0 0 0 0 1 0 0 0 0 0 0 0 0 0 0 0 0 \n    0 0 0 0 0 0 0 0 0 0 1 0 0 0 0 0 0 0]\n[0 0 0 0 0 0 0 0 0 0 0 0 0 0 0 0 0 0 0 0 0 0 0 0 0 0 0 0 0 0 0 0 0 0 0 0 0 0 0 0\n    0 0 0 0 0 0 0 0 0 0 1 0 0 0 0 0 0 0 0 0 0 0 0 0 0 0 1 0 0 0 0 0 0 0 0 0 0 0 \n    0 0 0 0 0 0 0 0 0 0 0 1 0 0 0 0 0 0]\n[0 0 0 0 0 0 0 0 0 0 0 0 0 0 0 0 0 0 0 0 0 0 0 0 0 0 0 0 0 0 0 0 0 0 0 0 0 0 0 0\n    0 0 0 0 0 0 0 0 0 0 0 1 0 0 0 0 0 0 0 1 0 0 0 0 0 1 0 0 0 1 0 0 0 0 0 0 0 0 \n    0 0 0 0 0 0 0 0 0 0 0 0 1 0 0 0 0 0]\n[0 0 0 0 0 0 0 0 0 0 0 0 0 0 0 0 0 0 0 0 0 0 0 0 0 0 0 0 0 0 0 0 0 0 0 0 0 0 0 0\n    0 0 0 0 0 0 0 0 0 0 1 0 0 0 0 0 0 0 0 0 0 0 0 0 0 0 1 0 0 0 1 0 0 0 0 0 0 0 \n    0 0 0 0 0 0 0 0 0 0 0 0 0 1 0 0 0 0]\n[0 0 0 0 0 0 0 0 0 0 0 0 0 0 0 0 0 0 0 0 0 0 0 0 0 0 0 0 0 0 0 0 0 0 0 0 0 0 0 0\n    0 0 0 0 0 0 0 0 0 0 0 0 0 0 0 1 0 0 0 0 0 0 0 0 0 1 0 0 0 0 0 0 0 0 0 0 0 0 \n    0 0 0 0 0 0 0 0 0 0 0 0 0 0 1 0 0 0]\n[0 0 0 0 0 0 0 0 0 0 0 0 0 0 0 0 0 0 0 0 0 0 0 0 0 0 0 0 0 0 0 0 0 0 0 0 0 0 0 0\n    0 0 0 0 0 0 0 0 1 1 0 0 0 0 0 1 0 0 0 1 0 0 0 0 0 1 0 0 0 0 0 0 0 0 0 0 0 0 \n    0 0 0 0 0 0 0 0 0 0 0 0 0 0 0 1 0 0]\n[0 0 0 0 0 0 0 0 0 0 0 0 0 0 0 0 0 0 0 0 0 0 0 0 0 0 0 0 0 0 0 0 0 0 0 0 0 0 0 0\n    0 0 0 0 0 0 0 0 0 0 0 0 0 0 1 0 0 0 0 0 0 0 0 0 0 0 0 0 0 1 0 0 0 0 0 0 0 0 \n    0 0 0 0 0 0 0 0 0 0 0 0 0 0 0 0 1 0]\n[0 0 0 0 0 0 0 0 0 0 0 0 0 0 0 0 0 0 0 0 0 0 0 0 0 0 0 0 0 0 0 0 0 0 0 0 0 0 0 0\n    0 0 0 0 0 0 0 0 1 0 0 1 1 1 1 1 1 0 0 0 1 0 0 0 0 0 1 0 0 0 0 0 0 0 0 0 0 0 \n    0 0 0 0 0 0 0 0 0 0 0 0 0 0 0 0 0 1]\n[[48, 6]] quantum code over GF(2^2), stabilised by:\n[1 0 0 0 0 0 0 0 0 0 1 1 0 1 0 0 1 1 0 1 1 0 0 1 1 0 0 0 0 0 0 0 1 0 0 1 0 1 1 0\n    1 0 0 0 1 1 0 1]\n[$.1 0 0 0 0 0 0 0 0 0 0 0 0 0 0 0 0 0 0 0 0 0 0 0 0 0 0 0 0 $.1 0 0 0 0 0 0 0 0\n    0 0 0 0 0 0 0 $.1 0 0]\n[0 1 0 0 0 0 0 0 0 1 0 0 0 0 0 0 0 1 0 0 0 0 0 0 0 0 1 1 0 0 1 0 0 0 0 0 0 0 0 0\n    0 0 1 0 1 0 0 0]\n[0 $.1 0 0 0 0 0 0 0 0 0 0 0 0 0 0 0 0 0 0 0 0 0 0 0 0 0 0 0 0 0 0 0 0 0 0 0 0 0\n    0 $.1 0 0 0 $.1 0 0 0]\n[0 0 1 0 0 0 0 0 0 1 0 0 1 1 1 1 0 0 0 1 0 0 0 0 1 0 0 0 0 0 1 1 0 1 1 1 0 1 0 1\n    0 1 0 1 0 0 0 1]\n[0 0 $.1 0 0 0 0 0 0 0 0 0 0 0 0 0 0 0 0 0 0 0 0 0 0 0 0 0 0 $.1 0 0 0 $.1 0 0 0\n    0 $.1 $.1 $.1 $.1 0 0 0 0 $.1 0]\n[0 0 0 1 0 0 0 0 0 0 1 0 0 1 0 0 0 1 0 0 1 0 0 1 1 0 0 0 0 1 0 0 1 0 0 0 0 1 0 0\n    1 0 0 0 1 1 0 1]\n[0 0 0 $.1 0 0 0 0 0 0 0 0 0 0 0 0 0 0 0 0 0 0 0 0 0 0 0 0 0 0 0 0 $.1 0 0 0 0 0\n    $.1 0 0 0 0 0 0 0 0 0]\n[0 0 0 0 1 0 0 0 0 1 0 1 1 0 0 1 0 1 0 0 1 0 1 1 0 0 1 1 1 0 1 1 1 1 0 0 1 0 1 1\n    1 0 0 1 1 0 0 0]\n[0 0 0 0 $.1 0 0 0 0 0 0 0 0 0 0 0 0 0 0 0 0 0 0 0 0 0 0 0 0 0 0 0 0 0 $.1 0 0 0\n    0 $.1 0 0 0 0 0 0 0 0]\n[0 0 0 0 0 1 0 0 0 0 0 0 1 0 1 0 0 0 0 1 0 0 0 0 0 1 0 0 0 0 1 1 0 0 0 0 0 1 0 0\n    0 0 0 0 0 0 0 0]\n[0 0 0 0 0 $.1 0 0 0 0 0 0 0 0 0 0 0 0 0 0 0 0 0 0 0 0 0 $.1 0 $.1 0 0 0 $.1 0 0\n    0 $.1 $.1 $.1 $.1 $.1 $.1 $.1 0 0 $.1 $.1]\n[0 0 0 0 0 0 1 0 0 0 0 0 1 0 0 0 0 0 0 0 1 0 0 1 0 0 0 0 1 0 0 0 0 1 0 0 1 0 0 0\n    0 0 0 0 0 0 1 0]\n[0 0 0 0 0 0 $.1 0 0 0 0 0 0 0 0 0 0 0 0 0 0 0 0 0 0 0 0 0 0 $.1 0 0 0 0 0 0 0 0\n    $.1 0 $.1 0 0 0 0 0 $.1 0]\n[0 0 0 0 0 0 0 1 0 0 0 0 0 0 0 0 0 0 0 0 0 0 0 1 0 0 0 0 0 1 0 0 0 0 0 0 0 1 0 0\n    1 0 0 0 1 1 0 1]\n[0 0 0 0 0 0 0 $.1 0 0 0 0 0 0 0 0 0 0 0 0 0 0 0 0 0 0 0 0 0 0 0 0 $.1 0 0 0 0 0\n    0 0 0 0 $.1 0 $.1 0 0 0]\n[0 0 0 0 0 0 0 0 1 1 1 1 1 0 1 1 1 1 0 0 1 0 1 1 0 0 0 1 0 0 1 1 1 1 1 0 1 0 1 1\n    1 0 0 1 1 0 0 0]\n[0 0 0 0 0 0 0 0 $.1 0 0 0 0 0 0 0 0 0 0 0 0 0 0 0 0 0 0 $.1 0 0 0 0 0 0 $.1 0 0\n    0 0 $.1 $.1 0 0 0 $.1 0 0 0]\n[0 0 0 0 0 0 0 0 0 $.1 0 0 0 0 0 0 0 0 0 0 0 0 0 0 0 0 0 $.1 0 $.1 0 0 0 $.1 0 0\n    0 0 $.1 $.1 $.1 $.1 0 0 0 0 $.1 0]\n[0 0 0 0 0 0 0 0 0 0 $.1 0 0 0 0 0 0 0 0 0 0 0 0 0 0 0 0 0 0 0 0 0 $.1 0 $.1 0 0\n    0 0 0 0 0 $.1 0 $.1 0 0 $.1]\n[0 0 0 0 0 0 0 0 0 0 0 $.1 0 0 0 0 0 0 0 0 0 0 0 0 0 0 0 0 0 $.1 0 0 0 0 0 0 0 0\n    0 0 $.1 0 0 0 0 0 0 0]\n[0 0 0 0 0 0 0 0 0 0 0 0 $.1 0 0 0 0 0 0 0 0 0 0 0 0 0 0 0 0 0 0 0 0 0 0 0 0 $.1\n    0 0 0 $.1 0 $.1 0 $.1 $.1 0]\n[0 0 0 0 0 0 0 0 0 0 0 0 0 $.1 0 0 0 0 0 0 0 0 0 0 0 0 0 0 0 0 0 0 $.1 0 0 $.1 0\n    0 $.1 0 0 0 0 0 0 0 0 0]\n[0 0 0 0 0 0 0 0 0 0 0 0 0 0 $.1 0 0 0 0 0 0 0 0 0 0 0 0 0 0 0 0 0 0 $.1 $.1 $.1\n    0 $.1 $.1 0 0 $.1 $.1 $.1 $.1 $.1 $.1 $.1]\n[0 0 0 0 0 0 0 0 0 0 0 0 0 0 0 $.1 0 0 0 0 0 0 0 0 0 0 0 0 0 $.1 0 0 0 $.1 0 0 0\n    0 $.1 0 $.1 0 0 0 0 0 $.1 0]\n[0 0 0 0 0 0 0 0 0 0 0 0 0 0 0 0 $.1 0 0 0 0 0 0 0 0 0 0 $.1 0 $.1 0 0 0 0 $.1 0\n    0 0 0 $.1 $.1 0 0 0 $.1 $.1 0 0]\n[0 0 0 0 0 0 0 0 0 0 0 0 0 0 0 0 0 $.1 0 0 0 0 0 0 0 0 0 0 0 0 0 0 $.1 0 0 0 0 0\n    0 0 0 0 $.1 0 0 0 0 0]\n[0 0 0 0 0 0 0 0 0 0 0 0 0 0 0 0 0 0 1 0 0 0 0 0 1 1 0 0 0 0 0 0 0 0 1 0 0 0 0 1\n    0 1 0 1 0 0 0 1]\n[0 0 0 0 0 0 0 0 0 0 0 0 0 0 0 0 0 0 $.1 0 0 0 0 0 0 0 0 0 0 $.1 0 0 0 $.1 0 0 0\n    0 $.1 $.1 $.1 0 0 0 0 0 $.1 0]\n[0 0 0 0 0 0 0 0 0 0 0 0 0 0 0 0 0 0 0 $.1 0 0 0 0 0 0 0 $.1 0 $.1 0 0 0 $.1 0 \n    $.1 0 $.1 $.1 $.1 $.1 $.1 $.1 $.1 0 0 $.1 $.1]\n[0 0 0 0 0 0 0 0 0 0 0 0 0 0 0 0 0 0 0 0 $.1 0 0 0 0 0 0 0 0 0 0 0 $.1 $.1 0 $.1\n    0 0 $.1 0 0 0 0 0 0 0 0 0]\n[0 0 0 0 0 0 0 0 0 0 0 0 0 0 0 0 0 0 0 0 0 1 1 0 0 0 0 0 0 0 0 1 1 0 0 0 0 0 1 0\n    0 0 1 1 0 0 1 0]\n[0 0 0 0 0 0 0 0 0 0 0 0 0 0 0 0 0 0 0 0 0 $.1 0 0 0 0 0 0 0 $.1 0 0 0 0 0 0 0 0\n    $.1 0 $.1 0 0 0 0 0 0 0]\n[0 0 0 0 0 0 0 0 0 0 0 0 0 0 0 0 0 0 0 0 0 0 $.1 0 0 0 0 0 0 0 0 0 0 0 0 0 0 0 0\n    0 0 $.1 0 $.1 0 0 0 0]\n[0 0 0 0 0 0 0 0 0 0 0 0 0 0 0 0 0 0 0 0 0 0 0 $.1 0 0 0 0 0 0 0 0 0 0 0 0 0 0 0\n    0 0 $.1 0 $.1 0 $.1 $.1 0]\n[0 0 0 0 0 0 0 0 0 0 0 0 0 0 0 0 0 0 0 0 0 0 0 0 $.1 0 0 0 0 0 0 0 $.1 0 0 0 0 0\n    0 0 0 0 $.1 0 $.1 0 0 $.1]\n[0 0 0 0 0 0 0 0 0 0 0 0 0 0 0 0 0 0 0 0 0 0 0 0 0 $.1 0 0 0 0 0 0 0 0 0 0 0 $.1\n    0 0 0 0 0 0 0 0 0 $.1]\n[0 0 0 0 0 0 0 0 0 0 0 0 0 0 0 0 0 0 0 0 0 0 0 0 0 0 $.1 0 0 0 0 0 0 0 $.1 0 0 0\n    0 $.1 $.1 0 0 0 $.1 0 0 0]\n[0 0 0 0 0 0 0 0 0 0 0 0 0 0 0 0 0 0 0 0 0 0 0 0 0 0 0 0 $.1 0 0 0 0 $.1 $.1 $.1\n    0 0 $.1 0 0 0 $.1 0 $.1 0 0 $.1]\n[0 0 0 0 0 0 0 0 0 0 0 0 0 0 0 0 0 0 0 0 0 0 0 0 0 0 0 0 0 0 $.1 0 0 0 0 0 0 $.1\n    0 0 0 0 $.1 $.1 0 0 0 $.1]\n[0 0 0 0 0 0 0 0 0 0 0 0 0 0 0 0 0 0 0 0 0 0 0 0 0 0 0 0 0 0 0 $.1 0 0 0 0 0 $.1\n    0 0 0 0 0 $.1 0 0 0 $.1]\n[0 0 0 0 0 0 0 0 0 0 0 0 0 0 0 0 0 0 0 0 0 0 0 0 0 0 0 0 0 0 0 0 0 0 0 0 $.1 0 0\n    0 0 $.1 0 $.1 0 0 $.1 0]\nQuantum GF(2)-Additive code over GF(4) of length 48 with 54 generators.\nLower Bound: 1, Upper Bound: 22\nConstructed 2 distinct generator matrices\nTotal Ranks:     37  37 \nRelative Ranks:  37  11 \n(4 4 4 4 4 4 4 4 4 2 4 4 4 4 2 2 2 4 4 2 2 4 4 2 2 2 2 2 2 2 2 2 2 2 2 2 2 )\n(4 4 4 4 4 4 4 4 4 4 4 4 2 4 2 4 4 2 4 2 2 2 2 4 2 2 2 2 2 2 2 2 2 2 2 2 2 )\n     Discarding non-contributing rank 11 matrix\n     New Total Ranks:     37 \n     New Relative Ranks:  37 \nTime Taken: 0.00\nStarting search for low weight codewords... (reset timings)\nEnumerating using 1 generator at a time:\n     New codeword identified of weight 14, time 0.00\n     New codeword identified of weight 5, time 0.00\n     Impurity detected of weight 3, time 0.00\n     New codeword identified of weight 4, time 0.00\n     New codeword identified of weight 3, time 0.00\n   Completed Matrix  1:  lower =  2, upper =  3. Elapsed: 0.00s\nTermination predicted with 2 generators at matrix 1\nEnumerating using 2 generators at a time:\n   Completed Matrix  1:  lower =  3, upper =  3. Elapsed: 0.00s\nComputation complete \nFinal Results: lower = 3, upper = 3,\nTotal CPU time: 0.00, real time: 0.006\n3\n\nTotal time: 0.020 seconds, Total memory usage: 32.09MB\n</t>
  </si>
  <si>
    <t>CCstart: -1</t>
  </si>
  <si>
    <t>outfile: /home/ucapmwe/dist-benchmark/results/hyperbolic_surface_code-RG-3-8.txt-CLISATDist-20260106_160351.630881_85062422.txt</t>
  </si>
  <si>
    <t>c Parsing MaxSAT file...\nc ============================[  Problem Statistics ]============================\nc |  Number of variables:            13                                         |\nc |  Number of clauses:              36                                         |\nc ===============================================================================\nc Using SCIP solver, version 7.0.3, https://www.scipopt.org\nc scip_time = 0.000000\nc Starting SCIP solver in a separate thread (with time-limit = 0s) ...\nc Using COMiniSatPS SAT solver by Chanseok Oh (2016)\no 2\nc _x001B_[1mOptimal solution: 2_x001B_[0m\nc _______________________________________________________________________________\nc \nc restarts               : 18\nc conflicts              : 12             (1330 /sec)\nc decisions              : 32             (0.00 % random) (3546 /sec)\nc propagations           : 152            (16844 /sec)\nc conflict literals      : 20             (4.76 % deleted)\nc =======================[ UWrMaxSat resources usage ]===========================\nc Memory used            : 26.00 MB\nc CPU time               : 0.009024 s\nc Wall clock time        : 0 s\nc OptExp Enc: Srt/BDD/Add: 3 0 0\nc _______________________________________________________________________________\nv 00001100000011001\ns OPTIMUM FOUND\n</t>
  </si>
  <si>
    <t>c Parsing MaxSAT file...\nc ============================[  Problem Statistics ]============================\nc |  Number of variables:            80                                         |\nc |  Number of clauses:             237                                         |\nc ===============================================================================\nc Using SCIP solver, version 7.0.3, https://www.scipopt.org\nc scip_time = 0.000000\nc Starting SCIP solver in a separate thread (with time-limit = 0s) ...\nc Using COMiniSatPS SAT solver by Chanseok Oh (2016)\no 3\no 2\nc _x001B_[1mOptimal solution: 2_x001B_[0m\nc _______________________________________________________________________________\nc \nc restarts               : 91\nc conflicts              : 75             (6750 /sec)\nc decisions              : 449            (0.00 % random) (40410 /sec)\nc propagations           : 4505           (405454 /sec)\nc conflict literals      : 779            (5.35 % deleted)\nc =======================[ UWrMaxSat resources usage ]===========================\nc Memory used            : 26.00 MB\nc CPU time               : 0.011111 s\nc Wall clock time        : 0 s\nc OptExp Enc: Srt/BDD/Add: 3 0 0\nc _______________________________________________________________________________\nv 00110000000000000000000000100000000010000000100000000000001000010000000001000000000000\ns OPTIMUM FOUND\n</t>
  </si>
  <si>
    <t>c Parsing MaxSAT file...\nc ============================[  Problem Statistics ]============================\nc |  Number of variables:           154                                         |\nc |  Number of clauses:             449                                         |\nc ===============================================================================\nc Using SCIP solver, version 7.0.3, https://www.scipopt.org\nc scip_time = 0.000000\nc Starting SCIP solver in a separate thread (with time-limit = 0s) ...\nc Using COMiniSatPS SAT solver by Chanseok Oh (2016)\no 10\no 4\no 3\nc _x001B_[1mOptimal solution: 3_x001B_[0m\nc _______________________________________________________________________________\nc \nc restarts               : 83\nc conflicts              : 475            (24433 /sec)\nc decisions              : 1175           (0.00 % random) (60439 /sec)\nc propagations           : 19359          (995782 /sec)\nc conflict literals      : 6008           (6.82 % deleted)\nc =======================[ UWrMaxSat resources usage ]===========================\nc Memory used            : 26.00 MB\nc CPU time               : 0.019441 s\nc Wall clock time        : 0 s\nc OptExp Enc: Srt/BDD/Add: 6 0 0\nc _______________________________________________________________________________\nv 0000000001000000000000000000000000000000001010000000000000000011100100000000100010000100100000000010001000000000000101100010000000001000000000000000000010100010000000\ns OPTIMUM FOUND\n</t>
  </si>
  <si>
    <t>c Parsing MaxSAT file...\nc ============================[  Problem Statistics ]============================\nc |  Number of variables:           323                                         |\nc |  Number of clauses:             999                                         |\nc ===============================================================================\nc Using SCIP solver, version 7.0.3, https://www.scipopt.org\nc scip_time = 0.000000\nc Starting SCIP solver in a separate thread (with time-limit = 0s) ...\nc Using COMiniSatPS SAT solver by Chanseok Oh (2016)\no 13\no 5\no 4\nc _x001B_[1mOptimal solution: 4_x001B_[0m\nc _______________________________________________________________________________\nc \nc restarts               : 344\nc conflicts              : 4624           (30184 /sec)\nc decisions              : 11008          (0.00 % random) (71857 /sec)\nc propagations           : 236136         (1541418 /sec)\nc conflict literals      : 130992         (9.00 % deleted)\nc =======================[ UWrMaxSat resources usage ]===========================\nc Memory used            : 151.00 MB\nc CPU time               : 0.153194 s\nc Wall clock time        : 0 s\nc OptExp Enc: Srt/BDD/Add: 10 0 0\nc _______________________________________________________________________________\nv 00000000000011000000000000000000000000000000000000000000000000000000000110000000000000000000000000000000000111101000000000110000111001000000000000000000000000000000001000001000000001101011000010000000000010001100000000000100000000000000000000000000000000000000000000000100000000000010010000101000011110100000010110100001000001001000100000101101\ns OPTIMUM FOUND\n</t>
  </si>
  <si>
    <t>c Parsing MaxSAT file...\nc ============================[  Problem Statistics ]============================\nc |  Number of variables:           333                                         |\nc |  Number of clauses:            1039                                         |\nc ===============================================================================\nc Using SCIP solver, version 7.0.3, https://www.scipopt.org\nc scip_time = 0.000000\nc Starting SCIP solver in a separate thread (with time-limit = 0s) ...\nc Using COMiniSatPS SAT solver by Chanseok Oh (2016)\no 16\no 6\no 3\nc _x001B_[1mOptimal solution: 3_x001B_[0m\nc _______________________________________________________________________________\nc \nc restarts               : 197\nc conflicts              : 877            (22019 /sec)\nc decisions              : 3284           (0.00 % random) (82452 /sec)\nc propagations           : 64885          (1629089 /sec)\nc conflict literals      : 19726          (4.36 % deleted)\nc =======================[ UWrMaxSat resources usage ]===========================\nc Memory used            : 152.00 MB\nc CPU time               : 0.039829 s\nc Wall clock time        : 0 s\nc OptExp Enc: Srt/BDD/Add: 6 0 0\nc _______________________________________________________________________________\nv 111000000000000000000000000000000000000000000000000000000000000000000000000000000000000010010011110011010000011110001010110000001000110101100000000000111011001000000001000000000000000000110100101000000001010000000000000110101100000000000000000000000011111000000001111100000000000001010110001010110010010001001001000101001001010010010101000000100100010000\ns OPTIMUM FOUND\n</t>
  </si>
  <si>
    <t>c Parsing MaxSAT file...\nc ============================[  Problem Statistics ]============================\nc |  Number of variables:           376                                         |\nc |  Number of clauses:            1169                                         |\nc ===============================================================================\nc Using SCIP solver, version 7.0.3, https://www.scipopt.org\nc scip_time = 0.000000\nc Starting SCIP solver in a separate thread (with time-limit = 0s) ...\nc Using COMiniSatPS SAT solver by Chanseok Oh (2016)\no 17\no 6\no 5\no 4\nc _x001B_[1mOptimal solution: 4_x001B_[0m\nc _______________________________________________________________________________\nc \nc restarts               : 259\nc conflicts              : 3043           (30432 /sec)\nc decisions              : 7185           (0.00 % random) (71854 /sec)\nc propagations           : 182068         (1820789 /sec)\nc conflict literals      : 81477          (8.58 % deleted)\nc =======================[ UWrMaxSat resources usage ]===========================\nc Memory used            : 152.00 MB\nc CPU time               : 0.099994 s\nc Wall clock time        : 0 s\nc OptExp Enc: Srt/BDD/Add: 10 0 0\nc _______________________________________________________________________________\nv 0000000000000000001000000000010000000001000100000000000000000000000000000000000000000000000000000000000000000000000000000000000000001110101100101100000000001000010101100000000100000000000000000001011010010010101100001000101100000000000001011001000010000100000100000000000000001000000000000000000001000000100000001000100001000000000000100100000100001011001000010110010000101001000010001000000001001000\ns OPTIMUM FOUND\n</t>
  </si>
  <si>
    <t>c Parsing MaxSAT file...\nc ============================[  Problem Statistics ]============================\nc |  Number of variables:           702                                         |\nc |  Number of clauses:            2221                                         |\nc ===============================================================================\nc Using SCIP solver, version 7.0.3, https://www.scipopt.org\nc scip_time = 0.000000\nc Starting SCIP solver in a separate thread (with time-limit = 0s) ...\nc Using COMiniSatPS SAT solver by Chanseok Oh (2016)\no 36\no 12\no 6\no 4\nc _x001B_[1mOptimal solution: 4_x001B_[0m\nc _______________________________________________________________________________\nc \nc restarts               : 366\nc conflicts              : 7161           (17478 /sec)\nc decisions              : 17520          (0.00 % random) (42760 /sec)\nc propagations           : 729668         (1780873 /sec)\nc conflict literals      : 280349         (12.57 % deleted)\nc =======================[ UWrMaxSat resources usage ]===========================\nc Memory used            : 153.00 MB\nc CPU time               : 0.409725 s\nc Wall clock time        : 0 s\nc OptExp Enc: Srt/BDD/Add: 10 0 0\nc _______________________________________________________________________________\nv 000100000000001000000000000000001010000000000000000000000000000000000000000000000000000000000000000000000000000000000000000000000000000000000000000000000000000000000000011110111100010001110000000000101000100000000111110000000100000000000000000100001000100100000000011000000000000000111001100001000100000000001100001000000000010000000101100000000110000100000000001000000100000000000000101100000101001010000000000000000000000001000001010001000000010000000000000000000001000100000000000000000000000000000101000000000000000100100000010000000000000000000000000000000000000000000000000000000001000000010000000000000000000000000000000001000000000000001000000000000000000000000000000000000000000000000000000000000000000000000000000000000000000000000000\ns OPTIMUM FOUND\n</t>
  </si>
  <si>
    <t>c Parsing MaxSAT file...\nc ============================[  Problem Statistics ]============================\nc |  Number of variables:           632                                         |\nc |  Number of clauses:            1941                                         |\nc ===============================================================================\nc Using SCIP solver, version 7.0.3, https://www.scipopt.org\nc scip_time = 0.000000\nc Starting SCIP solver in a separate thread (with time-limit = 0s) ...\nc Using COMiniSatPS SAT solver by Chanseok Oh (2016)\no 8\no 6\no 5\no 4\nc _x001B_[1mOptimal solution: 4_x001B_[0m\nc _______________________________________________________________________________\nc \nc restarts               : 628\nc conflicts              : 10138          (17735 /sec)\nc decisions              : 25590          (0.00 % random) (44767 /sec)\nc propagations           : 806790         (1411383 /sec)\nc conflict literals      : 456708         (9.33 % deleted)\nc =======================[ UWrMaxSat resources usage ]===========================\nc Memory used            : 152.00 MB\nc CPU time               : 0.571631 s\nc Wall clock time        : 1 s\nc OptExp Enc: Srt/BDD/Add: 10 0 0\nc _______________________________________________________________________________\nv 00000000000000000000000001000000000000000000000000000100000000000000000000000000010010000000000000000000000000000000000000000000000000000000000000000000000000000000000000000000000000000000000000000000000000000000000000000110000000000000000000000000000000000000000000000000000000000000000000000000000000000000000010110101100000000000000000000000000000000000000000000000000000100000100001000000000100000000000000001011110100001000000000000000001001000000000000000000000000000000000000000000000000000000000000000000000010000000000110000000101000000000101001110011000000111001011000110000000110010010000000000000000001000000101100000100001001110000111000000100000000000000100000\ns OPTIMUM FOUND\n</t>
  </si>
  <si>
    <t>c Parsing MaxSAT file...\nc ============================[  Problem Statistics ]============================\nc |  Number of variables:           791                                         |\nc |  Number of clauses:            2535                                         |\nc ===============================================================================\nc Using SCIP solver, version 7.0.3, https://www.scipopt.org\nc scip_time = 0.000000\nc Starting SCIP solver in a separate thread (with time-limit = 0s) ...\nc Using COMiniSatPS SAT solver by Chanseok Oh (2016)\no 13\no 6\no 5\nc _x001B_[1mOptimal solution: 5_x001B_[0m\nc _______________________________________________________________________________\nc \nc restarts               : 419\nc conflicts              : 16166          (9881 /sec)\nc decisions              : 36864          (0.00 % random) (22533 /sec)\nc propagations           : 2332659        (1425814 /sec)\nc conflict literals      : 640876         (26.72 % deleted)\nc =======================[ UWrMaxSat resources usage ]===========================\nc Memory used            : 154.00 MB\nc CPU time               : 1.63602 s\nc Wall clock time        : 2 s\nc OptExp Enc: Srt/BDD/Add: 15 0 0\nc _______________________________________________________________________________\nv 000000000000000000000000000000000000000000000000000000000000000000000000000000001000000000000000000000000000000000000000000000000000000000000001001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0000110000010110000000000000010000000000000000000000000000000000000000000000000000000000000000000000000000000010000000000000000000000000000100010000000000100000000000010101000000000000101000000000000000000000000110000001000110000000000001110101111101100000000000100000000001000000000000000100010001001110100000100111010100000000000010001000010101110000000000000000000\ns OPTIMUM FOUND\n</t>
  </si>
  <si>
    <t>c Parsing MaxSAT file...\nc ============================[  Problem Statistics ]============================\nc |  Number of variables:          1215                                         |\nc |  Number of clauses:            3979                                         |\nc ===============================================================================\nc Using SCIP solver, version 7.0.3, https://www.scipopt.org\nc scip_time = 0.000000\nc Starting SCIP solver in a separate thread (with time-limit = 0s) ...\nc Using COMiniSatPS SAT solver by Chanseok Oh (2016)\no 34\no 19\no 11\no 4\nc _x001B_[1mOptimal solution: 4_x001B_[0m\nc _______________________________________________________________________________\nc \nc restarts               : 1082\nc conflicts              : 19287          (11929 /sec)\nc decisions              : 68154          (0.00 % random) (42154 /sec)\nc propagations           : 2395050        (1481374 /sec)\nc conflict literals      : 1292261        (9.42 % deleted)\nc =======================[ UWrMaxSat resources usage ]===========================\nc Memory used            : 155.00 MB\nc CPU time               : 1.61678 s\nc Wall clock time        : 1 s\nc OptExp Enc: Srt/BDD/Add: 10 0 0\nc _______________________________________________________________________________\nv 000000000000000000000000000000000000000000000000000000000000000000000000000000000000000000000000001100000000000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1110110000000000000000011000000110000000000001100000000000000000000110000000000001110000000000000000000000000000000000000000000000000000000000000000000000000000000000000000000100000000000000000000000000000000000000000000000000000000000000000000000000000000000000000000000000000000000000000000000000000000000000000000001000000001001000010000000000000000000000000000000000000000000000000000000000000000000000000000000000000000000000000000000000000000000000000000000000000000000000000000000000000000000000000000000000000000000000000000000000000000000000000000000101100000000000000000000000000000000000000000000000000000000000000000000000000000000000000000000000000000000000000000000000000\ns OPTIMUM FOUND\n</t>
  </si>
  <si>
    <t>c Parsing MaxSAT file...\nc ============================[  Problem Statistics ]============================\nc |  Number of variables:          1584                                         |\nc |  Number of clauses:            5077                                         |\nc ===============================================================================\nc Using SCIP solver, version 7.0.3, https://www.scipopt.org\nc scip_time = 0.000000\nc Starting SCIP solver in a separate thread (with time-limit = 0s) ...\nc Using COMiniSatPS SAT solver by Chanseok Oh (2016)\no 60\no 11\no 9\no 5\nc _x001B_[1mOptimal solution: 5_x001B_[0m\nc _______________________________________________________________________________\nc \nc restarts               : 710\nc conflicts              : 28877          (6588 /sec)\nc decisions              : 93846          (0.00 % random) (21411 /sec)\nc propagations           : 7498512        (1710813 /sec)\nc conflict literals      : 1878462        (28.06 % deleted)\nc =======================[ UWrMaxSat resources usage ]===========================\nc Memory used            : 157.00 MB\nc CPU time               : 4.38301 s\nc Wall clock time        : 5 s\nc OptExp Enc: Srt/BDD/Add: 15 0 0\nc _______________________________________________________________________________\nv 000000000000000000000000000000000000000000000000000000000000000000000000000000100000000000000000000000000000000000000000000000000000000000000000000000011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00000000000010000110000000000000010000110000110110001000000000000000000000000000000000000010001100000000000000000000001000000000010000000000000000000000000000000000000000000000000000000000000001000000000000000000000000010000000000000000000000000000010010001100000000010010000100000000000000000000000000000000000000000000000000000000000000000000000000000000000001100000000011000000000000011000000001100000000000000001000000000000000000000000010000000001000000000100000000000000000000000000000000000000000000000000000001000000000000000001000000000000000000000000000000000000000000000000000000000010000000000000000000000000000000000000000101001000000000000000000000000000100000000000000000011000000000000000000000000000000000000000000000000000000000000000000000000000001000000100000000100000000000000000000000000000000000000000000000000010000010000100000000000000000000000000000000000000000000000000000000000000000000000000000000000000000000000000010000000000000000000000000100000000000000000100011000000000000000010001100000000000000010001100000000000000000000000000000000000000000000\ns OPTIMUM FOUND\n</t>
  </si>
  <si>
    <t>c Parsing MaxSAT file...\nc ============================[  Problem Statistics ]============================\nc |  Number of variables:          1828                                         |\nc |  Number of clauses:            5969                                         |\nc ===============================================================================\nc Using SCIP solver, version 7.0.3, https://www.scipopt.org\nc scip_time = 0.000000\nc Starting SCIP solver in a separate thread (with time-limit = 0s) ...\nc Using COMiniSatPS SAT solver by Chanseok Oh (2016)\no 79\no 4\nc _x001B_[1mOptimal solution: 4_x001B_[0m\nc _______________________________________________________________________________\nc \nc restarts               : 632\nc conflicts              : 13938          (7572 /sec)\nc decisions              : 95593          (0.00 % random) (51929 /sec)\nc propagations           : 4276732        (2323238 /sec)\nc conflict literals      : 969545         (17.26 % deleted)\nc =======================[ UWrMaxSat resources usage ]===========================\nc Memory used            : 157.00 MB\nc CPU time               : 1.84085 s\nc Wall clock time        : 2 s\nc OptExp Enc: Srt/BDD/Add: 10 0 0\nc _______________________________________________________________________________\nv 000000000000000000000000000000000000000000000000000000000001000000000000000000000000000000000000000000000000000000000000000000000000000000001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10000000000000000000010000000000000000000000000000000000000000000000000000000000000000000000000000000000000100000000000000000000000010100010000000000000000000000000000000000000000000000000000000000000000000000000000000000000000000000000000000000000000000000000000000000000000000000000000001010010000000000000000000000000000000000000000000000000000000000000000000000000000000000000000000000000000000100000000001000000010000000000000000000000000000010000000001000000000000001000000010000000000000000000000000000000000000010010000000000000000000000000000000000000000000000000000000000000000000000000000000100000000001000000000000000000000000000000000000000000000000000000000000000000000000000000000000000000000000000000000000000000000000000000000000000000000000000000000000000000000000000000000000000000000000000000000000000000001000000000100000000000000000000000000000000000000000000000000000000000000000000000000000000000000000000000000000100000000010000000000010000000000100000000000100000000000001000000000000000000000000000000000000000000000000000000000000000000001000000000000001000000000000000000000000000000000000\ns OPTIMUM FOUND\n</t>
  </si>
  <si>
    <t>c Parsing MaxSAT file...\nc ============================[  Problem Statistics ]============================\nc |  Number of variables:          2962                                         |\nc |  Number of clauses:           10085                                         |\nc ===============================================================================\nc Using SCIP solver, version 7.0.3, https://www.scipopt.org\nc scip_time = 0.000000\nc Starting SCIP solver in a separate thread (with time-limit = 0s) ...\nc Using COMiniSatPS SAT solver by Chanseok Oh (2016)\no 130\no 6\nc _x001B_[1mOptimal solution: 6_x001B_[0m\nc _______________________________________________________________________________\nc \nc restarts               : 1682\nc conflicts              : 184866         (3525 /sec)\nc decisions              : 499886         (0.00 % random) (9532 /sec)\nc propagations           : 112279791      (2141031 /sec)\nc conflict literals      : 11897115       (48.95 % deleted)\nc =======================[ UWrMaxSat resources usage ]===========================\nc Memory used            : 243.00 MB\nc CPU time               : 52.4419 s\nc Wall clock time        : 52 s\nc OptExp Enc: Srt/BDD/Add: 21 0 0\nc _______________________________________________________________________________\nv 000000000000000000000101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1000000000000000000000000000000000000000000000000000000000000000000000000000000000000000000000000000000000000000000000000000000000000000000000000000000000000000000000000000100000000000000000000000000001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1011000000000000100001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100000000000000000100000000000000000000010000000000000000010000000000000\ns OPTIMUM FOUND\n</t>
  </si>
  <si>
    <t>c Parsing MaxSAT file...\nc ============================[  Problem Statistics ]============================\nc |  Number of variables:          2884                                         |\nc |  Number of clauses:            9773                                         |\nc ===============================================================================\nc Using SCIP solver, version 7.0.3, https://www.scipopt.org\nc scip_time = 0.000000\nc Starting SCIP solver in a separate thread (with time-limit = 0s) ...\nc Using COMiniSatPS SAT solver by Chanseok Oh (2016)\no 45\no 6\nc _x001B_[1mOptimal solution: 6_x001B_[0m\nc _______________________________________________________________________________\nc \nc restarts               : 2429\nc conflicts              : 191616         (3272 /sec)\nc decisions              : 533808         (0.00 % random) (9116 /sec)\nc propagations           : 118110344      (2017021 /sec)\nc conflict literals      : 13021354       (47.36 % deleted)\nc =======================[ UWrMaxSat resources usage ]===========================\nc Memory used            : 249.00 MB\nc CPU time               : 58.5568 s\nc Wall clock time        : 59 s\nc OptExp Enc: Srt/BDD/Add: 21 0 0\nc _______________________________________________________________________________\nv 0000000000001001000000000000000000000000000000000000000000000000000011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10000000000000100000000000000000000000000000000000100000000000000000000000000000000000000000000000000000000000000000000000000000000000000001111111111111111111111110000001010010000100000100000111000000000010010010010010000100000000001100100011011010000000001001000000001010000000001000101001000010100000000010000111011111111001111010010010001111010010011100011111111111111011111101100001011010000000000000000000000000111100110001100011100111000101100011100100110000001111001101000101100011100100110000011110000001111111100000000111100001111111100001001000010010000001000100000110000000100110110010001101101000010000011000101000000100011001000110110100001100100011011010000000111000001100001000000111000111111111111101111110110001001000010000001110011100101100010110100100011100111001011000101101000000000100111001110010110001011010010000111000000000111100000000011110000000000000001111110101010000011101111111100000111111011010000011100001111111111111101111110110000001111111111111101111110110000000000000001111000000000000000110011100101100100110100000001010000000111111111111110111111011000011111111111111011111101100000001100010100000001000000010000000000000010011000100000010010100001000100100001110010000110000011000100000100000100001010000000000000000011110011100010110001110010011001110000110000001111001110010100000000000000000001000001101010000100100000110101000000010000000000001010010000001001000000001111111111111101111110110000000111111111111101111110110000010001000000000111001110010110001011010000000000000110011100101100010110100000000111010010001110100100001001110100100100011011111110000001110111111100000011101111111000000110111111000011101111111101001111111111111111111011000011111111111111111101100001001001111111111111111111011000001000000001000100000000001100100001000111100000100010101000000100010101000000010000000000000000000000000000010000000000000010000000000010000000010100011000000010100010001111111111111111111101100000000111111111111110111111011001000000000001000001000000000000011001000110110100000000000001100100011011010000000000000000010000000000100100000101000001111001101000101100111001001100000101000000000001010000000101000000111100110100010110001110010011000001000000000000011110100100000001100100000001100000000000000000000\ns OPTIMUM FOUND\n</t>
  </si>
  <si>
    <t>c Parsing MaxSAT file...\nc ============================[  Problem Statistics ]============================\nc |  Number of variables:          2517                                         |\nc |  Number of clauses:            8179                                         |\nc ===============================================================================\nc Using SCIP solver, version 7.0.3, https://www.scipopt.org\nc scip_time = 0.000000\nc Starting SCIP solver in a separate thread (with time-limit = 0s) ...\nc Using COMiniSatPS SAT solver by Chanseok Oh (2016)\no 140\no 20\no 9\no 6\no 5\nc _x001B_[1mOptimal solution: 5_x001B_[0m\nc _______________________________________________________________________________\nc \nc restarts               : 897\nc conflicts              : 46153          (4293 /sec)\nc decisions              : 184070         (0.00 % random) (17121 /sec)\nc propagations           : 23831163       (2216666 /sec)\nc conflict literals      : 3524514        (35.85 % deleted)\nc =======================[ UWrMaxSat resources usage ]===========================\nc Memory used            : 160.00 MB\nc CPU time               : 10.7509 s\nc Wall clock time        : 11 s\nc OptExp Enc: Srt/BDD/Add: 15 0 0\nc _______________________________________________________________________________\nv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1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01001001001001001010010010000000000000000000000000000000000000000000000000000000000000000000000000000000000000000000000000000000000000000000000000000001000000000000000000000000001000000000001000000000000000000000010000000000000000000000000000000000000000000000100000000000000000000000000000000000000000010000000000001000000000000000000000000000000010000100010111100101011100000000000000000000000000000000000000000000000000000000000000000000000000000000\ns OPTIMUM FOUND\n</t>
  </si>
  <si>
    <t>c Parsing MaxSAT file...\nc ============================[  Problem Statistics ]============================\nc |  Number of variables:          4344                                         |\nc |  Number of clauses:           14689                                         |\nc ===============================================================================\nc Using SCIP solver, version 7.0.3, https://www.scipopt.org\nc scip_time = 0.000000\nc Starting SCIP solver in a separate thread (with time-limit = 0s) ...\nc Using COMiniSatPS SAT solver by Chanseok Oh (2016)\no 32\no 16\no 7\no 6\nc _x001B_[1mOptimal solution: 6_x001B_[0m\nc _______________________________________________________________________________\nc \nc restarts               : 3020\nc conflicts              : 272084         (2155 /sec)\nc decisions              : 894202         (0.00 % random) (7084 /sec)\nc propagations           : 237548282      (1881845 /sec)\nc conflict literals      : 23158454       (50.44 % deleted)\nc =======================[ UWrMaxSat resources usage ]===========================\nc Memory used            : 260.00 MB\nc CPU time               : 126.232 s\nc Wall clock time        : 127 s\nc OptExp Enc: Srt/BDD/Add: 21 0 0\nc _______________________________________________________________________________\nv 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0000000000000000000000000000000000000110000000000000000001101000000000000000000000000000000000000000000000000000000100000000000000000000000000000000000000000000000000000000000000000000000000000000000000000000000100000000000000000000000000000000000000000000000000000000000000000000000000000000000000000000000000000000000000000000000001001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1000000000000000000000000000000000000000000000000000000000000000000000000000000000100000000000000000000000000000000000000000000000000000000000000000000000000000000000000000000000000000000000000000000000000000000000000000000111111111111111111111111111111101111111111111111111111111111110000111111111111111111111111111111001111111111111111111111111111100000000100110011111101111111111111111111100000000000101000000111001100100011100100100100000000000010000000000000010000000001001000010001100110000110011111111111111111111111111110011111111111111111111111111110001100101000100000010100000000010100000000000000000000000010011000000000000000010000001001010010001011100000010010000100010000001001010010010111000000000100000010100101100000010000101001000000001000010100100000000000000000000000001100000000000001000000000100000000000010000000000000010100001000000001000000011101101111111111001110110111111111100111110110111111111111111001111011011111111111111001110110111111111100000010010000001001010010010111000000100010000111000100000000000000010000100000000000000100100000000010001000111110001001001000000100000100100010000000100100010000010010010010001000010000100000000000010000000000000100000000000101000001111101101111111111111110010000011111011101111111111111110010110000100001000000010000101001000000010000000000100001010000001000000010011010010000110111010000000101000000101000000000010100001000000000000001001000010000000000000000000000000000000001000100011001110010101111111011110000000010010001101001110000100000000010000000000010000000100010000110011100101011111110111100000000000000000000000000000000000000000000000000000000001110001100001111111111111111111111111111001001000010011111111111111111111111111110100011111110001111111100111101110010000100110101000001000000111000000001000001000000100000000000000010100000100000101000000\ns OPTIMUM FOUND\n</t>
  </si>
  <si>
    <t>c Parsing MaxSAT file...\nc ============================[  Problem Statistics ]============================\nc |  Number of variables:          6364                                         |\nc |  Number of clauses:           21929                                         |\nc ===============================================================================\nc Using SCIP solver, version 7.0.3, https://www.scipopt.org\nc scip_time = 0.000000\nc Starting SCIP solver in a separate thread (with time-limit = 0s) ...\nc Using COMiniSatPS SAT solver by Chanseok Oh (2016)\no 245\no 20\no 13\no 9\no 7\no 6\nc _x001B_[1mOptimal solution: 6_x001B_[0m\nc _______________________________________________________________________________\nc \nc restarts               : 2719\nc conflicts              : 383179         (1701 /sec)\nc decisions              : 1116189        (0.00 % random) (4956 /sec)\nc propagations           : 513659279      (2280586 /sec)\nc conflict literals      : 33819538       (59.85 % deleted)\nc =======================[ UWrMaxSat resources usage ]===========================\nc Memory used            : 342.00 MB\nc CPU time               : 225.231 s\nc Wall clock time        : 226 s\nc OptExp Enc: Srt/BDD/Add: 21 0 0\nc _______________________________________________________________________________\nv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0000000000000000000000000000000000000000000000000000000000000000001001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0000000000000001000000010000000000001000000010000000100000000000100000100000001000000000001000000000000000000000000000000000000000000000000000001000000000000000000000000000100000000000000000000000001000000000000000000000000000000000000000000000000000000000000000000000000000000000000000000000000000000000000000000000010000000000000000000000000000000000000000000000000000000000000000000000000100000010000000000100000000000000000000000000101010100000000000000000000000100000000000000000000000000000000000000000000000001000000000000000000000001000000000000000000100000000000000000000000100000000000000000000000100000000000000000000000000000000000000000000000000000000000000000000000000111101100000000000000000000000010000000000000000000000000000000000000000000000000000000000000000000000000000000000000000000000001000100000000000100000000000000000000010000000000000000010100000000000000100000000000000000000000000000000000000000000000000000000000000000000000000000000000000000000000000000000000000000000001000000000000000000000000000000001000000000011000000000000000000000000000001000000000000000000000000000000000000000101001000101000010000000000001010000100000000000000000000000000000000000000000000001000000000100000000000000000001000000001000000000100000000000000000000010000000000000000010000000001000000000000000000000100000000000000000000000000000000100100000000000000000000000000000000000000000000000000000000000000000000000000000000000000000000000000000000000000000000000000000000000010000000000000000000000000000001000000000000000000000000000000000000000000010000000000000000000000100000000000000000000010000000000000000000000010000000000000000000000000000000000000000100000000000000000000001010000110000000001010000000000000000000000100000000000000000000000000000000000000110000000000001000000000000000000000000000000000000000000000000000000000000000000000000000000000000000000000000000000000000000000000000000000000000000000000000000001100000000010000000000000000000000000100000000000000000000000000000000000000000000000000000000000000000000000000000000000000000000000001100000000000000000000001000000000000000000000000000000000000000000000000000000000000000000000000100000001000000000000100000000000000001100000000100000000000000000000010000000010010000010001000001000000000001010000000100000000000001000000100000000100000000000000000100000000000000001000000000000010000000000000000000000000000011000000000000000010000000000000000000000000001100000000000000000000000100000000000000001100000000000000000000000100000000000000000000000000000000000000000000000000000000000000000000000000000000000000000000000000000000000000000000001100000000100000000010001000000000000000000000010000000000000000000000000000000000000000000000000000000000000000000000000000000000000000000000000000000000000000000000000000000000000010100100000001101000000000000110000000010000000000100000000000100000000000000100000000000000000000000000000000000000000000000000000110000000000000000100000000000000000000000000000000000000000000000000000000000000011000000000000000000000001000000000000000000000000000000000000000000000000000000000000000000000000000000000000000000000000000010010000010000001010000100000000000000000000000000000000010000000100000000000001000000010000010000000101000000000000000000000100000000000010000000000101000000000000000000000100000000000000000000001010000000000000000000001000000000001000000000000000000000000000000000000000000000010010000010000000000000000000000000000000000000000000000000000000000000000000000000000000000000000000000000000000000000000000000000000000000000000000000110000000000000100000000000000000000011000000000000010000000000000001100000000000000001000000000000000000000000000000000000000000000000000000000000100000000000000000000000000000000000000000000000000000000000000000000000000000000000010100100\ns OPTIMUM FOUND\n</t>
  </si>
  <si>
    <t>c Parsing MaxSAT file...\nc ============================[  Problem Statistics ]============================\nc |  Number of variables:          7024                                         |\nc |  Number of clauses:           24317                                         |\nc ===============================================================================\nc Using SCIP solver, version 7.0.3, https://www.scipopt.org\nc scip_time = 0.000000\nc Starting SCIP solver in a separate thread (with time-limit = 0s) ...\nc Using COMiniSatPS SAT solver by Chanseok Oh (2016)\no 171\no 56\no 11\no 8\no 6\nc _x001B_[1mOptimal solution: 6_x001B_[0m\nc _______________________________________________________________________________\nc \nc restarts               : 3418\nc conflicts              : 434949         (1362 /sec)\nc decisions              : 1378022        (0.00 % random) (4316 /sec)\nc propagations           : 623915985      (1954021 /sec)\nc conflict literals      : 43541104       (59.23 % deleted)\nc =======================[ UWrMaxSat resources usage ]===========================\nc Memory used            : 379.00 MB\nc CPU time               : 319.299 s\nc Wall clock time        : 320 s\nc OptExp Enc: Srt/BDD/Add: 21 0 0\nc _______________________________________________________________________________\nv 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111111111100000000000000000000000100000000000010000000000000000001000000000000000000000000010000000000000000000000000000000000000000000000000000000000000010000000000101000010010000100000000000000000000000000000000100000000000000000000000000000000000000000100000000000010000000000101000010001000010000000010000001000000100100000100010000010000000000000000000000100000000000000000000000000000010000000000000000000000000001000000000001000101111110100100101011111110110000001000000100000001000100000100010000010000000000000000000000000000000000000100000001000000000000000000000001000000000000010000010000010010010011001100000000000001000000000000000000000000001000000100000000000001000000000001000001001000000000000000001000100000010010000100100100110000000000000000000000000000000001111111100100111111100100000000001010000100100001000000001000000000010100001001000010000000000000000000010000000000000000000000000000000000100000000000000000000000010010000100000000000000000010000000000010000000000000000000100000010000100000000000000010000000000000000000000000100000000100000010000000000101000010010000100000000000000000000000000100000000000000000100000000010000100000000000000001000000000000000000000000100000000000000000000000000000000000000000000000000000000010000000000000000010000000000000000011111100000011100000000000000100000000000000001101110011000000010001011111101001000000000000000000000000000100000000000000000000001000000000000000010000000000000000000000000000001000000000000000000000000000000000000000000000000000000000000000000000000000000100000000000000000000000010000000000000000000000000000000000000000000000000000000000000000100000000000000000000000000000001000000000000000000000000000010000000000000100000000000000000000000000010000000000000000000010000000000000000100001000000000000100000000000001000000000000000010000000000000000000000000000000000000000010000000000000000000000000010000000000000000000000000000000010000000000000000000000000000000000010000000000000000000000000000010000000000000000000010000001000000010000100000100010010001000000001010000000000000000000100000000100000100000010000000100001000001000100100010000000000000000110010000000000000000000000000000000000000000000000000000000000000000000000000000010000000100000001001000001000100000100000000000000010000000100000001001000001000100000100000000000000000000000000000000000000000000000000000000000000010100011000000010000000010000000000000000100000010000000000000000000000000000100000000000000000100000000001010000100100001000000000000000000000000000000000000000000001000000000000000000001000000000000000000000001000000000000000000000000000000000000000100000000000000000010000000000000000000001000000100000000100111111110000010000000000101000010001000010000000100000000001010000100010000100000000000000010000000000101000010001000010000000000000000000000000001000000000001000001001000010000001000010000000000101000001001000010000001000000000010100000100100001000010000100000000001010000100100001000000100000000000100000100100000100011001110010000111001001110000000000100000000000000000000010000000000000000001000000000000000000100000000000000010000000000000001000000000001000010000000001000000001000000010101111111011001000000000000000000000000000000000000000000000000000000000000000000000100000000000000000000000000000000000000010000000000000000000000000000000001000000000000000000000000000000000100000000000000000000000000000000001000000000000000000000000000000000000000000000000000100000000000000000000000000000000000000000000000000000000001000000000000000000000100000000000000000010000000000000000000000000000100000000000000000000000000100010000000010000000010000100000000000000010001000000000000100000000000000000100000000000000000010000001000001000001001001001100110000000001000010000001001000010010100110000000000000000001000001000001001001001100110000000000010000010000010010001001100110000000000000000000000000000000000000000000000100000000000000000000000000000000000000000001000000000000000000000000000000000000000000010111111111100000000011111111111001010111111111000000000001000000100000000000010000010000010010010011001100000001000101111110100010000000000100000100000100100101100110000000010000010000010010010011001100000000100010111111010010101000010010001110110000111001100110000000000000000000000000000000000000000000000000011100000000000000000000000000000000000000000010000000000110000010000000000010100000000000000000000000000000000000000000000000000000000000000000000000000000000000000000000000100000000001010001100100001000000000000000000000000000000001100000000110001000000000000000000000000000000000000000000000000000000000000001000000000000000000000000000000100111000100010111111010010000000000111000100010111111010010000000000000000000010000000011000100000010010001101100100110000000000000000000000100010000000000000000000001000100000000000000000001000100000000001100010000001001000110110010011000000000110011111111110000001001111111111100110000000000111111000000010011111100000000000001000000000000000000000000000000000000010000000000010000000010001000000000010100011001000010000000000001100000100010000000000100000001000000100000000010001000000000000000011000000100000001000100001100110000010000000000000000110000001000000010001000011001100000100000000000000000001000001000000100000000000000001000010000000000000000000000010000100000000000000000000100001000000000000000000000100001000000000000000000100001000000000000000000000000000000000000000000000000000000000000100000000000000000000000000000000011000000110001000000010001000011000000011000100010000000000000000001000000100000100000000000100000000000100001100100000000010000100000000000100000100000011000000000000000000000000000000000000000000000000000000000000000000000000000000000000000000000000010000000000001001000000000000000100000001010000000000000000000011000000100000010010000110011000001000000010100000000000000000000000000000000000100010000000000000000000000000010000000000000000000000000100000000000000000000000000010000000000\ns OPTIMUM FOUND\n</t>
  </si>
  <si>
    <t>c Parsing MaxSAT file...\nc ============================[  Problem Statistics ]============================\nc |  Number of variables:          6228                                         |\nc |  Number of clauses:           21133                                         |\nc ===============================================================================\nc Using SCIP solver, version 7.0.3, https://www.scipopt.org\nc scip_time = 0.000000\nc Starting SCIP solver in a separate thread (with time-limit = 0s) ...\nc Using COMiniSatPS SAT solver by Chanseok Oh (2016)\no 223\no 9\no 6\no 5\nc _x001B_[1mOptimal solution: 5_x001B_[0m\nc _______________________________________________________________________________\nc \nc restarts               : 1527\nc conflicts              : 105316         (1925 /sec)\nc decisions              : 539155         (0.00 % random) (9852 /sec)\nc propagations           : 121956515      (2228597 /sec)\nc conflict literals      : 11384365       (43.54 % deleted)\nc =======================[ UWrMaxSat resources usage ]===========================\nc Memory used            : 247.00 MB\nc CPU time               : 54.7235 s\nc Wall clock time        : 55 s\nc OptExp Enc: Srt/BDD/Add: 15 0 0\nc _______________________________________________________________________________\nv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111111111111111111111100000000001000101000100111110110001111010111100001010001001111101100011110101111000001001000000000000000000000000000000000000000110011100100111000000000000000000000000010010000100001100000000000010000000000011000100000000000000000000000000000001000000000000000000000000000000100100000010100000001100000101000010000000101000000011000000000111111111111111111111110000111111111111111111111100000100010001100000000001100001100000000001100100110000000001000100110100100101000010001100000000000010001101001001000000110000000000000100000101010010010000110000000000001000110100100000000000000000000000000000000000000000000000000000000000000011100111111111011110111110000000000000000000010000000010000000010000100000000000000000000000000000110000000001001000100000000000000000000000000000100000000000000000000001010001001111101100011110111011000000011010000110100000000000100000011000000000000010000010101001000000000000000000000000000000000000000001010010000000000000000000010010000000000000010000000000000000000100001100000000000001000001010100100010000010000101000000011000000010100001000011000000000001010000000110000000000000000000100000000001000000000010010000000000000000000000000000001000000001101000000010000000000000000000000000001000000000100000000000000000100000000000000000000000000000000000000000000000000000001010010000010001000001000000000000000000000000000000000000000000000000101100000000000000000000000000011101111111111111111110000000111001111111110111100111110011101111111110111100111110011101111111111111111111000011111111111111111111110000000101000101111101100111101110110000000010100010011111011000111101110110001010001001111101100011110111011000100111100100111001100111100001000101000100011100110110000001111010011011000010100010001110011011000000111101001101100000000000000000000000000000001001000100000000000000010010100010000100010001000000000010010000000100110001000000000000000000000000000000000000000000000000000100010001000100000000100011000100100010000000010001100010001000100000001001010000000000000000100101000000000000000000100101000000000000000010110000000000000000000000000000000000000000000001000000111111100111110001111111001111100000010000000000000100000000000000000000000000000000000000000011111111111111111111110100001000000111000000001000000010000000010110000000000000101100000000000000000000000011000000001001000000100001000010010000000000011000000000000000000000000111111111111101111111100000000000000000000000000000000000011100001110011111001111001111100111100100011111001111010100000001001100010000000000001001010001000000100101000100000000000000000000000000000000000000000000000001111011110101000000001\ns OPTIMUM FOUND\n</t>
  </si>
  <si>
    <t>c Parsing MaxSAT file...\nc ============================[  Problem Statistics ]============================\nc |  Number of variables:          7465                                         |\nc |  Number of clauses:           25577                                         |\nc ===============================================================================\nc Using SCIP solver, version 7.0.3, https://www.scipopt.org\nc scip_time = 0.000000\nc Starting SCIP solver in a separate thread (with time-limit = 0s) ...\nc Using COMiniSatPS SAT solver by Chanseok Oh (2016)\no 198\no 52\no 32\no 7\no 6\nc _x001B_[1mOptimal solution: 6_x001B_[0m\nc _______________________________________________________________________________\nc \nc restarts               : 3009\nc conflicts              : 428760         (1248 /sec)\nc decisions              : 1320892        (0.00 % random) (3845 /sec)\nc propagations           : 682546527      (1986808 /sec)\nc conflict literals      : 43920803       (59.46 % deleted)\nc =======================[ UWrMaxSat resources usage ]===========================\nc Memory used            : 341.00 MB\nc CPU time               : 343.539 s\nc Wall clock time        : 344 s\nc OptExp Enc: Srt/BDD/Add: 21 0 0\nc _______________________________________________________________________________\nv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1001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1110111111111111111110001111100000000100000000000000000000000000000000100000000100000010100000000000000000000001000100000000000000000010000000000000000000000000000000000001000000000000000000000100000000000000000000000000000000000000000000000000000001000100000100000000000000000000000000010000000000000000000001010000000010000000000111000010000000000001000111111000000111111100110000000000000000011000000000000000110000000000000000000000000000000000000000000000000000000000000000000000000001000000000010101101000000000000000000000100100000010100100000001110000100000000001001000000000000000001010000000100000000001110000010000000001000010000000000010010000001010010000000111000010000000000100100000000000000000000000000000000000000000000000000000000000000000000000100000010100011100000010010010000000000100000001000000000001000100001000001000000011000000001010000000000000000000011111111111111110000001000000001000000000000000000000000000000000000010001000000101001000000011100001000000000010010000000000000010101101000000000000000000000000000000000000000001000000000000000100000000000000000000000000000000000000000000001100011100010010000101101000000100101001000000000000001000100000010100010000000011100010000000000100101000000000000000000000000010000000000000000000000000000110001110001001000010110100000010010100100000000011001100000000000000000000000000000010000000100100000000000000000000000010000000000000000000000000000000000000000000100000001010011001000000000000000001000000101000000000000000000000000000000010100100010000011100000100000001000000000000000010001000000010001000000000000000001000000100010010110000000000000000010000010000010000000000000000100100000000000000000000000000000000000000000000101000000001000000000011101000100000000000010000000001010000000001000000000011101000100000000010000100000000010100000000010000000000111010001000000000000010000000000010100000000010000000000111010001000000000000100000000000101000000000001000100000000000000000000000000000000000000000001000000000010000000001000000000000000000000000000010000000000000000000000000000000000000000000000000000010000100000010000000001000010000000010001000000000000000000001000000000000100000000001100000001010000000000000000000000000001010000000001000000000011101000100000000000010000000100100000000000000000000000101000000000000010100000000100000000000000000000000000000000000000000000000000000001100000000010000001000100111100000010010000010000000010000000000000000000000000000000000000000000000000000000000000000000000000000010000000000000000000000000100000000000000000000000000010000000000000000000000000000100000000000011011111011111011110000110111111111101111000000011011111111111111000011011111111110111100000000000000000000000000000000000000000000001000100000010100100000000111100100000000001001010000000000000100010000001010010000000011110010000000000100101000000000000000000000000000000000000000000000000000111100110010000111100001100000000001010000000001000000000011101000100000000010000100000000000000000000100100001111110000000000000000000000000000000000000010000000000000000001000000010000000000010101110010101110000000011011100000000000000000000000001100000001010000001100000001000001100000011000000011000000000000000000000000000000000000000000000000000000000000000000000000000010010000000010010000000000000000000000000000000000000000000000111111111111111100000000000000000000000010000001000000000000000100000000000001000100000000000000000000000001110000000000000001000000000101011000000000000000000000010000000001010110000000000000000000001000100000000010000000000000001000000100010101100000000000000001000000001000000100010010110000000000000000000010000000000000000000000000000000000000000000000000100000100001000100000000000010000001000001000001000000000000000010000001010000000001100000010100000001000000101000000000000100000010000010001000000000000000000000000000001010110100000000000000000000000100000000000000000000000000000011111111111111110000000001010000000000010000100000001111111111111111000000000000000110111110111110111010000000000000000000000000000000100000000000000001111001100111100000011000000000000000000000000000000000100010000001010010000000111100010000000001001000000000010000000000010001000000101001000000011110001000000000010010000000000000010\ns OPTIMUM FOUND\n</t>
  </si>
  <si>
    <t>c Parsing MaxSAT file...\nc ============================[  Problem Statistics ]============================\nc |  Number of variables:          7325                                         |\nc |  Number of clauses:           25017                                         |\nc ===============================================================================\nc Using SCIP solver, version 7.0.3, https://www.scipopt.org\nc scip_time = 0.000000\nc Starting SCIP solver in a separate thread (with time-limit = 0s) ...\nc Using COMiniSatPS SAT solver by Chanseok Oh (2016)\no 229\no 10\no 9\no 6\nc _x001B_[1mOptimal solution: 6_x001B_[0m\nc _______________________________________________________________________________\nc \nc restarts               : 4024\nc conflicts              : 506594         (1121 /sec)\nc decisions              : 1711707        (0.00 % random) (3787 /sec)\nc propagations           : 767396547      (1697983 /sec)\nc conflict literals      : 54616222       (58.05 % deleted)\nc =======================[ UWrMaxSat resources usage ]===========================\nc Memory used            : 457.00 MB\nc CPU time               : 451.946 s\nc Wall clock time        : 453 s\nc OptExp Enc: Srt/BDD/Add: 21 0 0\nc _______________________________________________________________________________\nv 000000000000000000000000000000000000000000001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00000000000000000000000000000000000000000000000000001010000000010101100000001000010000000001000000000000000000000000000000000000001000000000000000000000000000010000000000000000000000000000010000000000000000100000000000001000000000100110000001000000000000000000000000000000000000100100100000000000000000000000000000100000110000000001010000000010101100000010001000000000000000000000001011110010000000000000000000000000000000000000000010010100000000000000000000001001001000000000000000000000000000000000000100000000000000000000001000000000000000000000000000000000000000000000000000000000000000000000000000000000000001000000010000000000000000010000000000101010000000100100000000000100000000001010100000010010000011111001111110010111011111110100011101111111000000000000000000000000000100000000000000000000000000000000000000000000000000000000000000000000000000000000000000000000001000000000000000000000000000000000000000000000100000100000000000000000000000000000000001000000000100110000001000000000000001000000001001100000001000000000000001000000000000000000000000000001010000000001010110000001000010000000000000000000010000000000101010000001001000000000000000100100100000000000000000000000000100100100000000000000001000000010000100000001010000100000001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10000000000000000000000000000000000000000000000000000000000000000000000000000000000000000000000000000000000000000000000001000000000000000000000000000000000000000000000001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1001000000000000000000000000000000000000000000000000000000000000000000000000000000000000000000000000000000000000000000000000000000000000000000000000000000000000000000000000000000000000000000000000000011101101011010000000000000000000110000000000110000000000000000001000000000110000000000000000000000000000000000000000000000010000100000000000000000100001000000000000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1011001110011001110110011000000000000000000000000000000000000000000000000000000000000000000000000000000000000000000000000000000000000000000000000000000000000000000000000000000000000000000000000000000000000000000000000000001001000000000000010100000000000000010000000000000000000000000000100100000000000001010000000000000000000100100000000000001010000000000000000000000000000000000000000000000000000000000000000000000000000000000000000000000000000000000000000000100000000000000000100000000000000000000000001000000000000000000000000001000000000000000000010001000000000000000000000000000000000000000000000000000000000000000011000000000000000000000000110000000000000000000000000000000000000000001000000000000000000000000000000000000000000000000000000000000000000000000000000000000000000000000000000000000000000000000000000000000000000000000000000000000000000000000000000000000000000000000000000000000000000001000000000000000000010010000000000000000000100000000000000000010010000000000000000000000000000000000000000000000000000000000000000000000000000000000000000100000000000000000100000000000000000000000000000000000001000000000000000000001000000010000000000000000000000000000000000000000000000000000000000000000000000000000000000000000000000000000000000000000000000000000000000000000000000000000000010010000000000000010100000000000000000100100000000000000101000000000000000001001000000000000001010000000000000000000001001000000000000010100000000000000100001000000000000000000000000000010000000000000000000000000000000000000000000000000000000000000000000000000000000000000000000000000000000000000000000000000001000000000000000000001000100000000000000000000000010000000000000000000000000000000000000001000000000000000000000000000000000000000000000100000000000000000001000100000000000000000000000000000000000000000000000000000000000100100000000000000100100000000000000000001001000000000000001001000000000000000000000000000001000000000000000000000000000000000000001000000000000000000000000000000000000000000000000000000000000000000000000000000000000000000000000000000000000000000000000000000000000000000000000000000000000000000000000000000000000000000000000110010000100001000011001110000000000000000000000001000000000000000001000000000000000000000000000000000000000000\ns OPTIMUM FOUND\n</t>
  </si>
  <si>
    <t>outfile: /home/ucapmwe/dist-benchmark/results/hyperbolic_surface_code-RG-3-8.txt-ColourCodeDistStim-20260106_160351.722527_85062422.txt</t>
  </si>
  <si>
    <t>dont_explore_detection_event_sets_with_size_above=3,dont_explore_edges_with_degree_above=3; Found w:2</t>
  </si>
  <si>
    <t>dont_explore_detection_event_sets_with_size_above=3,dont_explore_edges_with_degree_above=6; Found w:2</t>
  </si>
  <si>
    <t>dont_explore_detection_event_sets_with_size_above=3,dont_explore_edges_with_degree_above=12; Found w:3</t>
  </si>
  <si>
    <t>dont_explore_detection_event_sets_with_size_above=3,dont_explore_edges_with_degree_above=21; Found w:4</t>
  </si>
  <si>
    <t>dont_explore_detection_event_sets_with_size_above=3,dont_explore_edges_with_degree_above=21; Found w:3</t>
  </si>
  <si>
    <t>dont_explore_detection_event_sets_with_size_above=3,dont_explore_edges_with_degree_above=24; Found w:4</t>
  </si>
  <si>
    <t>dont_explore_detection_event_sets_with_size_above=3,dont_explore_edges_with_degree_above=42; Found w:4</t>
  </si>
  <si>
    <t>dont_explore_detection_event_sets_with_size_above=3,dont_explore_edges_with_degree_above=45; Found w:5</t>
  </si>
  <si>
    <t>dont_explore_detection_event_sets_with_size_above=3,dont_explore_edges_with_degree_above=63; Found w:4</t>
  </si>
  <si>
    <t>dont_explore_detection_event_sets_with_size_above=3,dont_explore_edges_with_degree_above=90; Found w:5</t>
  </si>
  <si>
    <t>dont_explore_detection_event_sets_with_size_above=3,dont_explore_edges_with_degree_above=96; Found w:4</t>
  </si>
  <si>
    <t>dont_explore_detection_event_sets_with_size_above=3,dont_explore_edges_with_degree_above=126; Found w:6</t>
  </si>
  <si>
    <t>dont_explore_detection_event_sets_with_size_above=3,dont_explore_edges_with_degree_above=135; Found w:5</t>
  </si>
  <si>
    <t>dont_explore_detection_event_sets_with_size_above=3,dont_explore_edges_with_degree_above=192; Found w:6</t>
  </si>
  <si>
    <t>dont_explore_detection_event_sets_with_size_above=3,dont_explore_edges_with_degree_above=252; Found w:6</t>
  </si>
  <si>
    <t>dont_explore_detection_event_sets_with_size_above=3,dont_explore_edges_with_degree_above=270; Found w:6</t>
  </si>
  <si>
    <t>dont_explore_detection_event_sets_with_size_above=3,dont_explore_edges_with_degree_above=270; Found w:5</t>
  </si>
  <si>
    <t>dont_explore_detection_event_sets_with_size_above=3,dont_explore_edges_with_degree_above=306; Found w:6</t>
  </si>
  <si>
    <t>outfile: /home/ucapmwe/dist-benchmark/results/hyperbolic_surface_code-RG-3-8.txt-decoderDist-bposd-20260106_160351.624089_85062422.txt</t>
  </si>
  <si>
    <t>Trial:0 w:3; pErr:0.0000, weight 3 CW found:1</t>
  </si>
  <si>
    <t>Trial:0 w:2; pErr:0.0000, weight 2 CW found:12</t>
  </si>
  <si>
    <t>Trial:0 w:3; pErr:0.0000, weight 3 CW found:118</t>
  </si>
  <si>
    <t>Trial:0 w:4; pErr:0.0000, weight 4 CW found:250</t>
  </si>
  <si>
    <t>Trial:0 w:3; pErr:0.0000, weight 3 CW found:77</t>
  </si>
  <si>
    <t>Trial:0 w:4; pErr:0.0000, weight 4 CW found:228</t>
  </si>
  <si>
    <t>Trial:0 w:4; pErr:0.0000, weight 4 CW found:477</t>
  </si>
  <si>
    <t>Trial:0 w:4; pErr:0.0000, weight 4 CW found:523</t>
  </si>
  <si>
    <t>Trial:0 w:5; pErr:0.0007, weight 5 CW found:1385</t>
  </si>
  <si>
    <t>Trial:0 w:4; pErr:0.0001, weight 4 CW found:1096</t>
  </si>
  <si>
    <t>Trial:0 w:6; Trial:2 w:5; pErr:0.0075, weight 5 CW found:2043</t>
  </si>
  <si>
    <t>Trial:0 w:6; pErr:0.0124, weight 6 CW found:2277</t>
  </si>
  <si>
    <t>Trial:0 w:6; pErr:0.0011, weight 6 CW found:1464</t>
  </si>
  <si>
    <t>Trial:0 w:6; Trial:1 w:5; pErr:0.0002, weight 5 CW found:1160</t>
  </si>
  <si>
    <t>Trial:0 w:6; pErr:0.0011, weight 6 CW found:1462</t>
  </si>
  <si>
    <t>Trial:0 w:6; pErr:0.1141, weight 6 CW found:4607</t>
  </si>
  <si>
    <t>Trial:0 w:7; Trial:1 w:6; pErr:0.0312, weight 6 CW found:2884</t>
  </si>
  <si>
    <t>Trial:0 w:6; Trial:2 w:5; pErr:0.0001, weight 5 CW found:1122</t>
  </si>
  <si>
    <t>Trial:0 w:6; pErr:0.0924, weight 6 CW found:4199</t>
  </si>
  <si>
    <t>Trial:0 w:6; pErr:0.0269, weight 6 CW found:2766</t>
  </si>
  <si>
    <t>outfile: /home/ucapmwe/dist-benchmark/results/hyperbolic_surface_code-RG-3-8.txt-dist_m4ri_RW-20260106_160351.721434_85062422.txt</t>
  </si>
  <si>
    <t># step=0 row=0 minW=7 found cw of W=2: [1 2]\n# round=1000 of 10000 minW=2\n# round=2000 of 10000 minW=2\n# round=3000 of 10000 minW=2\n# round=4000 of 10000 minW=2\n# round=5000 of 10000 minW=2\n# round=6000 of 10000 minW=2\n# round=7000 of 10000 minW=2\n# round=8000 of 10000 minW=2\n# round=9000 of 10000 minW=2\n# round=10000 of 10000 minW=2\nRW algorithm upper bound for the distance d=2\n</t>
  </si>
  <si>
    <t># step=0 row=0 minW=25 found cw of W=2: [1 2]\n# round=1000 of 10000 minW=2\n# round=2000 of 10000 minW=2\n# round=3000 of 10000 minW=2\n# round=4000 of 10000 minW=2\n# round=5000 of 10000 minW=2\n# round=6000 of 10000 minW=2\n# round=7000 of 10000 minW=2\n# round=8000 of 10000 minW=2\n# round=9000 of 10000 minW=2\n# round=10000 of 10000 minW=2\nRW algorithm upper bound for the distance d=2\n</t>
  </si>
  <si>
    <t># step=0 row=0 minW=49 found cw of W=5: [1 4 33 37 47]\n# step=0 row=2 minW=5 found cw of W=3: [3 34 37]\n# round=1000 of 10000 minW=3\n# round=2000 of 10000 minW=3\n# round=3000 of 10000 minW=3\n# round=4000 of 10000 minW=3\n# round=5000 of 10000 minW=3\n# round=6000 of 10000 minW=3\n# round=7000 of 10000 minW=3\n# round=8000 of 10000 minW=3\n# round=9000 of 10000 minW=3\n# round=10000 of 10000 minW=3\nRW algorithm upper bound for the distance d=3\n</t>
  </si>
  <si>
    <t># step=0 row=0 minW=85 found cw of W=5: [1 2 58 61 76]\n# step=0 row=3 minW=5 found cw of W=4: [5 29 58 82]\n# round=1000 of 10000 minW=4\n# round=2000 of 10000 minW=4\n# round=3000 of 10000 minW=4\n# round=4000 of 10000 minW=4\n# round=5000 of 10000 minW=4\n# round=6000 of 10000 minW=4\n# round=7000 of 10000 minW=4\n# round=8000 of 10000 minW=4\n# round=9000 of 10000 minW=4\n# round=10000 of 10000 minW=4\nRW algorithm upper bound for the distance d=4\n</t>
  </si>
  <si>
    <t># step=0 row=0 minW=85 found cw of W=6: [2 7 27 47 76 81]\n# step=0 row=2 minW=6 found cw of W=5: [1 4 59 67 74]\n# step=0 row=4 minW=5 found cw of W=4: [7 8 75 76]\n# step=0 row=6 minW=4 found cw of W=3: [10 11 12]\n# round=1000 of 10000 minW=3\n# round=2000 of 10000 minW=3\n# round=3000 of 10000 minW=3\n# round=4000 of 10000 minW=3\n# round=5000 of 10000 minW=3\n# round=6000 of 10000 minW=3\n# round=7000 of 10000 minW=3\n# round=8000 of 10000 minW=3\n# round=9000 of 10000 minW=3\n# round=10000 of 10000 minW=3\nRW algorithm upper bound for the distance d=3\n</t>
  </si>
  <si>
    <t># step=0 row=0 minW=97 found cw of W=10: [2 6 8 23 25 30 41 54 73 81]\n# step=0 row=2 minW=10 found cw of W=9: [1 4 37 41 45 53 54 68 81]\n# step=0 row=3 minW=9 found cw of W=8: [5 6 23 30 38 41 55 64]\n# step=0 row=7 minW=8 found cw of W=6: [6 12 23 30 38 64]\n# step=0 row=12 minW=6 found cw of W=5: [17 23 30 41 55]\n# step=0 row=23 minW=5 found cw of W=4: [31 37 54 68]\n# round=1000 of 10000 minW=4\n# round=2000 of 10000 minW=4\n# round=3000 of 10000 minW=4\n# round=4000 of 10000 minW=4\n# round=5000 of 10000 minW=4\n# round=6000 of 10000 minW=4\n# round=7000 of 10000 minW=4\n# round=8000 of 10000 minW=4\n# round=9000 of 10000 minW=4\n# round=10000 of 10000 minW=4\nRW algorithm upper bound for the distance d=4\n</t>
  </si>
  <si>
    <t># step=0 row=0 minW=169 found cw of W=13: [1 20 24 49 53 54 66 68 90 104 128 135 163]\n# step=0 row=4 minW=13 found cw of W=9: [5 38 40 54 66 85 141 163 166]\n# step=0 row=5 minW=9 found cw of W=8: [6 12 18 20 35 44 62 73]\n# step=0 row=10 minW=8 found cw of W=6: [11 12 18 35 54 62]\n# step=0 row=11 minW=6 found cw of W=5: [12 13 18 35 62]\n# step=0 row=46 minW=5 found cw of W=4: [25 61 104 163]\n# round=1000 of 10000 minW=4\n# round=2000 of 10000 minW=4\n# round=3000 of 10000 minW=4\n# round=4000 of 10000 minW=4\n# round=5000 of 10000 minW=4\n# round=6000 of 10000 minW=4\n# round=7000 of 10000 minW=4\n# round=8000 of 10000 minW=4\n# round=9000 of 10000 minW=4\n# round=10000 of 10000 minW=4\nRW algorithm upper bound for the distance d=4\n</t>
  </si>
  <si>
    <t># step=0 row=0 minW=169 found cw of W=11: [1 2 34 64 81 92 99 102 107 149 168]\n# step=0 row=1 minW=11 found cw of W=5: [3 22 28 37 44]\n# step=0 row=35 minW=5 found cw of W=4: [6 12 28 55]\n# round=1000 of 10000 minW=4\n# round=2000 of 10000 minW=4\n# round=3000 of 10000 minW=4\n# round=4000 of 10000 minW=4\n# round=5000 of 10000 minW=4\n# round=6000 of 10000 minW=4\n# round=7000 of 10000 minW=4\n# round=8000 of 10000 minW=4\n# round=9000 of 10000 minW=4\n# round=10000 of 10000 minW=4\nRW algorithm upper bound for the distance d=4\n</t>
  </si>
  <si>
    <t># step=0 row=0 minW=181 found cw of W=9: [1 29 44 46 62 90 131 154 162]\n# step=0 row=2 minW=9 found cw of W=8: [4 23 44 67 70 79 98 117]\n# step=0 row=6 minW=8 found cw of W=7: [10 17 62 83 98 146 162]\n# step=0 row=14 minW=7 found cw of W=6: [21 63 67 79 93 133]\n# step=0 row=18 minW=6 found cw of W=5: [26 67 75 79 117]\n# round=1000 of 10000 minW=5\n# round=2000 of 10000 minW=5\n# round=3000 of 10000 minW=5\n# round=4000 of 10000 minW=5\n# round=5000 of 10000 minW=5\n# round=6000 of 10000 minW=5\n# round=7000 of 10000 minW=5\n# round=8000 of 10000 minW=5\n# round=9000 of 10000 minW=5\n# round=10000 of 10000 minW=5\nRW algorithm upper bound for the distance d=5\n</t>
  </si>
  <si>
    <t># step=0 row=0 minW=253 found cw of W=16: [1 34 39 41 60 62 74 75 76 84 102 107 115 183 233 242]\n# step=0 row=2 minW=16 found cw of W=6: [4 99 113 120 131 151]\n# step=0 row=36 minW=6 found cw of W=5: [44 113 120 131 151]\n# step=0 row=113 minW=5 found cw of W=4: [41 107 155 167]\n# round=1000 of 10000 minW=4\n# round=2000 of 10000 minW=4\n# round=3000 of 10000 minW=4\n# round=4000 of 10000 minW=4\n# round=5000 of 10000 minW=4\n# round=6000 of 10000 minW=4\n# round=7000 of 10000 minW=4\n# round=8000 of 10000 minW=4\n# round=9000 of 10000 minW=4\n# round=10000 of 10000 minW=4\nRW algorithm upper bound for the distance d=4\n</t>
  </si>
  <si>
    <t># step=0 row=0 minW=361 found cw of W=18: [4 36 46 47 50 78 98 105 155 190 191 230 258 287 298 341 344 350]\n# step=0 row=2 minW=18 found cw of W=11: [3 6 55 56 130 187 216 223 242 275 338]\n# step=0 row=3 minW=11 found cw of W=10: [7 47 190 208 211 219 258 278 288 324]\n# step=0 row=4 minW=10 found cw of W=7: [9 15 21 130 164 205 298]\n# step=0 row=13 minW=7 found cw of W=6: [20 61 105 145 230 263]\n# step=2 row=100 minW=6 found cw of W=5: [134 141 231 304 357]\n# round=1000 of 10000 minW=5\n# round=2000 of 10000 minW=5\n# round=3000 of 10000 minW=5\n# round=4000 of 10000 minW=5\n# round=5000 of 10000 minW=5\n# round=6000 of 10000 minW=5\n# round=7000 of 10000 minW=5\n# round=8000 of 10000 minW=5\n# round=9000 of 10000 minW=5\n# round=10000 of 10000 minW=5\nRW algorithm upper bound for the distance d=5\n</t>
  </si>
  <si>
    <t># step=0 row=0 minW=385 found cw of W=11: [1 4 28 88 108 113 118 145 161 290 327]\n# step=0 row=3 minW=11 found cw of W=7: [6 40 46 145 161 370 371]\n# step=0 row=17 minW=7 found cw of W=6: [25 74 82 154 177 190]\n# step=0 row=22 minW=6 found cw of W=4: [31 107 119 286]\n# round=1000 of 10000 minW=4\n# round=2000 of 10000 minW=4\n# round=3000 of 10000 minW=4\n# round=4000 of 10000 minW=4\n# round=5000 of 10000 minW=4\n# round=6000 of 10000 minW=4\n# round=7000 of 10000 minW=4\n# round=8000 of 10000 minW=4\n# round=9000 of 10000 minW=4\n# round=10000 of 10000 minW=4\nRW algorithm upper bound for the distance d=4\n</t>
  </si>
  <si>
    <t># step=0 row=0 minW=505 found cw of W=13: [2 16 34 36 45 118 161 298 359 365 405 421 442]\n# step=0 row=1 minW=13 found cw of W=8: [3 101 200 316 368 385 461 484]\n# step=0 row=10 minW=8 found cw of W=7: [14 20 112 158 167 300 455]\n# step=0 row=142 minW=7 found cw of W=6: [36 78 192 238 359 405]\n#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</si>
  <si>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minW=505 found cw of W=15: [1 74 99 171 177 191 291 311 343 359 412 429 479 492 494]\n# step=0 row=2 minW=15 found cw of W=8: [4 74 75 94 343 428 479 492]\n# step=0 row=22 minW=8 found cw of W=7: [34 187 203 270 374 430 468]\n# step=0 row=43 minW=7 found cw of W=6: [7 62 210 311 343 479]\n#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</si>
  <si>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row=1 minW=541 found cw of W=13: [4 93 135 146 148 150 209 236 259 328 403 442 510]\n# step=0 row=4 minW=13 found cw of W=7: [10 63 65 148 278 496 510]\n# step=0 row=51 minW=7 found cw of W=6: [58 71 85 208 253 540]\n# step=0 row=79 minW=6 found cw of W=5: [113 116 236 376 488]\n# round=1000 of 10000 minW=5\n# round=2000 of 10000 minW=5\n# round=3000 of 10000 minW=5\n# round=4000 of 10000 minW=5\n# round=5000 of 10000 minW=5\n# round=6000 of 10000 minW=5\n# round=7000 of 10000 minW=5\n# round=8000 of 10000 minW=5\n# round=9000 of 10000 minW=5\n# round=10000 of 10000 minW=5\nRW algorithm upper bound for the distance d=5\n</t>
  </si>
  <si>
    <t># step=0 row=0 minW=769 found cw of W=10: [1 104 190 231 322 325 347 375 538 752]\n# step=0 row=46 minW=10 found cw of W=9: [61 203 208 303 328 329 470 535 613]\n# step=0 row=58 minW=9 found cw of W=7: [76 190 322 325 347 538 752]\n# step=1 row=41 minW=7 found cw of W=6: [58 246 310 354 586 683]\n#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</si>
  <si>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minW=1009 found cw of W=24: [2 71 74 112 250 252 353 497 547 598 622 624 672 744 755 773 800 849 851 882 898 953 960 976]\n# step=0 row=1 minW=24 found cw of W=14: [3 163 232 288 310 318 360 471 606 693 715 802 890 965]\n# step=0 row=3 minW=14 found cw of W=8: [5 222 232 310 447 512 816 852]\n# step=0 row=22 minW=8 found cw of W=7: [1 32 238 392 545 741 800]\n# step=0 row=99 minW=7 found cw of W=6: [133 288 725 941 960 963]\n#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</si>
  <si>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minW=1081 found cw of W=18: [1 301 422 430 460 548 613 639 642 644 764 775 791 832 946 957 1004 1015]\n# step=0 row=4 minW=18 found cw of W=13: [7 68 139 213 268 378 587 646 754 758 784 813 941]\n# step=0 row=7 minW=13 found cw of W=10: [14 300 505 521 620 704 763 817 840 970]\n# step=0 row=12 minW=10 found cw of W=9: [19 43 83 236 347 408 542 620 1013]\n# step=0 row=27 minW=9 found cw of W=8: [29 36 211 321 370 553 795 801]\n# step=0 row=75 minW=8 found cw of W=7: [101 299 349 392 592 709 900]\n# step=0 row=635 minW=7 found cw of W=6: [188 259 470 639 861 949]\n#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</si>
  <si>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minW=1081 found cw of W=39: [1 13 39 41 105 155 163 171 213 235 277 288 316 320 381 427 496 498 546 564 592 629 633 636 672 688 694 697 781 832 841 913 925 946 985 988 1029 1059 1073]\n# step=0 row=1 minW=39 found cw of W=18: [2 54 83 163 171 180 239 316 480 496 564 613 687 700 745 822 988 1059]\n# step=0 row=5 minW=18 found cw of W=14: [6 39 155 191 320 474 592 636 697 832 946 985 1029 1073]\n# step=0 row=20 minW=14 found cw of W=6: [31 155 320 946 985 1029]\n# step=0 row=23 minW=6 found cw of W=5: [34 54 83 231 439]\n# round=1000 of 10000 minW=5\n# round=2000 of 10000 minW=5\n# round=3000 of 10000 minW=5\n# round=4000 of 10000 minW=5\n# round=5000 of 10000 minW=5\n# round=6000 of 10000 minW=5\n# round=7000 of 10000 minW=5\n# round=8000 of 10000 minW=5\n# round=9000 of 10000 minW=5\n# round=10000 of 10000 minW=5\nRW algorithm upper bound for the distance d=5\n</t>
  </si>
  <si>
    <t># step=0 row=0 minW=1225 found cw of W=30: [1 101 102 120 216 306 359 412 478 489 538 545 564 601 618 657 686 766 840 915 947 974 988 1080 1084 1130 1134 1155 1213 1224]\n# step=0 row=1 minW=30 found cw of W=19: [2 104 128 168 209 277 310 323 445 498 503 587 623 641 672 773 856 919 983]\n# step=0 row=4 minW=19 found cw of W=9: [7 38 306 681 734 766 894 960 974]\n# step=0 row=140 minW=9 found cw of W=7: [58 199 277 439 1139 1198 1201]\n# step=0 row=404 minW=7 found cw of W=6: [58 277 439 555 1139 1201]\n#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</si>
  <si>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minW=1225 found cw of W=24: [1 101 345 354 388 431 506 518 581 613 618 634 644 706 808 824 883 943 1027 1062 1103 1116 1132 1153]\n# step=0 row=1 minW=24 found cw of W=22: [2 75 95 183 189 190 238 262 279 335 357 424 485 583 600 763 871 925 939 1003 1011 1182]\n# step=0 row=4 minW=22 found cw of W=6: [6 135 311 447 689 1065]\n#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</si>
  <si>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outfile: /home/ucapmwe/dist-benchmark/results/hyperbolic_surface_code-RG-3-8.txt-GraphLikeErrorStim-20260106_160351.615982_85062422.txt</t>
  </si>
  <si>
    <t>dont_explore_detection_event_sets_with_size_above=2,dont_explore_edges_with_degree_above=2; Found w:2</t>
  </si>
  <si>
    <t>dont_explore_detection_event_sets_with_size_above=2,dont_explore_edges_with_degree_above=2; Found w:4</t>
  </si>
  <si>
    <t>dont_explore_detection_event_sets_with_size_above=2,dont_explore_edges_with_degree_above=2; Found w:5</t>
  </si>
  <si>
    <t>outfile: /home/ucapmwe/dist-benchmark/results/hyperbolic_surface_code-RG-3-8.txt-GurobiDist-20260106_160351.722477_85062422.txt</t>
  </si>
  <si>
    <t>outfile: /home/ucapmwe/dist-benchmark/results/hyperbolic_surface_code-RG-3-8.txt-MIPDist-SCIP-20260106_160351.723597_85062422.txt</t>
  </si>
  <si>
    <t>w:2; T:5ms; iterations:7</t>
  </si>
  <si>
    <t>w:2; T:23ms; iterations:13</t>
  </si>
  <si>
    <t>w:3; T:286ms; iterations:1541</t>
  </si>
  <si>
    <t>w:4; T:398ms; iterations:2032</t>
  </si>
  <si>
    <t>w:3; T:508ms; iterations:1698</t>
  </si>
  <si>
    <t>w:4; T:464ms; iterations:1625</t>
  </si>
  <si>
    <t>w:4; T:1005ms; iterations:3723</t>
  </si>
  <si>
    <t>w:4; T:753ms; iterations:2645</t>
  </si>
  <si>
    <t>w:5; T:10109ms; iterations:64022</t>
  </si>
  <si>
    <t>w:4; T:2104ms; iterations:7328</t>
  </si>
  <si>
    <t>w:5; T:27522ms; iterations:98048</t>
  </si>
  <si>
    <t>w:4; T:3496ms; iterations:7539</t>
  </si>
  <si>
    <t>w:6; T:293293ms; iterations:980025</t>
  </si>
  <si>
    <t>w:6; T:297867ms; iterations:832038</t>
  </si>
  <si>
    <t>w:5; T:69410ms; iterations:236288</t>
  </si>
  <si>
    <t>w:6; T:497862ms; iterations:1160132</t>
  </si>
  <si>
    <t>w:6; T:1662963ms; iterations:4142627</t>
  </si>
  <si>
    <t>w:6; T:1982208ms; iterations:3608570</t>
  </si>
  <si>
    <t>w:5; T:310281ms; iterations:803057</t>
  </si>
  <si>
    <t>w:6; T:1940930ms; iterations:3645908</t>
  </si>
  <si>
    <t>w:6; T:1619651ms; iterations:2730066</t>
  </si>
  <si>
    <t>outfile: /home/ucapmwe/dist-benchmark/results/hyperbolic_surface_code-RG-3-8.txt-QDistRndMW-20260106_160351.723735_85062422.txt</t>
  </si>
  <si>
    <t>Trial:0 w:2; pErr:0.0000, weight 2 CW found:3</t>
  </si>
  <si>
    <t>Trial:0 w:3; pErr:0.0000, weight 3 CW found:191</t>
  </si>
  <si>
    <t>Trial:0 w:4; pErr:0.0000, weight 4 CW found:231</t>
  </si>
  <si>
    <t>Trial:0 w:3; pErr:0.0000, weight 3 CW found:113</t>
  </si>
  <si>
    <t>Trial:0 w:4; pErr:0.0000, weight 4 CW found:289</t>
  </si>
  <si>
    <t>Trial:0 w:4; pErr:0.0000, weight 4 CW found:992</t>
  </si>
  <si>
    <t>Trial:0 w:4; pErr:0.0000, weight 4 CW found:959</t>
  </si>
  <si>
    <t>Trial:0 w:5; pErr:0.0000, weight 5 CW found:1027</t>
  </si>
  <si>
    <t>Trial:0 w:4; pErr:0.0000, weight 4 CW found:746</t>
  </si>
  <si>
    <t>Trial:0 w:6; Trial:1 w:5; pErr:0.0009, weight 5 CW found:4444</t>
  </si>
  <si>
    <t>Trial:0 w:4; pErr:0.0000, weight 4 CW found:582</t>
  </si>
  <si>
    <t>Trial:0 w:6; pErr:0.0000, weight 6 CW found:3741</t>
  </si>
  <si>
    <t>Trial:0 w:6; pErr:0.0000, weight 6 CW found:3737</t>
  </si>
  <si>
    <t>Trial:0 w:5; pErr:0.0000, weight 5 CW found:2932</t>
  </si>
  <si>
    <t>Trial:0 w:6; pErr:0.0403, weight 6 CW found:7707</t>
  </si>
  <si>
    <t>Trial:0 w:6; pErr:0.0533, weight 6 CW found:8741</t>
  </si>
  <si>
    <t>Trial:0 w:6; pErr:0.0091, weight 6 CW found:5881</t>
  </si>
  <si>
    <t>Trial:0 w:5; pErr:0.0000, weight 5 CW found:2139</t>
  </si>
  <si>
    <t>Trial:0 w:6; pErr:0.0232, weight 6 CW found:6406</t>
  </si>
  <si>
    <t>Trial:0 w:6; pErr:0.0000, weight 6 CW found:3584</t>
  </si>
  <si>
    <t>outfile: /home/ucapmwe/dist-benchmark/results/hyperbolic_surface_code-RG-3-8.txt-UndetectableErrorStim-20260106_160351.723693_85062422.txt</t>
  </si>
  <si>
    <t>dont_explore_detection_event_sets_with_size_above=2,dont_explore_edges_with_degree_above=3; Found w:2; dont_explore_detection_event_sets_with_size_above=3,dont_explore_edges_with_degree_above=3; Found w:2; Breaking - same result 2 times</t>
  </si>
  <si>
    <t>dont_explore_detection_event_sets_with_size_above=2,dont_explore_edges_with_degree_above=6; Found w:2; dont_explore_detection_event_sets_with_size_above=3,dont_explore_edges_with_degree_above=6; Found w:2; Breaking - same result 2 times</t>
  </si>
  <si>
    <t>dont_explore_detection_event_sets_with_size_above=2,dont_explore_edges_with_degree_above=12; Found w:3; dont_explore_detection_event_sets_with_size_above=3,dont_explore_edges_with_degree_above=12; Found w:3; Breaking - same result 2 times</t>
  </si>
  <si>
    <t>dont_explore_detection_event_sets_with_size_above=2,dont_explore_edges_with_degree_above=21; Found w:4; dont_explore_detection_event_sets_with_size_above=3,dont_explore_edges_with_degree_above=21; Found w:4; Breaking - same result 2 times</t>
  </si>
  <si>
    <t>dont_explore_detection_event_sets_with_size_above=2,dont_explore_edges_with_degree_above=21; Found w:3; dont_explore_detection_event_sets_with_size_above=3,dont_explore_edges_with_degree_above=21; Found w:3; Breaking - same result 2 times</t>
  </si>
  <si>
    <t>dont_explore_detection_event_sets_with_size_above=2,dont_explore_edges_with_degree_above=24; Found w:4; dont_explore_detection_event_sets_with_size_above=3,dont_explore_edges_with_degree_above=24; Found w:4; Breaking - same result 2 times</t>
  </si>
  <si>
    <t>dont_explore_detection_event_sets_with_size_above=2,dont_explore_edges_with_degree_above=42; Found w:4; dont_explore_detection_event_sets_with_size_above=3,dont_explore_edges_with_degree_above=42; Found w:4; Breaking - same result 2 times</t>
  </si>
  <si>
    <t>dont_explore_detection_event_sets_with_size_above=2,dont_explore_edges_with_degree_above=45; Found w:5; dont_explore_detection_event_sets_with_size_above=3,dont_explore_edges_with_degree_above=45; Found w:5; Breaking - same result 2 times</t>
  </si>
  <si>
    <t>dont_explore_detection_event_sets_with_size_above=2,dont_explore_edges_with_degree_above=63; Found w:4; dont_explore_detection_event_sets_with_size_above=3,dont_explore_edges_with_degree_above=63; Found w:4; Breaking - same result 2 times</t>
  </si>
  <si>
    <t>dont_explore_detection_event_sets_with_size_above=2,dont_explore_edges_with_degree_above=90; Found w:5; dont_explore_detection_event_sets_with_size_above=3,dont_explore_edges_with_degree_above=90; Found w:5; Breaking - same result 2 times</t>
  </si>
  <si>
    <t>dont_explore_detection_event_sets_with_size_above=2,dont_explore_edges_with_degree_above=96; Found w:4; dont_explore_detection_event_sets_with_size_above=3,dont_explore_edges_with_degree_above=96; Found w:4; Breaking - same result 2 times</t>
  </si>
  <si>
    <t>dont_explore_detection_event_sets_with_size_above=2,dont_explore_edges_with_degree_above=126; Found w:6; dont_explore_detection_event_sets_with_size_above=3,dont_explore_edges_with_degree_above=126; Found w:6; Breaking - same result 2 times</t>
  </si>
  <si>
    <t>dont_explore_detection_event_sets_with_size_above=2,dont_explore_edges_with_degree_above=135; Found w:5; dont_explore_detection_event_sets_with_size_above=3,dont_explore_edges_with_degree_above=135; Found w:5; Breaking - same result 2 times</t>
  </si>
  <si>
    <t>dont_explore_detection_event_sets_with_size_above=2,dont_explore_edges_with_degree_above=192; Found w:6; dont_explore_detection_event_sets_with_size_above=3,dont_explore_edges_with_degree_above=192; Found w:6; Breaking - same result 2 times</t>
  </si>
  <si>
    <t>dont_explore_detection_event_sets_with_size_above=2,dont_explore_edges_with_degree_above=252; Found w:6; dont_explore_detection_event_sets_with_size_above=3,dont_explore_edges_with_degree_above=252; Found w:6; Breaking - same result 2 times</t>
  </si>
  <si>
    <t>dont_explore_detection_event_sets_with_size_above=2,dont_explore_edges_with_degree_above=270; Found w:6; dont_explore_detection_event_sets_with_size_above=3,dont_explore_edges_with_degree_above=270; Found w:6; Breaking - same result 2 times</t>
  </si>
  <si>
    <t>dont_explore_detection_event_sets_with_size_above=2,dont_explore_edges_with_degree_above=270; Found w:5; dont_explore_detection_event_sets_with_size_above=3,dont_explore_edges_with_degree_above=270; Found w:5; Breaking - same result 2 times</t>
  </si>
  <si>
    <t>dont_explore_detection_event_sets_with_size_above=2,dont_explore_edges_with_degree_above=306; Found w:6; dont_explore_detection_event_sets_with_size_above=3,dont_explore_edges_with_degree_above=306; Found w:6; Breaking - same result 2 times</t>
  </si>
  <si>
    <t>outfile: /home/ucapmwe/dist-benchmark/results/hyperbolic_surface_code-RG-3-8.txt-dist_m4ri_CC-20260107_140325.374350_85062422.txt</t>
  </si>
  <si>
    <t># wmax=99 found cw of weight 2: [0 1]\n2\n</t>
  </si>
  <si>
    <t># wmax=99 found cw of weight 3: [0 2 35]\n3\n</t>
  </si>
  <si>
    <t># wmax=99 found cw of weight 4: [0 39 73 75]\n4\n</t>
  </si>
  <si>
    <t># wmax=99 found cw of weight 3: [0 1 2]\n3\n</t>
  </si>
  <si>
    <t># wmax=99 found cw of weight 4: [0 3 22 25]\n4\n</t>
  </si>
  <si>
    <t># wmax=99 found cw of weight 4: [0 30 32 48]\n4\n</t>
  </si>
  <si>
    <t># wmax=99 found cw of weight 4: [0 26 43 53]\n4\n</t>
  </si>
  <si>
    <t># wmax=99 found cw of weight 5: [0 17 35 36 57]\n5\n</t>
  </si>
  <si>
    <t># wmax=99 found cw of weight 4: [0 117 219 225]\n4\n</t>
  </si>
  <si>
    <t># wmax=99 found cw of weight 5: [0 107 171 177 334]\n5\n</t>
  </si>
  <si>
    <t># wmax=99 found cw of weight 4: [0 3 48 181]\n4\n</t>
  </si>
  <si>
    <t># wmax=99 found cw of weight 6: [0 2 85 87 126 128]\n6\n</t>
  </si>
  <si>
    <t># wmax=99 found cw of weight 6: [0 1 2 21 22 23]\n6\n</t>
  </si>
  <si>
    <t># wmax=99 found cw of weight 5: [0 107 164 171 429]\n5\n</t>
  </si>
  <si>
    <t># wmax=99 found cw of weight 6: [0 103 353 376 639 717]\n6\n</t>
  </si>
  <si>
    <t># wmax=99 found cw of weight 6: [0 544 563 566 791 832]\n6\n</t>
  </si>
  <si>
    <t># wmax=99 found cw of weight 6: [0 283 454 484 808 936]\n6\n</t>
  </si>
  <si>
    <t># wmax=99 found cw of weight 5: [0 122 205 213 651]\n5\n</t>
  </si>
  <si>
    <t># wmax=99 found cw of weight 6: [0 171 323 1020 1123 1188]\n6\n</t>
  </si>
  <si>
    <t># wmax=99 found cw of weight 6: [0 202 388 427 514 720]\n6\n</t>
  </si>
  <si>
    <t>method: QDistEvol</t>
  </si>
  <si>
    <t>outfile: /home/ucapmwe/dist-benchmark/results/hyperbolic_surface_code-RG-3-8.txt-QDistEvol-20260107_140323.552283_85062422.txt</t>
  </si>
  <si>
    <t>Gen:0 Trial:0 w:2; pErr:0.0000, weight 2 CW found:3</t>
  </si>
  <si>
    <t>Gen:0 Trial:0 w:2; pErr:0.0000, weight 2 CW found:12</t>
  </si>
  <si>
    <t>Gen:0 Trial:0 w:3; pErr:0.0000, weight 3 CW found:109</t>
  </si>
  <si>
    <t>Gen:0 Trial:0 w:4; pErr:0.0000, weight 4 CW found:259</t>
  </si>
  <si>
    <t>Gen:0 Trial:0 w:3; pErr:0.0000, weight 3 CW found:114</t>
  </si>
  <si>
    <t>Gen:0 Trial:0 w:4; pErr:0.0000, weight 4 CW found:233</t>
  </si>
  <si>
    <t>Gen:0 Trial:0 w:4; pErr:0.0000, weight 4 CW found:896</t>
  </si>
  <si>
    <t>Gen:0 Trial:0 w:4; pErr:0.0000, weight 4 CW found:910</t>
  </si>
  <si>
    <t>Gen:0 Trial:0 w:5; pErr:0.0000, weight 5 CW found:964</t>
  </si>
  <si>
    <t>Gen:0 Trial:0 w:5; Trial:1 w:4; pErr:0.0000, weight 4 CW found:778</t>
  </si>
  <si>
    <t>Gen:0 Trial:0 w:5; pErr:0.0009, weight 5 CW found:4395</t>
  </si>
  <si>
    <t>Gen:0 Trial:0 w:4; pErr:0.0000, weight 4 CW found:570</t>
  </si>
  <si>
    <t>Gen:0 Trial:0 w:6; pErr:0.0000, weight 6 CW found:3746</t>
  </si>
  <si>
    <t>Gen:0 Trial:0 w:6; pErr:0.0000, weight 6 CW found:3518</t>
  </si>
  <si>
    <t>Gen:0 Trial:0 w:5; pErr:0.0000, weight 5 CW found:2896</t>
  </si>
  <si>
    <t>Gen:0 Trial:0 w:7; Trial:1 w:6; pErr:0.0333, weight 6 CW found:7315</t>
  </si>
  <si>
    <t>Gen:0 Trial:0 w:7; Trial:1 w:6; pErr:0.0485, weight 6 CW found:8529</t>
  </si>
  <si>
    <t>Gen:0 Trial:0 w:7; Trial:1 w:6; pErr:0.0068, weight 6 CW found:5629</t>
  </si>
  <si>
    <t>Gen:0 Trial:0 w:5; pErr:0.0000, weight 5 CW found:1959</t>
  </si>
  <si>
    <t>Gen:0 Trial:0 w:6; pErr:0.0215, weight 6 CW found:6293</t>
  </si>
  <si>
    <t>Gen:0 Trial:0 w:6; pErr:0.0000, weight 6 CW found:3419</t>
  </si>
  <si>
    <t>0.13064437499269843</t>
  </si>
  <si>
    <t>0.11117037496296689</t>
  </si>
  <si>
    <t xml:space="preserve">Magma V2.28-26    Tue Jan  6 2026 16:15:35 on Marks-MacBook-Air-2 [Seed = \n3213616011]\nType ? for help.  Type &lt;Ctrl&gt;-D to quit.\n[1 0 0 0 0 0 0 0 0 0 1 0 0 0 0 0 0 0 0 0 0 0 0 0 0 0 0 0 0 0 0 0 0 0 0 0 0 1 0 1\n    0 0 0 0 0 1 0 0 0 0 0 0 0 0 0 0 0 0 0 </t>
  </si>
  <si>
    <t>0.11268312501488253</t>
  </si>
  <si>
    <t xml:space="preserve">Magma V2.28-26    Tue Jan  6 2026 16:15:35 on Marks-MacBook-Air-2 [Seed = \n2710961557]\nType ? for help.  Type &lt;Ctrl&gt;-D to quit.\n[1 1 0 0 0 0 0 0 0 0 0 0 0 0 0 0 0 0 0 0 0 0 0 0 0 0 0 0 0 0 0 0 0 0 0 0 0 0 0 1\n    1 0 0 0 0 0 0 0 0 0 0 0 0 0 0 0 0 0 0 </t>
  </si>
  <si>
    <t>0.13686404202599078</t>
  </si>
  <si>
    <t xml:space="preserve">Magma V2.28-26    Tue Jan  6 2026 16:15:35 on Marks-MacBook-Air-2 [Seed = \n2879387551]\nType ? for help.  Type &lt;Ctrl&gt;-D to quit.\n[1 0 1 0 0 0 0 0 0 0 0 0 0 0 0 0 0 0 0 0 0 0 0 0 0 1 0 0 0 0 0 0 0 0 0 0 0 0 0 0\n    0 0 0 0 0 1 0 0 0 0 0 0 1 0 0 0 1 0 1 </t>
  </si>
  <si>
    <t>0.27104474999941885</t>
  </si>
  <si>
    <t xml:space="preserve">Magma V2.28-26    Tue Jan  6 2026 16:15:35 on Marks-MacBook-Air-2 [Seed = \n2912547225]\nType ? for help.  Type &lt;Ctrl&gt;-D to quit.\n[1 0 0 1 0 0 0 0 0 0 0 0 0 0 0 0 0 0 1 0 1 0 0 0 0 0 0 0 0 0 0 0 1 0 0 0 0 0 1 0\n    0 0 0 0 0 1 0 0 0 0 0 0 1 0 0 0 0 0 0 </t>
  </si>
  <si>
    <t>0.2316265829722397</t>
  </si>
  <si>
    <t xml:space="preserve">Magma V2.28-26    Tue Jan  6 2026 16:15:36 on Marks-MacBook-Air-2 [Seed = \n3622013932]\nType ? for help.  Type &lt;Ctrl&gt;-D to quit.\n[1 0 0 1 0 0 0 0 0 0 0 0 0 0 0 0 0 0 0 0 0 0 0 0 0 0 0 0 1 0 0 0 0 0 0 0 0 0 0 0\n    0 1 0 0 0 0 0 0 0 0 0 0 0 1 0 0 0 0 0 </t>
  </si>
  <si>
    <t>2.3924055420211516</t>
  </si>
  <si>
    <t xml:space="preserve">Magma V2.28-26    Tue Jan  6 2026 16:15:36 on Marks-MacBook-Air-2 [Seed = \n3656222178]\nType ? for help.  Type &lt;Ctrl&gt;-D to quit.\n[1 0 0 0 0 0 0 0 0 0 0 1 0 0 0 0 0 0 0 0 0 0 0 0 0 0 0 0 0 0 0 0 0 0 0 1 0 0 0 0\n    1 0 0 0 0 0 0 0 0 0 0 0 0 0 0 0 0 0 0 </t>
  </si>
  <si>
    <t xml:space="preserve">Magma V2.28-26    Tue Jan  6 2026 16:15:38 on Marks-MacBook-Air-2 [Seed = \n3354631166]\nType ? for help.  Type &lt;Ctrl&gt;-D to quit.\n[1 0 0 0 0 0 0 0 0 0 0 0 0 0 0 0 0 0 0 0 0 0 0 0 0 0 0 0 0 0 0 1 0 0 0 0 0 0 0 0\n    0 0 0 0 0 0 0 0 0 0 0 0 0 0 0 0 0 0 0 </t>
  </si>
  <si>
    <t>58.119924457976595</t>
  </si>
  <si>
    <t xml:space="preserve">Magma V2.28-26    Tue Jan  6 2026 16:15:39 on Marks-MacBook-Air-2 [Seed = \n3371996400]\nType ? for help.  Type &lt;Ctrl&gt;-D to quit.\n[1 0 0 0 0 0 0 0 0 0 0 0 0 0 0 0 0 0 0 0 0 0 0 0 0 0 0 0 0 0 0 0 0 0 0 0 0 0 0 0\n    0 0 0 0 0 0 0 0 0 0 0 0 0 0 0 0 0 0 0 </t>
  </si>
  <si>
    <t>1.8373009589849971</t>
  </si>
  <si>
    <t>Magma V2.28-26    Tue Jan  6 2026 16:16:37 on Marks-MacBook-Air-2 [Seed = \n756642138]\nType ? for help.  Type &lt;Ctrl&gt;-D to quit.\n[1 0 0 0 0 0 0 0 0 0 0 0 0 0 0 0 0 0 0 0 0 0 0 0 0 0 0 0 0 0 0 0 0 0 1 0 0 0 0 0\n    0 0 0 0 0 0 0 0 0 0 0 0 0 0 0 0 0 0 0 0</t>
  </si>
  <si>
    <t>28800.111147916003</t>
  </si>
  <si>
    <t xml:space="preserve">Magma V2.28-26    Tue Jan  6 2026 16:16:39 on Marks-MacBook-Air-2 [Seed = \n1600848682]\nType ? for help.  Type &lt;Ctrl&gt;-D to quit.\n[1 0 0 0 0 0 0 0 0 0 0 0 0 0 0 0 0 0 0 0 0 0 0 0 0 0 0 0 0 0 0 0 0 0 0 0 0 0 0 0\n    0 0 0 0 0 0 0 0 0 0 0 0 0 0 0 0 0 0 0 </t>
  </si>
  <si>
    <t>28800.217870833992</t>
  </si>
  <si>
    <t xml:space="preserve">Magma V2.28-26    Wed Jan  7 2026 00:24:43 on Marks-MacBook-Air-2 [Seed = \n2611958853]\nType ? for help.  Type &lt;Ctrl&gt;-D to quit.\n[1 0 0 0 0 0 0 0 0 0 0 0 0 0 0 0 0 0 0 0 0 0 1 0 0 0 0 0 0 0 0 0 0 0 0 0 0 0 0 0\n    0 0 0 0 0 0 0 0 0 0 0 0 0 0 0 0 0 0 0 </t>
  </si>
  <si>
    <t>1149.0155778750195</t>
  </si>
  <si>
    <t xml:space="preserve">Magma V2.28-26    Wed Jan  7 2026 08:57:43 on eduroam-int-dhcp-97-178-230 [Seed \n= 4106468805]\nType ? for help.  Type &lt;Ctrl&gt;-D to quit.\n[1 0 0 0 0 0 0 0 0 0 0 0 0 0 0 0 0 0 0 0 0 0 0 0 0 0 0 0 0 0 0 0 0 0 0 0 0 0 0 0\n    0 0 0 0 0 0 0 0 0 0 0 0 0 0 0 </t>
  </si>
  <si>
    <t>28800.211812832997</t>
  </si>
  <si>
    <t>Magma V2.28-26    Wed Jan  7 2026 16:33:25 on Marks-MacBook-Air-2 [Seed = \n605276106]\nType ? for help.  Type &lt;Ctrl&gt;-D to quit.\n[1 0 0 0 0 0 0 0 0 0 0 0 0 0 0 0 0 0 0 0 0 0 0 0 0 0 0 0 0 0 0 0 0 0 0 0 0 0 0 0\n    0 0 0 0 0 0 0 0 0 0 0 0 0 0 0 0 0 0 0 0</t>
  </si>
  <si>
    <t xml:space="preserve">Magma V2.28-26    Thu Jan  8 2026 00:33:26 on Marks-MacBook-Air-2 [Seed = \n2000741873]\nType ? for help.  Type &lt;Ctrl&gt;-D to quit.\n[1 0 0 0 0 0 0 0 0 0 0 0 0 0 0 0 0 0 0 0 0 0 0 0 0 0 0 0 0 0 0 0 0 0 0 0 0 0 0 0\n    0 0 0 0 0 0 0 0 0 0 0 0 0 0 0 0 0 0 0 </t>
  </si>
  <si>
    <t>Exact nMax</t>
  </si>
  <si>
    <t>Exact Family</t>
  </si>
  <si>
    <t>Result Returned</t>
  </si>
  <si>
    <t>Completed &gt; MaxTime</t>
  </si>
  <si>
    <t>Overall Success Rate</t>
  </si>
  <si>
    <t>Total Time (s)</t>
  </si>
  <si>
    <t>Overall success rate</t>
  </si>
  <si>
    <t>Trials at lowest distance</t>
  </si>
  <si>
    <t>Total Time</t>
  </si>
  <si>
    <t>Trial Success Rate</t>
  </si>
  <si>
    <t>Number of Trials at lowest distance</t>
  </si>
  <si>
    <t>not completed</t>
  </si>
  <si>
    <t>best</t>
  </si>
  <si>
    <t>nMin: 1</t>
  </si>
  <si>
    <t>nMax: 100000</t>
  </si>
  <si>
    <t>outfile: /home/ucapmwe/dist-benchmark/results/hyperbolic_surface_code-RG-3-8.txt-dist_m4ri_CC-20260111_143750.675287_85062422.txt</t>
  </si>
  <si>
    <t># wmax=99 found cw of weight 3: [1 2 4]\n3\n</t>
  </si>
  <si>
    <t># wmax=99 found cw of weight 3: [1 8 16]\n3\n</t>
  </si>
  <si>
    <t># wmax=99 found cw of weight 3: [1 9 15]\n3\n</t>
  </si>
  <si>
    <t># wmax=99 found cw of weight 4: [1 50 57 73]\n4\n</t>
  </si>
  <si>
    <t># wmax=99 found cw of weight 4: [1 2 39 67]\n4\n</t>
  </si>
  <si>
    <t># wmax=99 found cw of weight 4: [1 7 18 50]\n4\n</t>
  </si>
  <si>
    <t># wmax=99 found cw of weight 4: [1 3 52 68]\n4\n</t>
  </si>
  <si>
    <t># wmax=99 found cw of weight 4: [1 23 103 135]\n4\n</t>
  </si>
  <si>
    <t># wmax=99 found cw of weight 5: [1 7 33 44 86]\n5\n</t>
  </si>
  <si>
    <t># wmax=99 found cw of weight 4: [1 118 221 227]\n4\n</t>
  </si>
  <si>
    <t># wmax=99 found cw of weight 5: [1 6 63 148 276]\n5\n</t>
  </si>
  <si>
    <t># wmax=99 found cw of weight 4: [1 9 26 121]\n4\n</t>
  </si>
  <si>
    <t># wmax=99 found cw of weight 6: [1 3 84 86 127 129]\n6\n</t>
  </si>
  <si>
    <t># wmax=99 found cw of weight 6: [1 21 23 79 80 135]\n6\n</t>
  </si>
  <si>
    <t># wmax=99 found cw of weight 5: [1 174 302 347 350]\n5\n</t>
  </si>
  <si>
    <t># wmax=99 found cw of weight 6: [1 43 83 130 319 602]\n6\n</t>
  </si>
  <si>
    <t># wmax=99 found cw of weight 6: [1 546 560 567 788 834]\n6\n</t>
  </si>
  <si>
    <t># wmax=99 found cw of weight 6: [1 185 524 716 759 1065]\n6\n</t>
  </si>
  <si>
    <t># wmax=99 found cw of weight 5: [1 430 439 549 641]\n5\n</t>
  </si>
  <si>
    <t># wmax=99 found cw of weight 6: [1 188 337 577 604 1164]\n6\n</t>
  </si>
  <si>
    <t># wmax=99 found cw of weight 6: [1 219 402 441 693 868]\n6\n</t>
  </si>
  <si>
    <t>28800.441217666998</t>
  </si>
  <si>
    <t xml:space="preserve">Magma V2.28-26    Sun Jan 11 2026 20:48:24 on Marks-MacBook-Air-2 [Seed = \n2946681461]\nType ? for help.  Type &lt;Ctrl&gt;-D to quit.\n[1 0 0 0 0 0 0 0 0 0 0 0 0 0 0 0 0 0 0 0 0 0 0 0 0 0 0 0 0 0 0 0 0 0 0 0 0 0 0 0\n    0 0 0 0 0 0 0 0 0 0 0 0 0 0 0 0 0 0 0 </t>
  </si>
  <si>
    <t xml:space="preserve">Magma V2.28-26    Mon Jan 12 2026 04:48:25 on Marks-MacBook-Air-2 [Seed = \n3149311909]\nType ? for help.  Type &lt;Ctrl&gt;-D to quit.\n[1 0 0 0 0 0 0 0 0 0 0 0 0 0 0 0 0 0 0 0 0 0 0 0 0 0 0 0 0 0 0 0 0 0 0 0 0 0 0 0\n    0 0 0 0 0 0 0 0 0 0 0 0 0 0 0 0 0 0 0 </t>
  </si>
  <si>
    <t xml:space="preserve">Magma V2.28-26    Sun Jan 11 2026 20:48:35 on Marks-MacBook-Air-2 [Seed = \n1196040865]\nType ? for help.  Type &lt;Ctrl&gt;-D to quit.\n[1 0 0 0 0 0 0 0 0 0 0 0 0 0 0 0 0 0 0 0 0 0 0 0 0 0 0 0 0 0 0 0 0 0 0 0 0 0 0 0\n    0 0 0 0 0 0 0 0 0 0 0 0 0 0 0 0 0 0 0 </t>
  </si>
  <si>
    <t xml:space="preserve">Magma V2.28-26    Mon Jan 12 2026 04:48:37 on Marks-MacBook-Air-2 [Seed = \n3451967983]\nType ? for help.  Type &lt;Ctrl&gt;-D to quit.\n[1 0 0 0 0 0 0 0 0 0 0 0 0 0 0 0 0 0 0 0 0 0 0 0 0 0 0 0 0 0 0 0 0 0 0 0 0 0 0 0\n    0 0 0 0 0 0 0 0 0 0 0 0 0 0 0 0 0 0 0 </t>
  </si>
  <si>
    <t>Exact Method Check</t>
  </si>
  <si>
    <t>dMinSum</t>
  </si>
  <si>
    <t>nMax completed</t>
  </si>
  <si>
    <t>Avg Delta d</t>
  </si>
  <si>
    <t>Exact - Processing Time/Succ Trial</t>
  </si>
  <si>
    <t>Heuristic - Processing Time/Succ Trial</t>
  </si>
  <si>
    <t>Heuristic - Success Rate per Trial</t>
  </si>
  <si>
    <t>Heuristic - Average Delta d</t>
  </si>
  <si>
    <t>Processing Time/Successful Trial</t>
  </si>
  <si>
    <t>Success Rate</t>
  </si>
  <si>
    <t>GF4blockRep: 2</t>
  </si>
  <si>
    <t>regroupPerm: 1</t>
  </si>
  <si>
    <t>sMut: 0.2</t>
  </si>
  <si>
    <t>tabuLength: 0</t>
  </si>
  <si>
    <t>swapPivot: 1</t>
  </si>
  <si>
    <t>swapBlockorder: 0</t>
  </si>
  <si>
    <t>Gen:0 Trial:0 w:2; pErr:0.0000, weight 2 CW found:3, wDict:2:10000</t>
  </si>
  <si>
    <t>Gen:0 Trial:0 w:2; pErr:0.0000, weight 2 CW found:12, wDict:2:10000</t>
  </si>
  <si>
    <t>Gen:0 Trial:0 w:4; pErr:0.0000, weight 4 CW found:216, wDict:4:10000</t>
  </si>
  <si>
    <t>Trial:0 w:2; pErr:0.0000, weight 2 CW found:3, wDict:2:10000</t>
  </si>
  <si>
    <t>Trial:0 w:2; pErr:0.0000, weight 2 CW found:12, wDict:2:10000</t>
  </si>
  <si>
    <t>pMut: 6.0</t>
  </si>
  <si>
    <t>Gen:0 Trial:0 w:4; pErr:0.0000, weight 4 CW found:231, wDict:4:10000</t>
  </si>
  <si>
    <t>outfile: /home/ucapmwe/dist-benchmark/results/hyperbolic_surface_code-RG-3-8.txt-QDistRndMW-20260215_181908.014721_85062422.txt</t>
  </si>
  <si>
    <t>Trial:0 w:3; pErr:0.0000, weight 3 CW found:170, wDict:3:9982,4:18</t>
  </si>
  <si>
    <t>Trial:0 w:4; pErr:0.0000, weight 4 CW found:265, wDict:4:9997,5:3</t>
  </si>
  <si>
    <t>Trial:0 w:3; pErr:0.0000, weight 3 CW found:121, wDict:3:9978,4:22</t>
  </si>
  <si>
    <t>Trial:0 w:4; pErr:0.0000, weight 4 CW found:280, wDict:4:9995,5:5</t>
  </si>
  <si>
    <t>Trial:0 w:4; pErr:0.0000, weight 4 CW found:955, wDict:4:9710,5:290</t>
  </si>
  <si>
    <t>Trial:0 w:4; pErr:0.0000, weight 4 CW found:984, wDict:4:9690,5:309,6:1</t>
  </si>
  <si>
    <t>Trial:0 w:5; pErr:0.0000, weight 5 CW found:988, wDict:5:9991,6:9</t>
  </si>
  <si>
    <t>Trial:0 w:4; pErr:0.0000, weight 4 CW found:826, wDict:4:9315,5:651,6:34</t>
  </si>
  <si>
    <t>Trial:0 w:5; pErr:0.0008, weight 5 CW found:4415, wDict:5:7347,6:2652,7:1</t>
  </si>
  <si>
    <t>Trial:0 w:4; pErr:0.0000, weight 4 CW found:572, wDict:4:9834,5:165,6:1</t>
  </si>
  <si>
    <t>Trial:0 w:6; pErr:0.0000, weight 6 CW found:3750, wDict:6:9977,7:23</t>
  </si>
  <si>
    <t>Trial:0 w:6; pErr:0.0000, weight 6 CW found:3551, wDict:6:9830,7:170</t>
  </si>
  <si>
    <t>Trial:0 w:5; pErr:0.0000, weight 5 CW found:2882, wDict:5:9552,6:448</t>
  </si>
  <si>
    <t>Trial:0 w:6; pErr:0.0394, weight 6 CW found:7678, wDict:6:7953,7:2008,8:39</t>
  </si>
  <si>
    <t>Trial:0 w:7; Trial:1 w:6; pErr:0.0560, weight 6 CW found:8927, wDict:6:7479,7:2486,8:35</t>
  </si>
  <si>
    <t>Trial:0 w:6; pErr:0.0089, weight 6 CW found:5846, wDict:6:8962,7:1030,8:8</t>
  </si>
  <si>
    <t>Trial:0 w:5; pErr:0.0000, weight 5 CW found:1967, wDict:5:9854,6:146</t>
  </si>
  <si>
    <t>Trial:0 w:6; pErr:0.0243, weight 6 CW found:6428, wDict:6:8171,7:1777,8:52</t>
  </si>
  <si>
    <t>Trial:0 w:6; pErr:0.0000, weight 6 CW found:3478, wDict:6:9974,7:26</t>
  </si>
  <si>
    <t>Gen:0 Trial:0 w:3; pErr:0.0000, weight 3 CW found:32, wDict:3:10000</t>
  </si>
  <si>
    <t>Gen:0 Trial:0 w:3; pErr:0.0000, weight 3 CW found:28, wDict:3:10000</t>
  </si>
  <si>
    <t>LOCheck: 0</t>
  </si>
  <si>
    <t>pMutScale: 50</t>
  </si>
  <si>
    <t>outfile: /home/ucapmwe/dist-benchmark/results/hyperbolic_surface_code-RG-3-8.txt-QDistEvol-20260220_184925.010694_85062422.txt</t>
  </si>
  <si>
    <t>Gen:0 Trial:0 w:4; pErr:0.0000, weight 4 CW found:291, wDict:4:9956,5:44</t>
  </si>
  <si>
    <t>Gen:0 Trial:0 w:4; pErr:0.0000, weight 4 CW found:183, wDict:4:9988,5:12</t>
  </si>
  <si>
    <t>Gen:0 Trial:0 w:5; pErr:0.0000, weight 5 CW found:883, wDict:5:10000</t>
  </si>
  <si>
    <t>Gen:0 Trial:0 w:4; pErr:0.0000, weight 4 CW found:256, wDict:4:9867,5:133</t>
  </si>
  <si>
    <t>Gen:0 Trial:0 w:5; pErr:0.0000, weight 5 CW found:1799, wDict:5:9379,6:621</t>
  </si>
  <si>
    <t>Gen:0 Trial:0 w:4; pErr:0.0000, weight 4 CW found:253, wDict:4:9954,5:46</t>
  </si>
  <si>
    <t>Gen:0 Trial:0 w:6; pErr:0.0000, weight 6 CW found:3019, wDict:6:10000</t>
  </si>
  <si>
    <t>Gen:0 Trial:0 w:6; pErr:0.0000, weight 6 CW found:2078, wDict:6:9992,7:8</t>
  </si>
  <si>
    <t>Gen:0 Trial:0 w:5; pErr:0.0000, weight 5 CW found:925, wDict:5:9906,6:94</t>
  </si>
  <si>
    <t>Gen:0 Trial:0 w:6; pErr:0.0000, weight 6 CW found:1939, wDict:6:9609,7:390,8:1</t>
  </si>
  <si>
    <t>Gen:0 Trial:0 w:6; pErr:0.0001, weight 6 CW found:2913, wDict:6:9035,7:964,8:1</t>
  </si>
  <si>
    <t>Gen:0 Trial:0 w:6; pErr:0.0000, weight 6 CW found:2178, wDict:6:9692,7:308</t>
  </si>
  <si>
    <t>Gen:0 Trial:0 w:5; pErr:0.0000, weight 5 CW found:868, wDict:5:9958,6:42</t>
  </si>
  <si>
    <t>Gen:0 Trial:0 w:6; pErr:0.0000, weight 6 CW found:2277, wDict:6:9295,7:703,8:2</t>
  </si>
  <si>
    <t>Gen:0 Trial:0 w:6; pErr:0.0000, weight 6 CW found:2991, wDict:6:9997,7:3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</si>
</sst>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E+00"/>
    <numFmt numFmtId="166" formatCode="0.E+00"/>
  </numFmts>
  <fonts count="9" x14ac:knownFonts="1">
    <font>
      <sz val="12"/>
      <color theme="1"/>
      <name val="Aptos Narrow"/>
      <family val="2"/>
      <scheme val="minor"/>
    </font>
    <font>
      <b/>
      <sz val="16"/>
      <color theme="1"/>
      <name val="Aptos Narrow"/>
      <scheme val="minor"/>
    </font>
    <font>
      <b/>
      <sz val="12"/>
      <color theme="1"/>
      <name val="Aptos Narrow"/>
      <scheme val="minor"/>
    </font>
    <font>
      <b/>
      <sz val="14"/>
      <color theme="1"/>
      <name val="Aptos Narrow"/>
      <scheme val="minor"/>
    </font>
    <font>
      <u/>
      <sz val="12"/>
      <color theme="10"/>
      <name val="Aptos Narrow"/>
      <family val="2"/>
      <scheme val="minor"/>
    </font>
    <font>
      <b/>
      <sz val="12"/>
      <color rgb="FFFF0000"/>
      <name val="Aptos Narrow"/>
      <scheme val="minor"/>
    </font>
    <font>
      <sz val="12"/>
      <color theme="1"/>
      <name val="Aptos Narrow"/>
      <scheme val="minor"/>
    </font>
    <font>
      <b/>
      <sz val="12"/>
      <color indexed="8"/>
      <name val="Aptos Narrow"/>
      <scheme val="minor"/>
    </font>
    <font>
      <sz val="12"/>
      <color indexed="8"/>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11" fontId="0" fillId="0" borderId="0" xfId="0" applyNumberFormat="1"/>
    <xf numFmtId="0" fontId="1" fillId="0" borderId="0" xfId="0" applyFont="1"/>
    <xf numFmtId="0" fontId="2" fillId="0" borderId="0" xfId="0" applyFont="1" applyAlignment="1">
      <alignment horizontal="right"/>
    </xf>
    <xf numFmtId="164" fontId="0" fillId="0" borderId="0" xfId="0" applyNumberFormat="1"/>
    <xf numFmtId="165" fontId="0" fillId="0" borderId="0" xfId="0" applyNumberFormat="1"/>
    <xf numFmtId="0" fontId="2" fillId="0" borderId="0" xfId="0" applyFont="1"/>
    <xf numFmtId="3" fontId="0" fillId="0" borderId="0" xfId="0" applyNumberFormat="1"/>
    <xf numFmtId="0" fontId="3" fillId="0" borderId="0" xfId="0" applyFont="1"/>
    <xf numFmtId="0" fontId="4" fillId="0" borderId="0" xfId="1"/>
    <xf numFmtId="0" fontId="0" fillId="0" borderId="0" xfId="0" applyAlignment="1">
      <alignment wrapText="1"/>
    </xf>
    <xf numFmtId="0" fontId="5" fillId="0" borderId="0" xfId="0" applyFont="1"/>
    <xf numFmtId="1" fontId="6" fillId="0" borderId="0" xfId="0" applyNumberFormat="1" applyFont="1"/>
    <xf numFmtId="0" fontId="6" fillId="0" borderId="0" xfId="0" applyFont="1"/>
    <xf numFmtId="0" fontId="0" fillId="0" borderId="0" xfId="0" quotePrefix="1"/>
    <xf numFmtId="11" fontId="0" fillId="0" borderId="0" xfId="0" quotePrefix="1" applyNumberFormat="1"/>
    <xf numFmtId="3" fontId="2" fillId="0" borderId="0" xfId="0" applyNumberFormat="1" applyFont="1"/>
    <xf numFmtId="165" fontId="2" fillId="0" borderId="0" xfId="0" applyNumberFormat="1" applyFont="1"/>
    <xf numFmtId="0" fontId="0" fillId="0" borderId="0" xfId="0" applyAlignment="1">
      <alignment horizontal="left"/>
    </xf>
    <xf numFmtId="1" fontId="0" fillId="0" borderId="0" xfId="0" applyNumberFormat="1"/>
    <xf numFmtId="166" fontId="0" fillId="0" borderId="0" xfId="0" applyNumberFormat="1"/>
    <xf numFmtId="0" fontId="7" fillId="0" borderId="0" xfId="0" applyFont="1"/>
    <xf numFmtId="0" fontId="8" fillId="0" borderId="0" xfId="0" applyFont="1"/>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analysis!$GO$67</c:f>
              <c:strCache>
                <c:ptCount val="1"/>
                <c:pt idx="0">
                  <c:v>Gurobi</c:v>
                </c:pt>
              </c:strCache>
            </c:strRef>
          </c:tx>
          <c:spPr>
            <a:ln w="38100" cap="rnd">
              <a:noFill/>
              <a:round/>
            </a:ln>
            <a:effectLst/>
          </c:spPr>
          <c:marker>
            <c:symbol val="circle"/>
            <c:size val="5"/>
            <c:spPr>
              <a:solidFill>
                <a:schemeClr val="accent1"/>
              </a:solidFill>
              <a:ln w="9525">
                <a:solidFill>
                  <a:schemeClr val="accent1"/>
                </a:solidFill>
              </a:ln>
              <a:effectLst/>
            </c:spPr>
          </c:marker>
          <c:xVal>
            <c:numRef>
              <c:f>analysis!$GN$68:$GN$200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analysis!$GO$68:$GO$200</c:f>
              <c:numCache>
                <c:formatCode>0.0E+00</c:formatCode>
                <c:ptCount val="133"/>
                <c:pt idx="0">
                  <c:v>2.75834059999908E-2</c:v>
                </c:pt>
                <c:pt idx="1">
                  <c:v>3.4852212000004101E-2</c:v>
                </c:pt>
                <c:pt idx="2">
                  <c:v>4.7167422999990501E-2</c:v>
                </c:pt>
                <c:pt idx="3">
                  <c:v>0.112384547000004</c:v>
                </c:pt>
                <c:pt idx="4">
                  <c:v>6.7334399999992897E-2</c:v>
                </c:pt>
                <c:pt idx="5">
                  <c:v>0.11192677600001801</c:v>
                </c:pt>
                <c:pt idx="6">
                  <c:v>0.15171580300000101</c:v>
                </c:pt>
                <c:pt idx="7">
                  <c:v>0.16301514399998401</c:v>
                </c:pt>
                <c:pt idx="8">
                  <c:v>0.844972967000018</c:v>
                </c:pt>
                <c:pt idx="9">
                  <c:v>0.26669667199999397</c:v>
                </c:pt>
                <c:pt idx="10">
                  <c:v>2.7897537229999898</c:v>
                </c:pt>
                <c:pt idx="11">
                  <c:v>0.62966321900000799</c:v>
                </c:pt>
                <c:pt idx="12">
                  <c:v>42.549868285999899</c:v>
                </c:pt>
                <c:pt idx="13">
                  <c:v>38.179762527000001</c:v>
                </c:pt>
                <c:pt idx="14">
                  <c:v>7.8030764479999801</c:v>
                </c:pt>
                <c:pt idx="15">
                  <c:v>102.113936584</c:v>
                </c:pt>
                <c:pt idx="16">
                  <c:v>228.24339808799999</c:v>
                </c:pt>
                <c:pt idx="17">
                  <c:v>250.97541239399899</c:v>
                </c:pt>
                <c:pt idx="18">
                  <c:v>47.218034606000003</c:v>
                </c:pt>
                <c:pt idx="19">
                  <c:v>345.49177407100001</c:v>
                </c:pt>
                <c:pt idx="20">
                  <c:v>395.60455541699997</c:v>
                </c:pt>
              </c:numCache>
            </c:numRef>
          </c:yVal>
          <c:smooth val="0"/>
          <c:extLst>
            <c:ext xmlns:c16="http://schemas.microsoft.com/office/drawing/2014/chart" uri="{C3380CC4-5D6E-409C-BE32-E72D297353CC}">
              <c16:uniqueId val="{00000000-2155-CE41-9349-3A96EDE8E63E}"/>
            </c:ext>
          </c:extLst>
        </c:ser>
        <c:ser>
          <c:idx val="1"/>
          <c:order val="1"/>
          <c:tx>
            <c:strRef>
              <c:f>analysis!$GP$67</c:f>
              <c:strCache>
                <c:ptCount val="1"/>
                <c:pt idx="0">
                  <c:v>MIP-SCIP</c:v>
                </c:pt>
              </c:strCache>
            </c:strRef>
          </c:tx>
          <c:spPr>
            <a:ln w="38100" cap="rnd">
              <a:noFill/>
              <a:round/>
            </a:ln>
            <a:effectLst/>
          </c:spPr>
          <c:marker>
            <c:symbol val="plus"/>
            <c:size val="5"/>
            <c:spPr>
              <a:noFill/>
              <a:ln w="9525">
                <a:solidFill>
                  <a:schemeClr val="accent2"/>
                </a:solidFill>
              </a:ln>
              <a:effectLst/>
            </c:spPr>
          </c:marker>
          <c:xVal>
            <c:numRef>
              <c:f>analysis!$GN$68:$GN$200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analysis!$GP$68:$GP$200</c:f>
              <c:numCache>
                <c:formatCode>0.0E+00</c:formatCode>
                <c:ptCount val="133"/>
                <c:pt idx="0">
                  <c:v>1.0639320999985101E-2</c:v>
                </c:pt>
                <c:pt idx="1">
                  <c:v>3.4914958000001599E-2</c:v>
                </c:pt>
                <c:pt idx="2">
                  <c:v>0.29817301100001697</c:v>
                </c:pt>
                <c:pt idx="3">
                  <c:v>0.40802639299999999</c:v>
                </c:pt>
                <c:pt idx="4">
                  <c:v>0.51865816699998302</c:v>
                </c:pt>
                <c:pt idx="5">
                  <c:v>0.47393867400001</c:v>
                </c:pt>
                <c:pt idx="6">
                  <c:v>1.0122901849999799</c:v>
                </c:pt>
                <c:pt idx="7">
                  <c:v>0.76202639100000602</c:v>
                </c:pt>
                <c:pt idx="8">
                  <c:v>10.124023284</c:v>
                </c:pt>
                <c:pt idx="9">
                  <c:v>2.1146252409999899</c:v>
                </c:pt>
                <c:pt idx="10">
                  <c:v>27.542506889999999</c:v>
                </c:pt>
                <c:pt idx="11">
                  <c:v>3.5109025229999902</c:v>
                </c:pt>
                <c:pt idx="12">
                  <c:v>293.339920097</c:v>
                </c:pt>
                <c:pt idx="13">
                  <c:v>297.91383050500002</c:v>
                </c:pt>
                <c:pt idx="14">
                  <c:v>69.451348521</c:v>
                </c:pt>
                <c:pt idx="15">
                  <c:v>497.90931817199998</c:v>
                </c:pt>
                <c:pt idx="16">
                  <c:v>1663.068156781</c:v>
                </c:pt>
                <c:pt idx="17">
                  <c:v>1982.3425811489999</c:v>
                </c:pt>
                <c:pt idx="18">
                  <c:v>310.35862129699899</c:v>
                </c:pt>
                <c:pt idx="19">
                  <c:v>1941.0721801549901</c:v>
                </c:pt>
                <c:pt idx="20">
                  <c:v>1619.775421155</c:v>
                </c:pt>
              </c:numCache>
            </c:numRef>
          </c:yVal>
          <c:smooth val="0"/>
          <c:extLst>
            <c:ext xmlns:c16="http://schemas.microsoft.com/office/drawing/2014/chart" uri="{C3380CC4-5D6E-409C-BE32-E72D297353CC}">
              <c16:uniqueId val="{00000001-2155-CE41-9349-3A96EDE8E63E}"/>
            </c:ext>
          </c:extLst>
        </c:ser>
        <c:ser>
          <c:idx val="2"/>
          <c:order val="2"/>
          <c:tx>
            <c:strRef>
              <c:f>analysis!$GQ$67</c:f>
              <c:strCache>
                <c:ptCount val="1"/>
                <c:pt idx="0">
                  <c:v>CLISAT</c:v>
                </c:pt>
              </c:strCache>
            </c:strRef>
          </c:tx>
          <c:spPr>
            <a:ln w="38100" cap="rnd">
              <a:noFill/>
              <a:round/>
            </a:ln>
            <a:effectLst/>
          </c:spPr>
          <c:marker>
            <c:symbol val="diamond"/>
            <c:size val="5"/>
            <c:spPr>
              <a:solidFill>
                <a:schemeClr val="accent3"/>
              </a:solidFill>
              <a:ln w="9525">
                <a:solidFill>
                  <a:schemeClr val="accent3"/>
                </a:solidFill>
              </a:ln>
              <a:effectLst/>
            </c:spPr>
          </c:marker>
          <c:xVal>
            <c:numRef>
              <c:f>analysis!$GN$68:$GN$200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analysis!$GQ$68:$GQ$200</c:f>
              <c:numCache>
                <c:formatCode>0.0E+00</c:formatCode>
                <c:ptCount val="133"/>
                <c:pt idx="0">
                  <c:v>0.12329470899999199</c:v>
                </c:pt>
                <c:pt idx="1">
                  <c:v>0.190404524999991</c:v>
                </c:pt>
                <c:pt idx="2">
                  <c:v>0.13888993700001601</c:v>
                </c:pt>
                <c:pt idx="3">
                  <c:v>0.32538683900000298</c:v>
                </c:pt>
                <c:pt idx="4">
                  <c:v>0.18474645899999501</c:v>
                </c:pt>
                <c:pt idx="5">
                  <c:v>0.208793090999989</c:v>
                </c:pt>
                <c:pt idx="6">
                  <c:v>0.51462716800000396</c:v>
                </c:pt>
                <c:pt idx="7">
                  <c:v>0.63707401499999605</c:v>
                </c:pt>
                <c:pt idx="8">
                  <c:v>1.717359987</c:v>
                </c:pt>
                <c:pt idx="9">
                  <c:v>1.69015955099999</c:v>
                </c:pt>
                <c:pt idx="10">
                  <c:v>4.45061076300001</c:v>
                </c:pt>
                <c:pt idx="11">
                  <c:v>1.91015669299997</c:v>
                </c:pt>
                <c:pt idx="12">
                  <c:v>52.778818481999998</c:v>
                </c:pt>
                <c:pt idx="13">
                  <c:v>58.850609816999899</c:v>
                </c:pt>
                <c:pt idx="14">
                  <c:v>10.897308403</c:v>
                </c:pt>
                <c:pt idx="15">
                  <c:v>126.757097589</c:v>
                </c:pt>
                <c:pt idx="16">
                  <c:v>226.155365918</c:v>
                </c:pt>
                <c:pt idx="17">
                  <c:v>320.39477572999999</c:v>
                </c:pt>
                <c:pt idx="18">
                  <c:v>55.211830910000003</c:v>
                </c:pt>
                <c:pt idx="19">
                  <c:v>344.75111851399902</c:v>
                </c:pt>
                <c:pt idx="20">
                  <c:v>453.629795839</c:v>
                </c:pt>
              </c:numCache>
            </c:numRef>
          </c:yVal>
          <c:smooth val="0"/>
          <c:extLst>
            <c:ext xmlns:c16="http://schemas.microsoft.com/office/drawing/2014/chart" uri="{C3380CC4-5D6E-409C-BE32-E72D297353CC}">
              <c16:uniqueId val="{00000002-2155-CE41-9349-3A96EDE8E63E}"/>
            </c:ext>
          </c:extLst>
        </c:ser>
        <c:ser>
          <c:idx val="3"/>
          <c:order val="3"/>
          <c:tx>
            <c:strRef>
              <c:f>analysis!$GR$67</c:f>
              <c:strCache>
                <c:ptCount val="1"/>
                <c:pt idx="0">
                  <c:v>m4ri_CC</c:v>
                </c:pt>
              </c:strCache>
            </c:strRef>
          </c:tx>
          <c:spPr>
            <a:ln w="38100" cap="rnd">
              <a:noFill/>
              <a:round/>
            </a:ln>
            <a:effectLst/>
          </c:spPr>
          <c:marker>
            <c:symbol val="triangle"/>
            <c:size val="5"/>
            <c:spPr>
              <a:solidFill>
                <a:schemeClr val="accent4"/>
              </a:solidFill>
              <a:ln w="9525">
                <a:solidFill>
                  <a:schemeClr val="accent4"/>
                </a:solidFill>
              </a:ln>
              <a:effectLst/>
            </c:spPr>
          </c:marker>
          <c:xVal>
            <c:numRef>
              <c:f>analysis!$GN$68:$GN$200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analysis!$GR$68:$GR$200</c:f>
              <c:numCache>
                <c:formatCode>0.0E+00</c:formatCode>
                <c:ptCount val="133"/>
                <c:pt idx="0">
                  <c:v>2.8568935999999202E-2</c:v>
                </c:pt>
                <c:pt idx="1">
                  <c:v>3.3505929999989803E-2</c:v>
                </c:pt>
                <c:pt idx="2">
                  <c:v>3.7549334000004798E-2</c:v>
                </c:pt>
                <c:pt idx="3">
                  <c:v>4.5564963999993303E-2</c:v>
                </c:pt>
                <c:pt idx="4">
                  <c:v>5.05600049999941E-2</c:v>
                </c:pt>
                <c:pt idx="5">
                  <c:v>5.0963901000017103E-2</c:v>
                </c:pt>
                <c:pt idx="6">
                  <c:v>5.4005230999990703E-2</c:v>
                </c:pt>
                <c:pt idx="7">
                  <c:v>5.0963958000011099E-2</c:v>
                </c:pt>
                <c:pt idx="8">
                  <c:v>3.3827711999975897E-2</c:v>
                </c:pt>
                <c:pt idx="9">
                  <c:v>1.6204288000011498E-2</c:v>
                </c:pt>
                <c:pt idx="10">
                  <c:v>1.95556639999949E-2</c:v>
                </c:pt>
                <c:pt idx="11">
                  <c:v>1.89862029999972E-2</c:v>
                </c:pt>
                <c:pt idx="12">
                  <c:v>3.67883450000192E-2</c:v>
                </c:pt>
                <c:pt idx="13">
                  <c:v>4.0009113999985801E-2</c:v>
                </c:pt>
                <c:pt idx="14">
                  <c:v>2.8709085999992098E-2</c:v>
                </c:pt>
                <c:pt idx="15">
                  <c:v>6.1816340000007103E-2</c:v>
                </c:pt>
                <c:pt idx="16">
                  <c:v>7.9695103999995298E-2</c:v>
                </c:pt>
                <c:pt idx="17">
                  <c:v>9.2204737000002895E-2</c:v>
                </c:pt>
                <c:pt idx="18">
                  <c:v>5.1249105000010703E-2</c:v>
                </c:pt>
                <c:pt idx="19">
                  <c:v>9.2133343999989806E-2</c:v>
                </c:pt>
                <c:pt idx="20">
                  <c:v>9.1798936000003495E-2</c:v>
                </c:pt>
              </c:numCache>
            </c:numRef>
          </c:yVal>
          <c:smooth val="0"/>
          <c:extLst>
            <c:ext xmlns:c16="http://schemas.microsoft.com/office/drawing/2014/chart" uri="{C3380CC4-5D6E-409C-BE32-E72D297353CC}">
              <c16:uniqueId val="{00000003-2155-CE41-9349-3A96EDE8E63E}"/>
            </c:ext>
          </c:extLst>
        </c:ser>
        <c:ser>
          <c:idx val="4"/>
          <c:order val="4"/>
          <c:tx>
            <c:strRef>
              <c:f>analysis!$GS$67</c:f>
              <c:strCache>
                <c:ptCount val="1"/>
                <c:pt idx="0">
                  <c:v>magma</c:v>
                </c:pt>
              </c:strCache>
            </c:strRef>
          </c:tx>
          <c:spPr>
            <a:ln w="38100" cap="rnd">
              <a:noFill/>
              <a:round/>
            </a:ln>
            <a:effectLst/>
          </c:spPr>
          <c:marker>
            <c:symbol val="x"/>
            <c:size val="5"/>
            <c:spPr>
              <a:noFill/>
              <a:ln w="9525">
                <a:solidFill>
                  <a:schemeClr val="accent5"/>
                </a:solidFill>
              </a:ln>
              <a:effectLst/>
            </c:spPr>
          </c:marker>
          <c:xVal>
            <c:numRef>
              <c:f>analysis!$GN$68:$GN$200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analysis!$GS$68:$GS$200</c:f>
              <c:numCache>
                <c:formatCode>0.0E+00</c:formatCode>
                <c:ptCount val="133"/>
                <c:pt idx="0">
                  <c:v>0.13064437499269799</c:v>
                </c:pt>
                <c:pt idx="1">
                  <c:v>8.3509124990087003E-2</c:v>
                </c:pt>
                <c:pt idx="2">
                  <c:v>9.2607833037618506E-2</c:v>
                </c:pt>
                <c:pt idx="3">
                  <c:v>0.111170374962966</c:v>
                </c:pt>
                <c:pt idx="4">
                  <c:v>0.11268312501488199</c:v>
                </c:pt>
                <c:pt idx="5">
                  <c:v>0.13686404202599001</c:v>
                </c:pt>
                <c:pt idx="6">
                  <c:v>0.27104474999941802</c:v>
                </c:pt>
                <c:pt idx="7">
                  <c:v>0.23162658297223901</c:v>
                </c:pt>
                <c:pt idx="8">
                  <c:v>2.3924055420211499</c:v>
                </c:pt>
                <c:pt idx="9">
                  <c:v>0.51486283302074298</c:v>
                </c:pt>
                <c:pt idx="10">
                  <c:v>58.119924457976502</c:v>
                </c:pt>
                <c:pt idx="11">
                  <c:v>1.83730095898499</c:v>
                </c:pt>
                <c:pt idx="12">
                  <c:v>#N/A</c:v>
                </c:pt>
                <c:pt idx="13">
                  <c:v>#N/A</c:v>
                </c:pt>
                <c:pt idx="14">
                  <c:v>1149.01557787501</c:v>
                </c:pt>
                <c:pt idx="15">
                  <c:v>#N/A</c:v>
                </c:pt>
                <c:pt idx="16">
                  <c:v>#N/A</c:v>
                </c:pt>
                <c:pt idx="17">
                  <c:v>#N/A</c:v>
                </c:pt>
                <c:pt idx="18">
                  <c:v>20536.395259041001</c:v>
                </c:pt>
                <c:pt idx="19">
                  <c:v>#N/A</c:v>
                </c:pt>
                <c:pt idx="20">
                  <c:v>#N/A</c:v>
                </c:pt>
              </c:numCache>
            </c:numRef>
          </c:yVal>
          <c:smooth val="0"/>
          <c:extLst>
            <c:ext xmlns:c16="http://schemas.microsoft.com/office/drawing/2014/chart" uri="{C3380CC4-5D6E-409C-BE32-E72D297353CC}">
              <c16:uniqueId val="{00000004-2155-CE41-9349-3A96EDE8E63E}"/>
            </c:ext>
          </c:extLst>
        </c:ser>
        <c:dLbls>
          <c:showLegendKey val="0"/>
          <c:showVal val="0"/>
          <c:showCatName val="0"/>
          <c:showSerName val="0"/>
          <c:showPercent val="0"/>
          <c:showBubbleSize val="0"/>
        </c:dLbls>
        <c:axId val="1782197904"/>
        <c:axId val="1782199616"/>
      </c:scatterChart>
      <c:valAx>
        <c:axId val="178219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23817147856517934"/>
          <c:y val="4.7959044181977224E-2"/>
          <c:w val="0.17155074365704287"/>
          <c:h val="0.292970800524934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analysis!$GU$67</c:f>
              <c:strCache>
                <c:ptCount val="1"/>
                <c:pt idx="0">
                  <c:v>QDistRndMW</c:v>
                </c:pt>
              </c:strCache>
            </c:strRef>
          </c:tx>
          <c:spPr>
            <a:ln w="25400" cap="rnd">
              <a:noFill/>
              <a:round/>
            </a:ln>
            <a:effectLst/>
          </c:spPr>
          <c:marker>
            <c:symbol val="plus"/>
            <c:size val="5"/>
            <c:spPr>
              <a:noFill/>
              <a:ln w="9525">
                <a:solidFill>
                  <a:schemeClr val="accent1">
                    <a:lumMod val="60000"/>
                  </a:schemeClr>
                </a:solidFill>
              </a:ln>
              <a:effectLst/>
            </c:spPr>
          </c:marker>
          <c:xVal>
            <c:numRef>
              <c:f>analysis!$GN$68:$GN$200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analysis!$GU$68:$GU$200</c:f>
              <c:numCache>
                <c:formatCode>0.0E+00</c:formatCode>
                <c:ptCount val="133"/>
                <c:pt idx="0">
                  <c:v>8.2838383689522695E-5</c:v>
                </c:pt>
                <c:pt idx="1">
                  <c:v>1.2130715521052399E-4</c:v>
                </c:pt>
                <c:pt idx="2">
                  <c:v>1.6740636731753757E-4</c:v>
                </c:pt>
                <c:pt idx="3">
                  <c:v>3.2964574986008705E-4</c:v>
                </c:pt>
                <c:pt idx="4">
                  <c:v>2.8677647931497094E-4</c:v>
                </c:pt>
                <c:pt idx="5">
                  <c:v>3.7875023389560277E-4</c:v>
                </c:pt>
                <c:pt idx="6">
                  <c:v>9.258800028918271E-4</c:v>
                </c:pt>
                <c:pt idx="7">
                  <c:v>9.2854485534692784E-4</c:v>
                </c:pt>
                <c:pt idx="8">
                  <c:v>1.1376162743718446E-3</c:v>
                </c:pt>
                <c:pt idx="9">
                  <c:v>2.4236614254497693E-3</c:v>
                </c:pt>
                <c:pt idx="10">
                  <c:v>7.7910998038064243E-3</c:v>
                </c:pt>
                <c:pt idx="11">
                  <c:v>6.8923687818616425E-3</c:v>
                </c:pt>
                <c:pt idx="12">
                  <c:v>1.4681109402078882E-2</c:v>
                </c:pt>
                <c:pt idx="13">
                  <c:v>1.4064008596950965E-2</c:v>
                </c:pt>
                <c:pt idx="14">
                  <c:v>1.7031812185883271E-2</c:v>
                </c:pt>
                <c:pt idx="15">
                  <c:v>5.4589781452189991E-2</c:v>
                </c:pt>
                <c:pt idx="16">
                  <c:v>0.11939105421014801</c:v>
                </c:pt>
                <c:pt idx="17">
                  <c:v>0.11849429248722942</c:v>
                </c:pt>
                <c:pt idx="18">
                  <c:v>0.10654630413385123</c:v>
                </c:pt>
                <c:pt idx="19">
                  <c:v>0.18092488696001469</c:v>
                </c:pt>
                <c:pt idx="20">
                  <c:v>0.14737711527579206</c:v>
                </c:pt>
              </c:numCache>
            </c:numRef>
          </c:yVal>
          <c:smooth val="0"/>
          <c:extLst>
            <c:ext xmlns:c16="http://schemas.microsoft.com/office/drawing/2014/chart" uri="{C3380CC4-5D6E-409C-BE32-E72D297353CC}">
              <c16:uniqueId val="{00000000-28A4-7546-BA8C-7D455FF2F138}"/>
            </c:ext>
          </c:extLst>
        </c:ser>
        <c:ser>
          <c:idx val="7"/>
          <c:order val="1"/>
          <c:tx>
            <c:strRef>
              <c:f>analysis!$GV$67</c:f>
              <c:strCache>
                <c:ptCount val="1"/>
                <c:pt idx="0">
                  <c:v>QDistEvol</c:v>
                </c:pt>
              </c:strCache>
            </c:strRef>
          </c:tx>
          <c:spPr>
            <a:ln w="254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analysis!$GN$68:$GN$200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analysis!$GV$68:$GV$200</c:f>
              <c:numCache>
                <c:formatCode>0.0E+00</c:formatCode>
                <c:ptCount val="133"/>
                <c:pt idx="0">
                  <c:v>1.3578701214864798E-4</c:v>
                </c:pt>
                <c:pt idx="1">
                  <c:v>1.7540229549631401E-4</c:v>
                </c:pt>
                <c:pt idx="2">
                  <c:v>2.3957461230456799E-4</c:v>
                </c:pt>
                <c:pt idx="3">
                  <c:v>5.2099332287907599E-4</c:v>
                </c:pt>
                <c:pt idx="4">
                  <c:v>3.5871522827073902E-4</c:v>
                </c:pt>
                <c:pt idx="5">
                  <c:v>5.5740961711853697E-4</c:v>
                </c:pt>
                <c:pt idx="6">
                  <c:v>9.8782288205804939E-4</c:v>
                </c:pt>
                <c:pt idx="7">
                  <c:v>1.0032425017286644E-3</c:v>
                </c:pt>
                <c:pt idx="8">
                  <c:v>1.4553080238401798E-3</c:v>
                </c:pt>
                <c:pt idx="9">
                  <c:v>2.3558596260464275E-3</c:v>
                </c:pt>
                <c:pt idx="10">
                  <c:v>6.1585977277328714E-3</c:v>
                </c:pt>
                <c:pt idx="11">
                  <c:v>6.8985844141941539E-3</c:v>
                </c:pt>
                <c:pt idx="12">
                  <c:v>1.48421716318465E-2</c:v>
                </c:pt>
                <c:pt idx="13">
                  <c:v>1.3820593628500702E-2</c:v>
                </c:pt>
                <c:pt idx="14">
                  <c:v>1.6444424345811729E-2</c:v>
                </c:pt>
                <c:pt idx="15">
                  <c:v>4.5800213923877196E-2</c:v>
                </c:pt>
                <c:pt idx="16">
                  <c:v>9.9898229723906481E-2</c:v>
                </c:pt>
                <c:pt idx="17">
                  <c:v>0.11065925744798803</c:v>
                </c:pt>
                <c:pt idx="18">
                  <c:v>0.10797981628884314</c:v>
                </c:pt>
                <c:pt idx="19">
                  <c:v>0.16635294244516943</c:v>
                </c:pt>
                <c:pt idx="20">
                  <c:v>0.15524534621738223</c:v>
                </c:pt>
              </c:numCache>
            </c:numRef>
          </c:yVal>
          <c:smooth val="0"/>
          <c:extLst>
            <c:ext xmlns:c16="http://schemas.microsoft.com/office/drawing/2014/chart" uri="{C3380CC4-5D6E-409C-BE32-E72D297353CC}">
              <c16:uniqueId val="{00000001-28A4-7546-BA8C-7D455FF2F138}"/>
            </c:ext>
          </c:extLst>
        </c:ser>
        <c:ser>
          <c:idx val="8"/>
          <c:order val="2"/>
          <c:tx>
            <c:strRef>
              <c:f>analysis!$GW$67</c:f>
              <c:strCache>
                <c:ptCount val="1"/>
                <c:pt idx="0">
                  <c:v>bposd</c:v>
                </c:pt>
              </c:strCache>
            </c:strRef>
          </c:tx>
          <c:spPr>
            <a:ln w="254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analysis!$GN$68:$GN$200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analysis!$GW$68:$GW$200</c:f>
              <c:numCache>
                <c:formatCode>0.0E+00</c:formatCode>
                <c:ptCount val="133"/>
                <c:pt idx="0">
                  <c:v>#N/A</c:v>
                </c:pt>
                <c:pt idx="1">
                  <c:v>1.3340036597999998E-3</c:v>
                </c:pt>
                <c:pt idx="2">
                  <c:v>2.4225523053197848E-3</c:v>
                </c:pt>
                <c:pt idx="3">
                  <c:v>3.0913475221165669E-3</c:v>
                </c:pt>
                <c:pt idx="4">
                  <c:v>3.2981402831227728E-3</c:v>
                </c:pt>
                <c:pt idx="5">
                  <c:v>3.5171845666666563E-3</c:v>
                </c:pt>
                <c:pt idx="6">
                  <c:v>6.2888478359845231E-3</c:v>
                </c:pt>
                <c:pt idx="7">
                  <c:v>6.358627981896541E-3</c:v>
                </c:pt>
                <c:pt idx="8">
                  <c:v>6.6974492135097345E-3</c:v>
                </c:pt>
                <c:pt idx="9">
                  <c:v>1.2105644337029745E-2</c:v>
                </c:pt>
                <c:pt idx="10">
                  <c:v>3.3047172491200004E-2</c:v>
                </c:pt>
                <c:pt idx="11">
                  <c:v>1.4551889854488045E-2</c:v>
                </c:pt>
                <c:pt idx="12">
                  <c:v>1.8695695087185982E-2</c:v>
                </c:pt>
                <c:pt idx="13">
                  <c:v>1.9639285132472976E-2</c:v>
                </c:pt>
                <c:pt idx="14">
                  <c:v>2.5426965597500864E-2</c:v>
                </c:pt>
                <c:pt idx="15">
                  <c:v>3.0391681194744811E-2</c:v>
                </c:pt>
                <c:pt idx="16">
                  <c:v>8.5666581149362472E-2</c:v>
                </c:pt>
                <c:pt idx="17">
                  <c:v>5.2381647305446241E-2</c:v>
                </c:pt>
                <c:pt idx="18">
                  <c:v>4.5034803258025793E-2</c:v>
                </c:pt>
                <c:pt idx="19">
                  <c:v>0.10369787360123375</c:v>
                </c:pt>
                <c:pt idx="20">
                  <c:v>5.9984894662360788E-2</c:v>
                </c:pt>
              </c:numCache>
            </c:numRef>
          </c:yVal>
          <c:smooth val="0"/>
          <c:extLst>
            <c:ext xmlns:c16="http://schemas.microsoft.com/office/drawing/2014/chart" uri="{C3380CC4-5D6E-409C-BE32-E72D297353CC}">
              <c16:uniqueId val="{00000002-28A4-7546-BA8C-7D455FF2F138}"/>
            </c:ext>
          </c:extLst>
        </c:ser>
        <c:ser>
          <c:idx val="9"/>
          <c:order val="3"/>
          <c:tx>
            <c:strRef>
              <c:f>analysis!$GX$67</c:f>
              <c:strCache>
                <c:ptCount val="1"/>
                <c:pt idx="0">
                  <c:v>GEStim</c:v>
                </c:pt>
              </c:strCache>
            </c:strRef>
          </c:tx>
          <c:spPr>
            <a:ln w="25400" cap="rnd">
              <a:noFill/>
              <a:round/>
            </a:ln>
            <a:effectLst/>
          </c:spPr>
          <c:marker>
            <c:symbol val="x"/>
            <c:size val="5"/>
            <c:spPr>
              <a:noFill/>
              <a:ln w="9525">
                <a:solidFill>
                  <a:schemeClr val="accent4">
                    <a:lumMod val="60000"/>
                  </a:schemeClr>
                </a:solidFill>
              </a:ln>
              <a:effectLst/>
            </c:spPr>
          </c:marker>
          <c:xVal>
            <c:numRef>
              <c:f>analysis!$GN$68:$GN$200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analysis!$GX$68:$GX$200</c:f>
              <c:numCache>
                <c:formatCode>0.0E+00</c:formatCode>
                <c:ptCount val="133"/>
                <c:pt idx="0">
                  <c:v>1.89029709999886E-2</c:v>
                </c:pt>
                <c:pt idx="1">
                  <c:v>9.6205559999873406E-3</c:v>
                </c:pt>
                <c:pt idx="2">
                  <c:v>1.12023340000178E-2</c:v>
                </c:pt>
                <c:pt idx="3">
                  <c:v>1.52931529999875E-2</c:v>
                </c:pt>
                <c:pt idx="4">
                  <c:v>1.5606151000014201E-2</c:v>
                </c:pt>
                <c:pt idx="5">
                  <c:v>1.5376677000006099E-2</c:v>
                </c:pt>
                <c:pt idx="6">
                  <c:v>2.58613809999985E-2</c:v>
                </c:pt>
                <c:pt idx="7">
                  <c:v>2.4847744999988201E-2</c:v>
                </c:pt>
                <c:pt idx="8">
                  <c:v>4.6398414000009297E-2</c:v>
                </c:pt>
                <c:pt idx="9">
                  <c:v>4.4623967999996197E-2</c:v>
                </c:pt>
                <c:pt idx="10">
                  <c:v>9.6175316999989394E-2</c:v>
                </c:pt>
                <c:pt idx="11">
                  <c:v>6.5719649000016006E-2</c:v>
                </c:pt>
                <c:pt idx="12">
                  <c:v>0.38964252699997798</c:v>
                </c:pt>
                <c:pt idx="13">
                  <c:v>0.44351509400001898</c:v>
                </c:pt>
                <c:pt idx="14">
                  <c:v>0.16429381099999299</c:v>
                </c:pt>
                <c:pt idx="15">
                  <c:v>0.650186386000001</c:v>
                </c:pt>
                <c:pt idx="16">
                  <c:v>0.88339284399998497</c:v>
                </c:pt>
                <c:pt idx="17">
                  <c:v>1.0283605650000101</c:v>
                </c:pt>
                <c:pt idx="18">
                  <c:v>0.42300122000000301</c:v>
                </c:pt>
                <c:pt idx="19">
                  <c:v>1.0976127819999899</c:v>
                </c:pt>
                <c:pt idx="20">
                  <c:v>1.11586894399999</c:v>
                </c:pt>
              </c:numCache>
            </c:numRef>
          </c:yVal>
          <c:smooth val="0"/>
          <c:extLst>
            <c:ext xmlns:c16="http://schemas.microsoft.com/office/drawing/2014/chart" uri="{C3380CC4-5D6E-409C-BE32-E72D297353CC}">
              <c16:uniqueId val="{00000003-28A4-7546-BA8C-7D455FF2F138}"/>
            </c:ext>
          </c:extLst>
        </c:ser>
        <c:ser>
          <c:idx val="10"/>
          <c:order val="4"/>
          <c:tx>
            <c:strRef>
              <c:f>analysis!$GY$67</c:f>
              <c:strCache>
                <c:ptCount val="1"/>
                <c:pt idx="0">
                  <c:v>CCStim</c:v>
                </c:pt>
              </c:strCache>
            </c:strRef>
          </c:tx>
          <c:spPr>
            <a:ln w="254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analysis!$GN$68:$GN$200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analysis!$GY$68:$GY$200</c:f>
              <c:numCache>
                <c:formatCode>0.0E+00</c:formatCode>
                <c:ptCount val="133"/>
                <c:pt idx="0">
                  <c:v>4.10058399998547E-3</c:v>
                </c:pt>
                <c:pt idx="1">
                  <c:v>9.4667950000086806E-3</c:v>
                </c:pt>
                <c:pt idx="2">
                  <c:v>1.13662480000016E-2</c:v>
                </c:pt>
                <c:pt idx="3">
                  <c:v>1.4537781000001301E-2</c:v>
                </c:pt>
                <c:pt idx="4">
                  <c:v>1.3601387999983601E-2</c:v>
                </c:pt>
                <c:pt idx="5">
                  <c:v>1.5499822000009499E-2</c:v>
                </c:pt>
                <c:pt idx="6">
                  <c:v>2.6139405000009198E-2</c:v>
                </c:pt>
                <c:pt idx="7">
                  <c:v>2.4081865999988801E-2</c:v>
                </c:pt>
                <c:pt idx="8">
                  <c:v>3.4590987000001398E-2</c:v>
                </c:pt>
                <c:pt idx="9">
                  <c:v>3.7128872000010901E-2</c:v>
                </c:pt>
                <c:pt idx="10">
                  <c:v>7.0446294999982201E-2</c:v>
                </c:pt>
                <c:pt idx="11">
                  <c:v>5.8526432000007803E-2</c:v>
                </c:pt>
                <c:pt idx="12">
                  <c:v>0.27396868400001001</c:v>
                </c:pt>
                <c:pt idx="13">
                  <c:v>0.27369200299997898</c:v>
                </c:pt>
                <c:pt idx="14">
                  <c:v>0.117219873999999</c:v>
                </c:pt>
                <c:pt idx="15">
                  <c:v>0.434171681999998</c:v>
                </c:pt>
                <c:pt idx="16">
                  <c:v>0.63965472399999601</c:v>
                </c:pt>
                <c:pt idx="17">
                  <c:v>0.72185197100000598</c:v>
                </c:pt>
                <c:pt idx="18">
                  <c:v>0.32382920899999501</c:v>
                </c:pt>
                <c:pt idx="19">
                  <c:v>0.78849559100001398</c:v>
                </c:pt>
                <c:pt idx="20">
                  <c:v>0.78232529400000295</c:v>
                </c:pt>
              </c:numCache>
            </c:numRef>
          </c:yVal>
          <c:smooth val="0"/>
          <c:extLst>
            <c:ext xmlns:c16="http://schemas.microsoft.com/office/drawing/2014/chart" uri="{C3380CC4-5D6E-409C-BE32-E72D297353CC}">
              <c16:uniqueId val="{00000004-28A4-7546-BA8C-7D455FF2F138}"/>
            </c:ext>
          </c:extLst>
        </c:ser>
        <c:ser>
          <c:idx val="11"/>
          <c:order val="5"/>
          <c:tx>
            <c:strRef>
              <c:f>analysis!$GZ$67</c:f>
              <c:strCache>
                <c:ptCount val="1"/>
                <c:pt idx="0">
                  <c:v>UEStim</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analysis!$GN$68:$GN$200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analysis!$GZ$68:$GZ$200</c:f>
              <c:numCache>
                <c:formatCode>0.0E+00</c:formatCode>
                <c:ptCount val="133"/>
                <c:pt idx="0">
                  <c:v>1.9223120000049199E-3</c:v>
                </c:pt>
                <c:pt idx="1">
                  <c:v>5.8896820000028998E-3</c:v>
                </c:pt>
                <c:pt idx="2">
                  <c:v>6.9890449999973998E-3</c:v>
                </c:pt>
                <c:pt idx="3">
                  <c:v>8.8894219999957492E-3</c:v>
                </c:pt>
                <c:pt idx="4">
                  <c:v>6.0843549999987003E-3</c:v>
                </c:pt>
                <c:pt idx="5">
                  <c:v>8.6324915000090992E-3</c:v>
                </c:pt>
                <c:pt idx="6">
                  <c:v>1.3362718999999849E-2</c:v>
                </c:pt>
                <c:pt idx="7">
                  <c:v>1.277207499998665E-2</c:v>
                </c:pt>
                <c:pt idx="8">
                  <c:v>2.3282521500007598E-2</c:v>
                </c:pt>
                <c:pt idx="9">
                  <c:v>2.1414719999995651E-2</c:v>
                </c:pt>
                <c:pt idx="10">
                  <c:v>4.819837250001055E-2</c:v>
                </c:pt>
                <c:pt idx="11">
                  <c:v>3.2946061499998749E-2</c:v>
                </c:pt>
                <c:pt idx="12">
                  <c:v>0.23517587899999601</c:v>
                </c:pt>
                <c:pt idx="13">
                  <c:v>0.22479843700000399</c:v>
                </c:pt>
                <c:pt idx="14">
                  <c:v>7.8841294000000006E-2</c:v>
                </c:pt>
                <c:pt idx="15">
                  <c:v>0.363120355499987</c:v>
                </c:pt>
                <c:pt idx="16">
                  <c:v>0.52908688199999998</c:v>
                </c:pt>
                <c:pt idx="17">
                  <c:v>0.596435164500005</c:v>
                </c:pt>
                <c:pt idx="18">
                  <c:v>0.21621917800000251</c:v>
                </c:pt>
                <c:pt idx="19">
                  <c:v>0.62869238749999501</c:v>
                </c:pt>
                <c:pt idx="20">
                  <c:v>0.63698149149999495</c:v>
                </c:pt>
              </c:numCache>
            </c:numRef>
          </c:yVal>
          <c:smooth val="0"/>
          <c:extLst>
            <c:ext xmlns:c16="http://schemas.microsoft.com/office/drawing/2014/chart" uri="{C3380CC4-5D6E-409C-BE32-E72D297353CC}">
              <c16:uniqueId val="{00000005-28A4-7546-BA8C-7D455FF2F138}"/>
            </c:ext>
          </c:extLst>
        </c:ser>
        <c:dLbls>
          <c:showLegendKey val="0"/>
          <c:showVal val="0"/>
          <c:showCatName val="0"/>
          <c:showSerName val="0"/>
          <c:showPercent val="0"/>
          <c:showBubbleSize val="0"/>
        </c:dLbls>
        <c:axId val="1782197904"/>
        <c:axId val="1782199616"/>
      </c:scatterChart>
      <c:valAx>
        <c:axId val="178219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70344925634295719"/>
          <c:y val="0.48198682195975501"/>
          <c:w val="0.22290573053368329"/>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analysis!$HI$67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analysis!$HB$68:$HB$200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analysis!$HI$68:$HI$200</c:f>
              <c:numCache>
                <c:formatCode>0.0%</c:formatCode>
                <c:ptCount val="133"/>
                <c:pt idx="0">
                  <c:v>1</c:v>
                </c:pt>
                <c:pt idx="1">
                  <c:v>1</c:v>
                </c:pt>
                <c:pt idx="2">
                  <c:v>0.99819999999999998</c:v>
                </c:pt>
                <c:pt idx="3">
                  <c:v>0.99970000000000003</c:v>
                </c:pt>
                <c:pt idx="4">
                  <c:v>0.99780000000000002</c:v>
                </c:pt>
                <c:pt idx="5">
                  <c:v>0.99950000000000006</c:v>
                </c:pt>
                <c:pt idx="6">
                  <c:v>0.97099999999999997</c:v>
                </c:pt>
                <c:pt idx="7">
                  <c:v>0.96899999999999997</c:v>
                </c:pt>
                <c:pt idx="8">
                  <c:v>0.99909999999999999</c:v>
                </c:pt>
                <c:pt idx="9">
                  <c:v>0.93149999999999999</c:v>
                </c:pt>
                <c:pt idx="10">
                  <c:v>0.73470000000000002</c:v>
                </c:pt>
                <c:pt idx="11">
                  <c:v>0.98340000000000005</c:v>
                </c:pt>
                <c:pt idx="12">
                  <c:v>0.99770000000000003</c:v>
                </c:pt>
                <c:pt idx="13">
                  <c:v>0.98299999999999998</c:v>
                </c:pt>
                <c:pt idx="14">
                  <c:v>0.95520000000000005</c:v>
                </c:pt>
                <c:pt idx="15">
                  <c:v>0.79530000000000001</c:v>
                </c:pt>
                <c:pt idx="16">
                  <c:v>0.74790000000000001</c:v>
                </c:pt>
                <c:pt idx="17">
                  <c:v>0.8962</c:v>
                </c:pt>
                <c:pt idx="18">
                  <c:v>0.98540000000000005</c:v>
                </c:pt>
                <c:pt idx="19">
                  <c:v>0.81710000000000005</c:v>
                </c:pt>
                <c:pt idx="20">
                  <c:v>0.99739999999999995</c:v>
                </c:pt>
              </c:numCache>
            </c:numRef>
          </c:yVal>
          <c:smooth val="0"/>
          <c:extLst>
            <c:ext xmlns:c16="http://schemas.microsoft.com/office/drawing/2014/chart" uri="{C3380CC4-5D6E-409C-BE32-E72D297353CC}">
              <c16:uniqueId val="{00000000-D583-924A-A422-8E66C951532E}"/>
            </c:ext>
          </c:extLst>
        </c:ser>
        <c:ser>
          <c:idx val="7"/>
          <c:order val="1"/>
          <c:tx>
            <c:strRef>
              <c:f>analysis!$HJ$67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analysis!$HB$68:$HB$200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analysis!$HJ$68:$HJ$200</c:f>
              <c:numCache>
                <c:formatCode>0.0%</c:formatCode>
                <c:ptCount val="133"/>
                <c:pt idx="0">
                  <c:v>1</c:v>
                </c:pt>
                <c:pt idx="1">
                  <c:v>1</c:v>
                </c:pt>
                <c:pt idx="2">
                  <c:v>1</c:v>
                </c:pt>
                <c:pt idx="3">
                  <c:v>1</c:v>
                </c:pt>
                <c:pt idx="4">
                  <c:v>1</c:v>
                </c:pt>
                <c:pt idx="5">
                  <c:v>1</c:v>
                </c:pt>
                <c:pt idx="6">
                  <c:v>0.99560000000000004</c:v>
                </c:pt>
                <c:pt idx="7">
                  <c:v>0.99880000000000002</c:v>
                </c:pt>
                <c:pt idx="8">
                  <c:v>1</c:v>
                </c:pt>
                <c:pt idx="9">
                  <c:v>0.98670000000000002</c:v>
                </c:pt>
                <c:pt idx="10">
                  <c:v>0.93789999999999996</c:v>
                </c:pt>
                <c:pt idx="11">
                  <c:v>0.99539999999999995</c:v>
                </c:pt>
                <c:pt idx="12">
                  <c:v>1</c:v>
                </c:pt>
                <c:pt idx="13">
                  <c:v>0.99919999999999998</c:v>
                </c:pt>
                <c:pt idx="14">
                  <c:v>0.99060000000000004</c:v>
                </c:pt>
                <c:pt idx="15">
                  <c:v>0.96089999999999998</c:v>
                </c:pt>
                <c:pt idx="16">
                  <c:v>0.90349999999999997</c:v>
                </c:pt>
                <c:pt idx="17">
                  <c:v>0.96919999999999995</c:v>
                </c:pt>
                <c:pt idx="18">
                  <c:v>0.99580000000000002</c:v>
                </c:pt>
                <c:pt idx="19">
                  <c:v>0.92949999999999999</c:v>
                </c:pt>
                <c:pt idx="20">
                  <c:v>0.99970000000000003</c:v>
                </c:pt>
              </c:numCache>
            </c:numRef>
          </c:yVal>
          <c:smooth val="0"/>
          <c:extLst>
            <c:ext xmlns:c16="http://schemas.microsoft.com/office/drawing/2014/chart" uri="{C3380CC4-5D6E-409C-BE32-E72D297353CC}">
              <c16:uniqueId val="{00000001-D583-924A-A422-8E66C951532E}"/>
            </c:ext>
          </c:extLst>
        </c:ser>
        <c:ser>
          <c:idx val="8"/>
          <c:order val="2"/>
          <c:tx>
            <c:strRef>
              <c:f>analysis!$HK$67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analysis!$HB$68:$HB$200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analysis!$HK$68:$HK$200</c:f>
              <c:numCache>
                <c:formatCode>0.0%</c:formatCode>
                <c:ptCount val="133"/>
                <c:pt idx="0">
                  <c:v>0</c:v>
                </c:pt>
                <c:pt idx="1">
                  <c:v>1</c:v>
                </c:pt>
                <c:pt idx="2">
                  <c:v>0.83650000000000002</c:v>
                </c:pt>
                <c:pt idx="3">
                  <c:v>0.96760000000000002</c:v>
                </c:pt>
                <c:pt idx="4">
                  <c:v>0.92610000000000003</c:v>
                </c:pt>
                <c:pt idx="5">
                  <c:v>0.99299999999999999</c:v>
                </c:pt>
                <c:pt idx="6">
                  <c:v>0.9304</c:v>
                </c:pt>
                <c:pt idx="7">
                  <c:v>0.92800000000000005</c:v>
                </c:pt>
                <c:pt idx="8">
                  <c:v>0.92969999999999997</c:v>
                </c:pt>
                <c:pt idx="9">
                  <c:v>0.71240000000000003</c:v>
                </c:pt>
                <c:pt idx="10">
                  <c:v>0.375</c:v>
                </c:pt>
                <c:pt idx="11">
                  <c:v>0.92020000000000002</c:v>
                </c:pt>
                <c:pt idx="12">
                  <c:v>0.94740000000000002</c:v>
                </c:pt>
                <c:pt idx="13">
                  <c:v>0.90659999999999996</c:v>
                </c:pt>
                <c:pt idx="14">
                  <c:v>0.75229999999999997</c:v>
                </c:pt>
                <c:pt idx="15">
                  <c:v>0.92479999999999996</c:v>
                </c:pt>
                <c:pt idx="16">
                  <c:v>0.43919999999999998</c:v>
                </c:pt>
                <c:pt idx="17">
                  <c:v>0.78769999999999996</c:v>
                </c:pt>
                <c:pt idx="18">
                  <c:v>0.91890000000000005</c:v>
                </c:pt>
                <c:pt idx="19">
                  <c:v>0.45390000000000003</c:v>
                </c:pt>
                <c:pt idx="20">
                  <c:v>0.78190000000000004</c:v>
                </c:pt>
              </c:numCache>
            </c:numRef>
          </c:yVal>
          <c:smooth val="0"/>
          <c:extLst>
            <c:ext xmlns:c16="http://schemas.microsoft.com/office/drawing/2014/chart" uri="{C3380CC4-5D6E-409C-BE32-E72D297353CC}">
              <c16:uniqueId val="{00000002-D583-924A-A422-8E66C951532E}"/>
            </c:ext>
          </c:extLst>
        </c:ser>
        <c:ser>
          <c:idx val="9"/>
          <c:order val="3"/>
          <c:tx>
            <c:strRef>
              <c:f>analysis!$HL$67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analysis!$HB$68:$HB$200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analysis!$HL$68:$HL$200</c:f>
              <c:numCache>
                <c:formatCode>0.0%</c:formatCode>
                <c:ptCount val="133"/>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Cache>
            </c:numRef>
          </c:yVal>
          <c:smooth val="0"/>
          <c:extLst>
            <c:ext xmlns:c16="http://schemas.microsoft.com/office/drawing/2014/chart" uri="{C3380CC4-5D6E-409C-BE32-E72D297353CC}">
              <c16:uniqueId val="{00000003-D583-924A-A422-8E66C951532E}"/>
            </c:ext>
          </c:extLst>
        </c:ser>
        <c:ser>
          <c:idx val="10"/>
          <c:order val="4"/>
          <c:tx>
            <c:strRef>
              <c:f>analysis!$HM$67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analysis!$HB$68:$HB$200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analysis!$HM$68:$HM$200</c:f>
              <c:numCache>
                <c:formatCode>0.0%</c:formatCode>
                <c:ptCount val="133"/>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Cache>
            </c:numRef>
          </c:yVal>
          <c:smooth val="0"/>
          <c:extLst>
            <c:ext xmlns:c16="http://schemas.microsoft.com/office/drawing/2014/chart" uri="{C3380CC4-5D6E-409C-BE32-E72D297353CC}">
              <c16:uniqueId val="{00000004-D583-924A-A422-8E66C951532E}"/>
            </c:ext>
          </c:extLst>
        </c:ser>
        <c:ser>
          <c:idx val="11"/>
          <c:order val="5"/>
          <c:tx>
            <c:strRef>
              <c:f>analysis!$HN$67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analysis!$HB$68:$HB$200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analysis!$HN$68:$HN$200</c:f>
              <c:numCache>
                <c:formatCode>0.0%</c:formatCode>
                <c:ptCount val="133"/>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Cache>
            </c:numRef>
          </c:yVal>
          <c:smooth val="0"/>
          <c:extLst>
            <c:ext xmlns:c16="http://schemas.microsoft.com/office/drawing/2014/chart" uri="{C3380CC4-5D6E-409C-BE32-E72D297353CC}">
              <c16:uniqueId val="{00000005-D583-924A-A422-8E66C951532E}"/>
            </c:ext>
          </c:extLst>
        </c:ser>
        <c:dLbls>
          <c:showLegendKey val="0"/>
          <c:showVal val="0"/>
          <c:showCatName val="0"/>
          <c:showSerName val="0"/>
          <c:showPercent val="0"/>
          <c:showBubbleSize val="0"/>
        </c:dLbls>
        <c:axId val="924521264"/>
        <c:axId val="924522976"/>
      </c:scatterChart>
      <c:valAx>
        <c:axId val="924521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2976"/>
        <c:crosses val="autoZero"/>
        <c:crossBetween val="midCat"/>
      </c:valAx>
      <c:valAx>
        <c:axId val="924522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Success Rate per Trial</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1264"/>
        <c:crosses val="autoZero"/>
        <c:crossBetween val="midCat"/>
      </c:valAx>
      <c:spPr>
        <a:noFill/>
        <a:ln>
          <a:noFill/>
        </a:ln>
        <a:effectLst/>
      </c:spPr>
    </c:plotArea>
    <c:legend>
      <c:legendPos val="tr"/>
      <c:layout>
        <c:manualLayout>
          <c:xMode val="edge"/>
          <c:yMode val="edge"/>
          <c:x val="0.2250109361329834"/>
          <c:y val="0.4236111111111111"/>
          <c:w val="0.22290573053368329"/>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analysis!$GG$67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analysis!$FZ$68:$FZ$200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analysis!$GG$68:$GG$200</c:f>
              <c:numCache>
                <c:formatCode>0.00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0"/>
          <c:extLst>
            <c:ext xmlns:c16="http://schemas.microsoft.com/office/drawing/2014/chart" uri="{C3380CC4-5D6E-409C-BE32-E72D297353CC}">
              <c16:uniqueId val="{00000000-5CE6-3046-98B4-DE7F46ED7B76}"/>
            </c:ext>
          </c:extLst>
        </c:ser>
        <c:ser>
          <c:idx val="7"/>
          <c:order val="1"/>
          <c:tx>
            <c:strRef>
              <c:f>analysis!$GH$67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analysis!$FZ$68:$FZ$200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analysis!$GH$68:$GH$200</c:f>
              <c:numCache>
                <c:formatCode>0.00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0"/>
          <c:extLst>
            <c:ext xmlns:c16="http://schemas.microsoft.com/office/drawing/2014/chart" uri="{C3380CC4-5D6E-409C-BE32-E72D297353CC}">
              <c16:uniqueId val="{00000001-5CE6-3046-98B4-DE7F46ED7B76}"/>
            </c:ext>
          </c:extLst>
        </c:ser>
        <c:ser>
          <c:idx val="8"/>
          <c:order val="2"/>
          <c:tx>
            <c:strRef>
              <c:f>analysis!$GI$67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analysis!$FZ$68:$FZ$200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analysis!$GI$68:$GI$200</c:f>
              <c:numCache>
                <c:formatCode>0.00</c:formatCode>
                <c:ptCount val="133"/>
                <c:pt idx="0">
                  <c:v>0.5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0"/>
          <c:extLst>
            <c:ext xmlns:c16="http://schemas.microsoft.com/office/drawing/2014/chart" uri="{C3380CC4-5D6E-409C-BE32-E72D297353CC}">
              <c16:uniqueId val="{00000002-5CE6-3046-98B4-DE7F46ED7B76}"/>
            </c:ext>
          </c:extLst>
        </c:ser>
        <c:ser>
          <c:idx val="9"/>
          <c:order val="3"/>
          <c:tx>
            <c:strRef>
              <c:f>analysis!$GJ$67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analysis!$FZ$68:$FZ$200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analysis!$GJ$68:$GJ$200</c:f>
              <c:numCache>
                <c:formatCode>0.00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0"/>
          <c:extLst>
            <c:ext xmlns:c16="http://schemas.microsoft.com/office/drawing/2014/chart" uri="{C3380CC4-5D6E-409C-BE32-E72D297353CC}">
              <c16:uniqueId val="{00000003-5CE6-3046-98B4-DE7F46ED7B76}"/>
            </c:ext>
          </c:extLst>
        </c:ser>
        <c:ser>
          <c:idx val="10"/>
          <c:order val="4"/>
          <c:tx>
            <c:strRef>
              <c:f>analysis!$GK$67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analysis!$FZ$68:$FZ$200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analysis!$GK$68:$GK$200</c:f>
              <c:numCache>
                <c:formatCode>0.00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0"/>
          <c:extLst>
            <c:ext xmlns:c16="http://schemas.microsoft.com/office/drawing/2014/chart" uri="{C3380CC4-5D6E-409C-BE32-E72D297353CC}">
              <c16:uniqueId val="{00000004-5CE6-3046-98B4-DE7F46ED7B76}"/>
            </c:ext>
          </c:extLst>
        </c:ser>
        <c:ser>
          <c:idx val="11"/>
          <c:order val="5"/>
          <c:tx>
            <c:strRef>
              <c:f>analysis!$GL$67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analysis!$FZ$68:$FZ$200</c:f>
              <c:numCache>
                <c:formatCode>General</c:formatCode>
                <c:ptCount val="133"/>
                <c:pt idx="0">
                  <c:v>6</c:v>
                </c:pt>
                <c:pt idx="1">
                  <c:v>24</c:v>
                </c:pt>
                <c:pt idx="2">
                  <c:v>48</c:v>
                </c:pt>
                <c:pt idx="3">
                  <c:v>84</c:v>
                </c:pt>
                <c:pt idx="4">
                  <c:v>84</c:v>
                </c:pt>
                <c:pt idx="5">
                  <c:v>96</c:v>
                </c:pt>
                <c:pt idx="6">
                  <c:v>168</c:v>
                </c:pt>
                <c:pt idx="7">
                  <c:v>168</c:v>
                </c:pt>
                <c:pt idx="8">
                  <c:v>180</c:v>
                </c:pt>
                <c:pt idx="9">
                  <c:v>252</c:v>
                </c:pt>
                <c:pt idx="10">
                  <c:v>360</c:v>
                </c:pt>
                <c:pt idx="11">
                  <c:v>384</c:v>
                </c:pt>
                <c:pt idx="12">
                  <c:v>504</c:v>
                </c:pt>
                <c:pt idx="13">
                  <c:v>504</c:v>
                </c:pt>
                <c:pt idx="14">
                  <c:v>540</c:v>
                </c:pt>
                <c:pt idx="15">
                  <c:v>768</c:v>
                </c:pt>
                <c:pt idx="16">
                  <c:v>1008</c:v>
                </c:pt>
                <c:pt idx="17">
                  <c:v>1080</c:v>
                </c:pt>
                <c:pt idx="18">
                  <c:v>1080</c:v>
                </c:pt>
                <c:pt idx="19">
                  <c:v>1224</c:v>
                </c:pt>
                <c:pt idx="20">
                  <c:v>1224</c:v>
                </c:pt>
              </c:numCache>
            </c:numRef>
          </c:xVal>
          <c:yVal>
            <c:numRef>
              <c:f>analysis!$GL$68:$GL$200</c:f>
              <c:numCache>
                <c:formatCode>0.00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0"/>
          <c:extLst>
            <c:ext xmlns:c16="http://schemas.microsoft.com/office/drawing/2014/chart" uri="{C3380CC4-5D6E-409C-BE32-E72D297353CC}">
              <c16:uniqueId val="{00000005-5CE6-3046-98B4-DE7F46ED7B76}"/>
            </c:ext>
          </c:extLst>
        </c:ser>
        <c:dLbls>
          <c:showLegendKey val="0"/>
          <c:showVal val="0"/>
          <c:showCatName val="0"/>
          <c:showSerName val="0"/>
          <c:showPercent val="0"/>
          <c:showBubbleSize val="0"/>
        </c:dLbls>
        <c:axId val="923162368"/>
        <c:axId val="923164080"/>
      </c:scatterChart>
      <c:valAx>
        <c:axId val="923162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4080"/>
        <c:crosses val="autoZero"/>
        <c:crossBetween val="midCat"/>
      </c:valAx>
      <c:valAx>
        <c:axId val="923164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Delta</a:t>
                </a:r>
                <a:r>
                  <a:rPr lang="en-GB" sz="1200" baseline="0"/>
                  <a:t> d / d</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2368"/>
        <c:crosses val="autoZero"/>
        <c:crossBetween val="midCat"/>
      </c:valAx>
      <c:spPr>
        <a:noFill/>
        <a:ln>
          <a:noFill/>
        </a:ln>
        <a:effectLst/>
      </c:spPr>
    </c:plotArea>
    <c:legend>
      <c:legendPos val="l"/>
      <c:layout>
        <c:manualLayout>
          <c:xMode val="edge"/>
          <c:yMode val="edge"/>
          <c:x val="0.68148233250203172"/>
          <c:y val="8.4634186351706039E-2"/>
          <c:w val="0.22845854232633733"/>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12700</xdr:colOff>
      <xdr:row>21</xdr:row>
      <xdr:rowOff>50800</xdr:rowOff>
    </xdr:from>
    <xdr:to>
      <xdr:col>2</xdr:col>
      <xdr:colOff>825500</xdr:colOff>
      <xdr:row>39</xdr:row>
      <xdr:rowOff>50800</xdr:rowOff>
    </xdr:to>
    <xdr:graphicFrame macro="">
      <xdr:nvGraphicFramePr>
        <xdr:cNvPr id="2" name="Chart 1">
          <a:extLst>
            <a:ext uri="{FF2B5EF4-FFF2-40B4-BE49-F238E27FC236}">
              <a16:creationId xmlns:a16="http://schemas.microsoft.com/office/drawing/2014/main" id="{6A670855-121B-5A4B-A0B9-A4069A5F5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0</xdr:rowOff>
    </xdr:from>
    <xdr:to>
      <xdr:col>8</xdr:col>
      <xdr:colOff>228600</xdr:colOff>
      <xdr:row>39</xdr:row>
      <xdr:rowOff>0</xdr:rowOff>
    </xdr:to>
    <xdr:graphicFrame macro="">
      <xdr:nvGraphicFramePr>
        <xdr:cNvPr id="3" name="Chart 2">
          <a:extLst>
            <a:ext uri="{FF2B5EF4-FFF2-40B4-BE49-F238E27FC236}">
              <a16:creationId xmlns:a16="http://schemas.microsoft.com/office/drawing/2014/main" id="{EAE213E0-046F-8E44-AF09-40BB66CBD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21</xdr:row>
      <xdr:rowOff>0</xdr:rowOff>
    </xdr:from>
    <xdr:to>
      <xdr:col>13</xdr:col>
      <xdr:colOff>609600</xdr:colOff>
      <xdr:row>39</xdr:row>
      <xdr:rowOff>0</xdr:rowOff>
    </xdr:to>
    <xdr:graphicFrame macro="">
      <xdr:nvGraphicFramePr>
        <xdr:cNvPr id="4" name="Chart 3">
          <a:extLst>
            <a:ext uri="{FF2B5EF4-FFF2-40B4-BE49-F238E27FC236}">
              <a16:creationId xmlns:a16="http://schemas.microsoft.com/office/drawing/2014/main" id="{6F9744EE-ABBB-4346-9646-C439AACFF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21</xdr:row>
      <xdr:rowOff>0</xdr:rowOff>
    </xdr:from>
    <xdr:to>
      <xdr:col>19</xdr:col>
      <xdr:colOff>203200</xdr:colOff>
      <xdr:row>39</xdr:row>
      <xdr:rowOff>0</xdr:rowOff>
    </xdr:to>
    <xdr:graphicFrame macro="">
      <xdr:nvGraphicFramePr>
        <xdr:cNvPr id="5" name="Chart 4">
          <a:extLst>
            <a:ext uri="{FF2B5EF4-FFF2-40B4-BE49-F238E27FC236}">
              <a16:creationId xmlns:a16="http://schemas.microsoft.com/office/drawing/2014/main" id="{26F83543-01F1-3144-ACAF-F7882EB36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BCB17-98D4-B948-9B6E-8F82D5A5B6F4}">
  <dimension ref="A1:HN190"/>
  <sheetViews>
    <sheetView tabSelected="1" topLeftCell="C7" zoomScaleNormal="100" workbookViewId="0">
      <selection activeCell="I15" sqref="I15"/>
    </sheetView>
  </sheetViews>
  <sheetFormatPr baseColWidth="10" defaultColWidth="11" defaultRowHeight="16" x14ac:dyDescent="0.2"/>
  <cols>
    <col min="1" max="1" width="27.1640625" bestFit="1" customWidth="1"/>
    <col min="2" max="2" width="10.1640625" bestFit="1" customWidth="1"/>
    <col min="3" max="3" width="12.33203125" bestFit="1" customWidth="1"/>
    <col min="4" max="4" width="9.33203125" bestFit="1" customWidth="1"/>
    <col min="5" max="5" width="14" bestFit="1" customWidth="1"/>
    <col min="6" max="6" width="9" bestFit="1" customWidth="1"/>
    <col min="7" max="7" width="8.6640625" bestFit="1" customWidth="1"/>
    <col min="8" max="8" width="13.33203125" bestFit="1" customWidth="1"/>
    <col min="9" max="9" width="20" customWidth="1"/>
    <col min="10" max="10" width="8.6640625" bestFit="1" customWidth="1"/>
    <col min="11" max="11" width="6.1640625" customWidth="1"/>
    <col min="12" max="12" width="13" bestFit="1" customWidth="1"/>
    <col min="13" max="15" width="12.1640625" bestFit="1" customWidth="1"/>
    <col min="16" max="16" width="11.1640625" bestFit="1" customWidth="1"/>
    <col min="17" max="17" width="11" bestFit="1" customWidth="1"/>
    <col min="18" max="20" width="11" customWidth="1"/>
    <col min="21" max="21" width="9.83203125" customWidth="1"/>
    <col min="22" max="22" width="7" bestFit="1" customWidth="1"/>
    <col min="23" max="23" width="7.6640625" bestFit="1" customWidth="1"/>
    <col min="24" max="24" width="6.1640625" bestFit="1" customWidth="1"/>
    <col min="25" max="25" width="8.5" bestFit="1" customWidth="1"/>
    <col min="26" max="26" width="8.6640625" bestFit="1" customWidth="1"/>
    <col min="27" max="27" width="7.33203125" bestFit="1" customWidth="1"/>
    <col min="28" max="28" width="6.6640625" bestFit="1" customWidth="1"/>
    <col min="29" max="29" width="9" bestFit="1" customWidth="1"/>
    <col min="30" max="30" width="9.33203125" bestFit="1" customWidth="1"/>
    <col min="31" max="31" width="12.33203125" bestFit="1" customWidth="1"/>
    <col min="32" max="32" width="7.1640625" bestFit="1" customWidth="1"/>
    <col min="33" max="34" width="11.5" bestFit="1" customWidth="1"/>
    <col min="35" max="37" width="11.5" customWidth="1"/>
    <col min="39" max="50" width="7.83203125" customWidth="1"/>
    <col min="51" max="51" width="11.5" bestFit="1" customWidth="1"/>
    <col min="52" max="54" width="11.5" customWidth="1"/>
    <col min="55" max="55" width="7.83203125" customWidth="1"/>
    <col min="56" max="56" width="22.1640625" bestFit="1" customWidth="1"/>
    <col min="57" max="57" width="7.6640625" bestFit="1" customWidth="1"/>
    <col min="58" max="58" width="6.1640625" bestFit="1" customWidth="1"/>
    <col min="59" max="59" width="8.5" bestFit="1" customWidth="1"/>
    <col min="60" max="60" width="8.6640625" bestFit="1" customWidth="1"/>
    <col min="61" max="61" width="7.33203125" bestFit="1" customWidth="1"/>
    <col min="62" max="62" width="6.6640625" bestFit="1" customWidth="1"/>
    <col min="63" max="63" width="9" bestFit="1" customWidth="1"/>
    <col min="64" max="64" width="9.33203125" bestFit="1" customWidth="1"/>
    <col min="65" max="65" width="12.33203125" bestFit="1" customWidth="1"/>
    <col min="66" max="66" width="7.1640625" bestFit="1" customWidth="1"/>
    <col min="67" max="68" width="11.5" bestFit="1" customWidth="1"/>
    <col min="69" max="71" width="11.5" customWidth="1"/>
    <col min="73" max="73" width="7" bestFit="1" customWidth="1"/>
    <col min="74" max="74" width="7.6640625" bestFit="1" customWidth="1"/>
    <col min="75" max="75" width="6.1640625" bestFit="1" customWidth="1"/>
    <col min="76" max="76" width="8.5" bestFit="1" customWidth="1"/>
    <col min="77" max="77" width="8.6640625" bestFit="1" customWidth="1"/>
    <col min="78" max="78" width="7.33203125" bestFit="1" customWidth="1"/>
    <col min="79" max="79" width="6.6640625" bestFit="1" customWidth="1"/>
    <col min="80" max="80" width="9" bestFit="1" customWidth="1"/>
    <col min="81" max="81" width="9.33203125" bestFit="1" customWidth="1"/>
    <col min="82" max="82" width="12.33203125" bestFit="1" customWidth="1"/>
    <col min="83" max="83" width="7.1640625" bestFit="1" customWidth="1"/>
    <col min="84" max="85" width="11.5" bestFit="1" customWidth="1"/>
    <col min="86" max="88" width="11.5" customWidth="1"/>
    <col min="90" max="90" width="8.5" bestFit="1" customWidth="1"/>
    <col min="91" max="91" width="7.6640625" bestFit="1" customWidth="1"/>
    <col min="92" max="92" width="6.1640625" bestFit="1" customWidth="1"/>
    <col min="93" max="93" width="8.5" bestFit="1" customWidth="1"/>
    <col min="94" max="94" width="8.6640625" bestFit="1" customWidth="1"/>
    <col min="95" max="95" width="7.33203125" bestFit="1" customWidth="1"/>
    <col min="96" max="96" width="6.6640625" bestFit="1" customWidth="1"/>
    <col min="97" max="97" width="9" bestFit="1" customWidth="1"/>
    <col min="98" max="98" width="9.33203125" bestFit="1" customWidth="1"/>
    <col min="99" max="99" width="12.33203125" bestFit="1" customWidth="1"/>
    <col min="100" max="100" width="7.1640625" bestFit="1" customWidth="1"/>
    <col min="101" max="102" width="11.5" bestFit="1" customWidth="1"/>
    <col min="103" max="105" width="11.5" customWidth="1"/>
    <col min="107" max="107" width="20.6640625" bestFit="1" customWidth="1"/>
    <col min="108" max="108" width="7.6640625" bestFit="1" customWidth="1"/>
    <col min="109" max="111" width="12.1640625" bestFit="1" customWidth="1"/>
    <col min="112" max="112" width="7.33203125" bestFit="1" customWidth="1"/>
    <col min="113" max="115" width="12.1640625" bestFit="1" customWidth="1"/>
    <col min="116" max="116" width="12.33203125" bestFit="1" customWidth="1"/>
    <col min="117" max="119" width="12.1640625" bestFit="1" customWidth="1"/>
    <col min="120" max="122" width="12.1640625" customWidth="1"/>
    <col min="124" max="124" width="20.6640625" bestFit="1" customWidth="1"/>
    <col min="125" max="125" width="7.6640625" bestFit="1" customWidth="1"/>
    <col min="126" max="128" width="12.1640625" bestFit="1" customWidth="1"/>
    <col min="129" max="129" width="7.33203125" bestFit="1" customWidth="1"/>
    <col min="130" max="132" width="12.1640625" bestFit="1" customWidth="1"/>
    <col min="133" max="133" width="12.33203125" bestFit="1" customWidth="1"/>
    <col min="134" max="136" width="12.1640625" bestFit="1" customWidth="1"/>
    <col min="137" max="139" width="12.1640625" customWidth="1"/>
    <col min="141" max="141" width="7" bestFit="1" customWidth="1"/>
    <col min="142" max="142" width="7.6640625" bestFit="1" customWidth="1"/>
    <col min="143" max="143" width="6.1640625" bestFit="1" customWidth="1"/>
    <col min="144" max="144" width="8.5" bestFit="1" customWidth="1"/>
    <col min="145" max="145" width="8.6640625" bestFit="1" customWidth="1"/>
    <col min="146" max="146" width="7.33203125" bestFit="1" customWidth="1"/>
    <col min="147" max="147" width="6.6640625" bestFit="1" customWidth="1"/>
    <col min="148" max="148" width="9" bestFit="1" customWidth="1"/>
    <col min="149" max="149" width="9.33203125" bestFit="1" customWidth="1"/>
    <col min="150" max="150" width="12.33203125" bestFit="1" customWidth="1"/>
    <col min="151" max="151" width="7.1640625" bestFit="1" customWidth="1"/>
    <col min="152" max="153" width="11.5" bestFit="1" customWidth="1"/>
    <col min="154" max="156" width="11.5" customWidth="1"/>
    <col min="158" max="158" width="7" bestFit="1" customWidth="1"/>
    <col min="159" max="159" width="7.6640625" bestFit="1" customWidth="1"/>
    <col min="160" max="160" width="6.1640625" bestFit="1" customWidth="1"/>
    <col min="161" max="161" width="8.5" bestFit="1" customWidth="1"/>
    <col min="162" max="162" width="8.6640625" bestFit="1" customWidth="1"/>
    <col min="163" max="163" width="7.33203125" bestFit="1" customWidth="1"/>
    <col min="164" max="164" width="6.6640625" bestFit="1" customWidth="1"/>
    <col min="165" max="165" width="9" bestFit="1" customWidth="1"/>
    <col min="166" max="166" width="9.33203125" bestFit="1" customWidth="1"/>
    <col min="167" max="167" width="12.33203125" bestFit="1" customWidth="1"/>
    <col min="168" max="168" width="7.1640625" bestFit="1" customWidth="1"/>
    <col min="169" max="170" width="11.5" bestFit="1" customWidth="1"/>
    <col min="171" max="173" width="11.5" customWidth="1"/>
    <col min="176" max="176" width="12.1640625" bestFit="1" customWidth="1"/>
    <col min="182" max="182" width="4.1640625" bestFit="1" customWidth="1"/>
    <col min="183" max="183" width="6.6640625" bestFit="1" customWidth="1"/>
    <col min="184" max="184" width="9" bestFit="1" customWidth="1"/>
    <col min="185" max="185" width="7" bestFit="1" customWidth="1"/>
    <col min="186" max="186" width="8.5" bestFit="1" customWidth="1"/>
    <col min="187" max="187" width="7.5" bestFit="1" customWidth="1"/>
    <col min="188" max="188" width="8.6640625" bestFit="1" customWidth="1"/>
    <col min="189" max="189" width="12.33203125" bestFit="1" customWidth="1"/>
    <col min="190" max="190" width="9.33203125" bestFit="1" customWidth="1"/>
    <col min="191" max="191" width="6.1640625" bestFit="1" customWidth="1"/>
    <col min="192" max="192" width="7.33203125" bestFit="1" customWidth="1"/>
    <col min="193" max="193" width="7.6640625" bestFit="1" customWidth="1"/>
    <col min="194" max="194" width="7.1640625" bestFit="1" customWidth="1"/>
    <col min="195" max="195" width="7.1640625" customWidth="1"/>
    <col min="196" max="196" width="6.6640625" customWidth="1"/>
    <col min="197" max="197" width="7.6640625" bestFit="1" customWidth="1"/>
    <col min="198" max="198" width="9" bestFit="1" customWidth="1"/>
    <col min="199" max="199" width="7.6640625" bestFit="1" customWidth="1"/>
    <col min="200" max="200" width="8.5" bestFit="1" customWidth="1"/>
    <col min="201" max="201" width="7.6640625" bestFit="1" customWidth="1"/>
    <col min="202" max="202" width="8.6640625" bestFit="1" customWidth="1"/>
    <col min="203" max="203" width="12.33203125" bestFit="1" customWidth="1"/>
    <col min="204" max="204" width="9.33203125" bestFit="1" customWidth="1"/>
    <col min="205" max="208" width="7.6640625" bestFit="1" customWidth="1"/>
    <col min="210" max="210" width="4.1640625" bestFit="1" customWidth="1"/>
    <col min="211" max="211" width="7.1640625" bestFit="1" customWidth="1"/>
    <col min="212" max="212" width="9" bestFit="1" customWidth="1"/>
    <col min="213" max="213" width="7.1640625" bestFit="1" customWidth="1"/>
    <col min="214" max="214" width="8.5" bestFit="1" customWidth="1"/>
    <col min="215" max="215" width="7.5" bestFit="1" customWidth="1"/>
    <col min="216" max="216" width="8.6640625" bestFit="1" customWidth="1"/>
    <col min="217" max="217" width="12.33203125" bestFit="1" customWidth="1"/>
    <col min="218" max="218" width="9.33203125" bestFit="1" customWidth="1"/>
    <col min="219" max="219" width="6.1640625" bestFit="1" customWidth="1"/>
    <col min="220" max="220" width="7.33203125" bestFit="1" customWidth="1"/>
    <col min="221" max="221" width="7.6640625" bestFit="1" customWidth="1"/>
    <col min="222" max="222" width="7.1640625" bestFit="1" customWidth="1"/>
  </cols>
  <sheetData>
    <row r="1" spans="1:26" ht="22" x14ac:dyDescent="0.3">
      <c r="A1" s="2" t="str" cm="1">
        <f t="array" aca="1" ref="A1" ca="1">MID(CELL("filename"),SEARCH("[",CELL("filename"))+1,SEARCH("]",CELL("filename"))-SEARCH("[",CELL("filename"))-1)</f>
        <v>04 hyperbolic_SC.xlsx</v>
      </c>
      <c r="B1" s="2"/>
      <c r="U1" s="3"/>
      <c r="V1" s="3"/>
    </row>
    <row r="2" spans="1:26" x14ac:dyDescent="0.2">
      <c r="Y2" s="4"/>
      <c r="Z2" s="5"/>
    </row>
    <row r="3" spans="1:26" x14ac:dyDescent="0.2">
      <c r="A3" s="3" t="s">
        <v>99</v>
      </c>
      <c r="B3" s="18">
        <f ca="1">COUNT(AB:AB)</f>
        <v>21</v>
      </c>
      <c r="C3" s="3" t="s">
        <v>111</v>
      </c>
      <c r="D3" s="18">
        <f ca="1">MAX(B68:B300)</f>
        <v>1224</v>
      </c>
      <c r="E3" s="3" t="s">
        <v>112</v>
      </c>
      <c r="F3" s="18">
        <f ca="1">MIN(B68:B300)</f>
        <v>6</v>
      </c>
      <c r="G3" s="6" t="s">
        <v>395</v>
      </c>
      <c r="H3">
        <f ca="1">SUM(C68:C300)</f>
        <v>96</v>
      </c>
      <c r="M3" s="6" t="s">
        <v>100</v>
      </c>
      <c r="N3">
        <f>8*60*60</f>
        <v>28800</v>
      </c>
      <c r="Y3" s="4"/>
      <c r="Z3" s="5"/>
    </row>
    <row r="4" spans="1:26" x14ac:dyDescent="0.2">
      <c r="M4" t="s">
        <v>352</v>
      </c>
      <c r="N4">
        <f ca="1">D3</f>
        <v>1224</v>
      </c>
      <c r="O4" t="s">
        <v>353</v>
      </c>
      <c r="P4">
        <f ca="1">COUNTIFS(B68:B195,"&lt;="&amp;$N$4)</f>
        <v>21</v>
      </c>
      <c r="Y4" s="4"/>
      <c r="Z4" s="5"/>
    </row>
    <row r="5" spans="1:26" x14ac:dyDescent="0.2">
      <c r="A5" s="11" t="s">
        <v>101</v>
      </c>
      <c r="M5" s="11" t="s">
        <v>102</v>
      </c>
      <c r="Y5" s="4"/>
      <c r="Z5" s="5"/>
    </row>
    <row r="6" spans="1:26" x14ac:dyDescent="0.2">
      <c r="B6" s="6" t="s">
        <v>113</v>
      </c>
      <c r="C6" s="6" t="s">
        <v>73</v>
      </c>
      <c r="D6" s="6" t="s">
        <v>97</v>
      </c>
      <c r="E6" s="6" t="s">
        <v>114</v>
      </c>
      <c r="F6" s="6" t="s">
        <v>94</v>
      </c>
      <c r="G6" s="6" t="s">
        <v>90</v>
      </c>
      <c r="H6" s="6" t="s">
        <v>98</v>
      </c>
      <c r="I6" s="6"/>
      <c r="N6" s="6" t="s">
        <v>95</v>
      </c>
      <c r="O6" s="6" t="s">
        <v>96</v>
      </c>
      <c r="P6" s="6" t="s">
        <v>89</v>
      </c>
      <c r="Q6" s="6" t="s">
        <v>115</v>
      </c>
      <c r="R6" s="6" t="s">
        <v>116</v>
      </c>
      <c r="S6" s="6"/>
      <c r="T6" s="6"/>
      <c r="U6" s="6"/>
      <c r="Y6" s="4"/>
      <c r="Z6" s="5"/>
    </row>
    <row r="7" spans="1:26" x14ac:dyDescent="0.2">
      <c r="A7" s="6" t="s">
        <v>354</v>
      </c>
      <c r="B7" s="12">
        <f ca="1">SUM(BI:BI)</f>
        <v>21</v>
      </c>
      <c r="C7" s="12">
        <f t="shared" ref="C7:H7" ca="1" si="0">SUM(BJ:BJ)</f>
        <v>21</v>
      </c>
      <c r="D7" s="12">
        <f t="shared" ca="1" si="0"/>
        <v>21</v>
      </c>
      <c r="E7" s="12">
        <f t="shared" ca="1" si="0"/>
        <v>21</v>
      </c>
      <c r="F7" s="12">
        <f t="shared" ca="1" si="0"/>
        <v>21</v>
      </c>
      <c r="G7" s="12">
        <f t="shared" ca="1" si="0"/>
        <v>21</v>
      </c>
      <c r="H7" s="12">
        <f t="shared" ca="1" si="0"/>
        <v>21</v>
      </c>
      <c r="I7" s="12"/>
      <c r="J7" s="14" t="s">
        <v>104</v>
      </c>
      <c r="K7" s="13"/>
      <c r="M7" s="6" t="s">
        <v>354</v>
      </c>
      <c r="N7">
        <f ca="1">SUMIFS(BD:BD,$B:$B,"&lt;="&amp;$N$4)</f>
        <v>21</v>
      </c>
      <c r="O7">
        <f t="shared" ref="O7:R7" ca="1" si="1">SUMIFS(BE:BE,$B:$B,"&lt;="&amp;$N$4)</f>
        <v>21</v>
      </c>
      <c r="P7">
        <f t="shared" ca="1" si="1"/>
        <v>21</v>
      </c>
      <c r="Q7">
        <f t="shared" ca="1" si="1"/>
        <v>21</v>
      </c>
      <c r="R7">
        <f t="shared" ca="1" si="1"/>
        <v>21</v>
      </c>
      <c r="S7" s="14" t="s">
        <v>104</v>
      </c>
      <c r="Y7" s="4"/>
      <c r="Z7" s="5"/>
    </row>
    <row r="8" spans="1:26" x14ac:dyDescent="0.2">
      <c r="A8" s="6" t="s">
        <v>103</v>
      </c>
      <c r="B8" s="19">
        <f ca="1">$B$3-B7</f>
        <v>0</v>
      </c>
      <c r="C8" s="19">
        <f t="shared" ref="C8:H8" ca="1" si="2">$B$3-C7</f>
        <v>0</v>
      </c>
      <c r="D8" s="19">
        <f t="shared" ca="1" si="2"/>
        <v>0</v>
      </c>
      <c r="E8" s="19">
        <f t="shared" ca="1" si="2"/>
        <v>0</v>
      </c>
      <c r="F8" s="19">
        <f t="shared" ca="1" si="2"/>
        <v>0</v>
      </c>
      <c r="G8" s="19">
        <f t="shared" ca="1" si="2"/>
        <v>0</v>
      </c>
      <c r="H8" s="19">
        <f t="shared" ca="1" si="2"/>
        <v>0</v>
      </c>
      <c r="I8" s="19"/>
      <c r="J8" s="14" t="s">
        <v>104</v>
      </c>
      <c r="M8" s="6" t="s">
        <v>105</v>
      </c>
      <c r="N8">
        <f ca="1">SUMIFS(AM:AM,$B:$B,"&lt;="&amp;$N$4)</f>
        <v>21</v>
      </c>
      <c r="O8">
        <f t="shared" ref="O8:R8" ca="1" si="3">SUMIFS(AN:AN,$B:$B,"&lt;="&amp;$N$4)</f>
        <v>21</v>
      </c>
      <c r="P8">
        <f t="shared" ca="1" si="3"/>
        <v>21</v>
      </c>
      <c r="Q8">
        <f t="shared" ca="1" si="3"/>
        <v>21</v>
      </c>
      <c r="R8">
        <f t="shared" ca="1" si="3"/>
        <v>14</v>
      </c>
      <c r="S8" s="14" t="s">
        <v>104</v>
      </c>
      <c r="Y8" s="4"/>
      <c r="Z8" s="5"/>
    </row>
    <row r="9" spans="1:26" x14ac:dyDescent="0.2">
      <c r="A9" s="6" t="s">
        <v>71</v>
      </c>
      <c r="B9" s="7">
        <f ca="1">SUM(CQ:CQ)</f>
        <v>21</v>
      </c>
      <c r="C9" s="7">
        <f t="shared" ref="C9:H9" ca="1" si="4">SUM(CR:CR)</f>
        <v>21</v>
      </c>
      <c r="D9" s="7">
        <f t="shared" ca="1" si="4"/>
        <v>21</v>
      </c>
      <c r="E9" s="7">
        <f t="shared" ca="1" si="4"/>
        <v>20</v>
      </c>
      <c r="F9" s="7">
        <f t="shared" ca="1" si="4"/>
        <v>21</v>
      </c>
      <c r="G9" s="7">
        <f t="shared" ca="1" si="4"/>
        <v>21</v>
      </c>
      <c r="H9" s="7">
        <f t="shared" ca="1" si="4"/>
        <v>21</v>
      </c>
      <c r="I9" s="7"/>
      <c r="J9" s="14" t="s">
        <v>117</v>
      </c>
      <c r="M9" s="6" t="s">
        <v>355</v>
      </c>
      <c r="N9">
        <f ca="1">N7-N8</f>
        <v>0</v>
      </c>
      <c r="O9">
        <f t="shared" ref="O9:R9" ca="1" si="5">O7-O8</f>
        <v>0</v>
      </c>
      <c r="P9">
        <f t="shared" ca="1" si="5"/>
        <v>0</v>
      </c>
      <c r="Q9">
        <f t="shared" ca="1" si="5"/>
        <v>0</v>
      </c>
      <c r="R9">
        <f t="shared" ca="1" si="5"/>
        <v>7</v>
      </c>
      <c r="S9" s="14" t="s">
        <v>104</v>
      </c>
      <c r="Y9" s="4"/>
      <c r="Z9" s="5"/>
    </row>
    <row r="10" spans="1:26" x14ac:dyDescent="0.2">
      <c r="A10" s="6" t="s">
        <v>356</v>
      </c>
      <c r="B10" s="4">
        <f ca="1">B9/$B$3</f>
        <v>1</v>
      </c>
      <c r="C10" s="4">
        <f t="shared" ref="C10:H10" ca="1" si="6">C9/$B$3</f>
        <v>1</v>
      </c>
      <c r="D10" s="4">
        <f t="shared" ca="1" si="6"/>
        <v>1</v>
      </c>
      <c r="E10" s="4">
        <f t="shared" ca="1" si="6"/>
        <v>0.95238095238095233</v>
      </c>
      <c r="F10" s="4">
        <f t="shared" ca="1" si="6"/>
        <v>1</v>
      </c>
      <c r="G10" s="4">
        <f t="shared" ca="1" si="6"/>
        <v>1</v>
      </c>
      <c r="H10" s="4">
        <f t="shared" ca="1" si="6"/>
        <v>1</v>
      </c>
      <c r="I10" s="4"/>
      <c r="J10" s="14" t="s">
        <v>119</v>
      </c>
      <c r="M10" s="16" t="s">
        <v>103</v>
      </c>
      <c r="N10" s="19">
        <f ca="1">$P$4-N7</f>
        <v>0</v>
      </c>
      <c r="O10" s="19">
        <f t="shared" ref="O10:R10" ca="1" si="7">$P$4-O7</f>
        <v>0</v>
      </c>
      <c r="P10" s="19">
        <f t="shared" ca="1" si="7"/>
        <v>0</v>
      </c>
      <c r="Q10" s="19">
        <f t="shared" ca="1" si="7"/>
        <v>0</v>
      </c>
      <c r="R10" s="19">
        <f t="shared" ca="1" si="7"/>
        <v>0</v>
      </c>
      <c r="S10" s="14" t="s">
        <v>104</v>
      </c>
      <c r="T10" s="5"/>
      <c r="U10" s="5"/>
      <c r="Y10" s="4"/>
      <c r="Z10" s="5"/>
    </row>
    <row r="11" spans="1:26" x14ac:dyDescent="0.2">
      <c r="A11" s="6" t="s">
        <v>357</v>
      </c>
      <c r="B11" s="5">
        <f ca="1">SUM(DH:DH)</f>
        <v>88.61603236699969</v>
      </c>
      <c r="C11" s="5">
        <f t="shared" ref="C11:H11" ca="1" si="8">SUM(DI:DI)</f>
        <v>7025.2244869740452</v>
      </c>
      <c r="D11" s="5">
        <f t="shared" ca="1" si="8"/>
        <v>7242.0634926464181</v>
      </c>
      <c r="E11" s="5">
        <f t="shared" ca="1" si="8"/>
        <v>3626.4786547549961</v>
      </c>
      <c r="F11" s="5">
        <f t="shared" ca="1" si="8"/>
        <v>6.5855024889999676</v>
      </c>
      <c r="G11" s="5">
        <f t="shared" ca="1" si="8"/>
        <v>4.6746955069999903</v>
      </c>
      <c r="H11" s="5">
        <f t="shared" ca="1" si="8"/>
        <v>7.3994696919999843</v>
      </c>
      <c r="I11" s="5"/>
      <c r="J11" s="15" t="s">
        <v>118</v>
      </c>
      <c r="M11" s="17" t="s">
        <v>71</v>
      </c>
      <c r="N11">
        <f ca="1">SUMIFS(CL:CL,$B:$B,"&lt;="&amp;$N$4)</f>
        <v>21</v>
      </c>
      <c r="O11">
        <f t="shared" ref="O11:R11" ca="1" si="9">SUMIFS(CM:CM,$B:$B,"&lt;="&amp;$N$4)</f>
        <v>21</v>
      </c>
      <c r="P11">
        <f t="shared" ca="1" si="9"/>
        <v>21</v>
      </c>
      <c r="Q11">
        <f t="shared" ca="1" si="9"/>
        <v>21</v>
      </c>
      <c r="R11">
        <f t="shared" ca="1" si="9"/>
        <v>21</v>
      </c>
      <c r="S11" s="14" t="s">
        <v>104</v>
      </c>
      <c r="T11" s="5"/>
      <c r="U11" s="5"/>
      <c r="Y11" s="4"/>
      <c r="Z11" s="5"/>
    </row>
    <row r="12" spans="1:26" x14ac:dyDescent="0.2">
      <c r="A12" s="6" t="s">
        <v>69</v>
      </c>
      <c r="B12" s="7"/>
      <c r="C12" s="7">
        <f t="shared" ref="C12:H12" ca="1" si="10">SUM(FH:FH)</f>
        <v>210000</v>
      </c>
      <c r="D12" s="7">
        <f t="shared" ca="1" si="10"/>
        <v>210000</v>
      </c>
      <c r="E12" s="7">
        <f t="shared" ca="1" si="10"/>
        <v>210000</v>
      </c>
      <c r="F12" s="7">
        <f t="shared" ca="1" si="10"/>
        <v>21</v>
      </c>
      <c r="G12" s="7">
        <f t="shared" ca="1" si="10"/>
        <v>21</v>
      </c>
      <c r="H12" s="7">
        <f t="shared" ca="1" si="10"/>
        <v>42</v>
      </c>
      <c r="I12" s="7"/>
      <c r="J12" s="14" t="s">
        <v>104</v>
      </c>
      <c r="M12" s="6" t="s">
        <v>358</v>
      </c>
      <c r="N12" s="4">
        <f ca="1">N11/$P$4</f>
        <v>1</v>
      </c>
      <c r="O12" s="4">
        <f t="shared" ref="O12:R12" ca="1" si="11">O11/$P$4</f>
        <v>1</v>
      </c>
      <c r="P12" s="4">
        <f t="shared" ca="1" si="11"/>
        <v>1</v>
      </c>
      <c r="Q12" s="4">
        <f t="shared" ca="1" si="11"/>
        <v>1</v>
      </c>
      <c r="R12" s="4">
        <f t="shared" ca="1" si="11"/>
        <v>1</v>
      </c>
      <c r="S12" s="14" t="s">
        <v>119</v>
      </c>
      <c r="Y12" s="4"/>
      <c r="Z12" s="5"/>
    </row>
    <row r="13" spans="1:26" x14ac:dyDescent="0.2">
      <c r="A13" s="6" t="s">
        <v>359</v>
      </c>
      <c r="C13">
        <f ca="1">SUM(DZ:DZ)</f>
        <v>197591</v>
      </c>
      <c r="D13">
        <f ca="1">SUM(EA:EA)</f>
        <v>206628</v>
      </c>
      <c r="E13">
        <f t="shared" ref="E13:H13" ca="1" si="12">SUM(EB:EB)</f>
        <v>164316</v>
      </c>
      <c r="F13">
        <f t="shared" ca="1" si="12"/>
        <v>21</v>
      </c>
      <c r="G13">
        <f t="shared" ca="1" si="12"/>
        <v>21</v>
      </c>
      <c r="H13">
        <f t="shared" ca="1" si="12"/>
        <v>42</v>
      </c>
      <c r="J13" s="14" t="s">
        <v>117</v>
      </c>
      <c r="M13" s="6" t="s">
        <v>360</v>
      </c>
      <c r="N13" s="5">
        <f ca="1">SUMIFS(DC:DC,$B:$B,"&lt;="&amp;$N$4)+N16*$N$3</f>
        <v>1463.4268847129988</v>
      </c>
      <c r="O13" s="5">
        <f t="shared" ref="O13:R13" ca="1" si="13">SUMIFS(DD:DD,$B:$B,"&lt;="&amp;$N$4)+O16*$N$3</f>
        <v>8722.0421028699893</v>
      </c>
      <c r="P13" s="5">
        <f t="shared" ca="1" si="13"/>
        <v>1661.5182249389991</v>
      </c>
      <c r="Q13" s="5">
        <f t="shared" ca="1" si="13"/>
        <v>1.0146602369999862</v>
      </c>
      <c r="R13" s="5">
        <f t="shared" ca="1" si="13"/>
        <v>223352.3469287497</v>
      </c>
      <c r="S13" s="15" t="s">
        <v>118</v>
      </c>
      <c r="Y13" s="4"/>
      <c r="Z13" s="5"/>
    </row>
    <row r="14" spans="1:26" x14ac:dyDescent="0.2">
      <c r="A14" s="6" t="s">
        <v>361</v>
      </c>
      <c r="B14" s="4"/>
      <c r="C14" s="4">
        <f t="shared" ref="C14:H14" ca="1" si="14">C13/C12</f>
        <v>0.94090952380952386</v>
      </c>
      <c r="D14" s="4">
        <f t="shared" ca="1" si="14"/>
        <v>0.98394285714285712</v>
      </c>
      <c r="E14" s="4">
        <f t="shared" ca="1" si="14"/>
        <v>0.78245714285714285</v>
      </c>
      <c r="F14" s="4">
        <f t="shared" ca="1" si="14"/>
        <v>1</v>
      </c>
      <c r="G14" s="4">
        <f t="shared" ca="1" si="14"/>
        <v>1</v>
      </c>
      <c r="H14" s="4">
        <f t="shared" ca="1" si="14"/>
        <v>1</v>
      </c>
      <c r="I14" s="4"/>
      <c r="J14" s="14" t="s">
        <v>119</v>
      </c>
      <c r="M14" s="6" t="s">
        <v>70</v>
      </c>
      <c r="N14" s="5">
        <f ca="1">N13/$P$4</f>
        <v>69.686994510142796</v>
      </c>
      <c r="O14" s="5">
        <f t="shared" ref="O14:R14" ca="1" si="15">O13/$P$4</f>
        <v>415.33533823190425</v>
      </c>
      <c r="P14" s="5">
        <f t="shared" ca="1" si="15"/>
        <v>79.119915473285673</v>
      </c>
      <c r="Q14" s="5">
        <f t="shared" ca="1" si="15"/>
        <v>4.8317154142856485E-2</v>
      </c>
      <c r="R14" s="5">
        <f t="shared" ca="1" si="15"/>
        <v>10635.826044226176</v>
      </c>
      <c r="S14" s="15" t="s">
        <v>118</v>
      </c>
      <c r="T14" s="7"/>
      <c r="U14" s="7"/>
      <c r="Y14" s="4"/>
      <c r="Z14" s="5"/>
    </row>
    <row r="15" spans="1:26" x14ac:dyDescent="0.2">
      <c r="A15" s="6" t="s">
        <v>70</v>
      </c>
      <c r="B15" s="20"/>
      <c r="C15" s="20">
        <f t="shared" ref="C15:H15" ca="1" si="16">IF(C12,C11/C12,"")</f>
        <v>3.3453449937971641E-2</v>
      </c>
      <c r="D15" s="20">
        <f t="shared" ca="1" si="16"/>
        <v>3.4486016631649609E-2</v>
      </c>
      <c r="E15" s="20">
        <f t="shared" ca="1" si="16"/>
        <v>1.7268945975023792E-2</v>
      </c>
      <c r="F15" s="20">
        <f t="shared" ca="1" si="16"/>
        <v>0.31359535661904608</v>
      </c>
      <c r="G15" s="20">
        <f t="shared" ca="1" si="16"/>
        <v>0.22260454795238049</v>
      </c>
      <c r="H15" s="20">
        <f t="shared" ca="1" si="16"/>
        <v>0.17617784980952345</v>
      </c>
      <c r="I15" s="20"/>
      <c r="J15" s="15" t="s">
        <v>118</v>
      </c>
      <c r="M15" s="17" t="s">
        <v>75</v>
      </c>
      <c r="N15" s="5">
        <f ca="1">IF(N11,N13/N11,"")</f>
        <v>69.686994510142796</v>
      </c>
      <c r="O15" s="5">
        <f t="shared" ref="O15:R15" ca="1" si="17">IF(O11,O13/O11,"")</f>
        <v>415.33533823190425</v>
      </c>
      <c r="P15" s="5">
        <f t="shared" ca="1" si="17"/>
        <v>79.119915473285673</v>
      </c>
      <c r="Q15" s="5">
        <f t="shared" ca="1" si="17"/>
        <v>4.8317154142856485E-2</v>
      </c>
      <c r="R15" s="5">
        <f t="shared" ca="1" si="17"/>
        <v>10635.826044226176</v>
      </c>
      <c r="S15" s="15" t="s">
        <v>118</v>
      </c>
      <c r="T15" s="4"/>
      <c r="U15" s="4" t="str">
        <f t="shared" ref="U15" si="18">IF(U12,U14/U12,"")</f>
        <v/>
      </c>
      <c r="Y15" s="4"/>
      <c r="Z15" s="5"/>
    </row>
    <row r="16" spans="1:26" x14ac:dyDescent="0.2">
      <c r="A16" s="6" t="s">
        <v>75</v>
      </c>
      <c r="B16" s="5"/>
      <c r="C16" s="5">
        <f t="shared" ref="C16:H16" ca="1" si="19">IF(C13,C11/C13,"")</f>
        <v>3.5554374880303483E-2</v>
      </c>
      <c r="D16" s="5">
        <f t="shared" ca="1" si="19"/>
        <v>3.5048800223814867E-2</v>
      </c>
      <c r="E16" s="5">
        <f t="shared" ca="1" si="19"/>
        <v>2.2070149314461135E-2</v>
      </c>
      <c r="F16" s="5">
        <f t="shared" ca="1" si="19"/>
        <v>0.31359535661904608</v>
      </c>
      <c r="G16" s="5">
        <f t="shared" ca="1" si="19"/>
        <v>0.22260454795238049</v>
      </c>
      <c r="H16" s="5">
        <f t="shared" ca="1" si="19"/>
        <v>0.17617784980952345</v>
      </c>
      <c r="I16" s="5"/>
      <c r="J16" s="15" t="s">
        <v>118</v>
      </c>
      <c r="M16" s="6" t="s">
        <v>363</v>
      </c>
      <c r="N16">
        <f ca="1">COUNTIFS(DC:DC,"=0",$B:$B,"&lt;="&amp;$N$4)</f>
        <v>0</v>
      </c>
      <c r="O16">
        <f t="shared" ref="O16:R16" ca="1" si="20">COUNTIFS(DD:DD,"=0",$B:$B,"&lt;="&amp;$N$4)</f>
        <v>0</v>
      </c>
      <c r="P16">
        <f t="shared" ca="1" si="20"/>
        <v>0</v>
      </c>
      <c r="Q16">
        <f t="shared" ca="1" si="20"/>
        <v>0</v>
      </c>
      <c r="R16">
        <f t="shared" ca="1" si="20"/>
        <v>0</v>
      </c>
      <c r="Y16" s="4"/>
      <c r="Z16" s="5"/>
    </row>
    <row r="17" spans="1:180" x14ac:dyDescent="0.2">
      <c r="A17" s="6" t="s">
        <v>363</v>
      </c>
      <c r="B17">
        <f ca="1">COUNTIFS(DH:DH,"=0")</f>
        <v>0</v>
      </c>
      <c r="C17">
        <f t="shared" ref="C17:H17" ca="1" si="21">COUNTIFS(DI:DI,"=0")</f>
        <v>0</v>
      </c>
      <c r="D17">
        <f t="shared" ca="1" si="21"/>
        <v>0</v>
      </c>
      <c r="E17">
        <f t="shared" ca="1" si="21"/>
        <v>0</v>
      </c>
      <c r="F17">
        <f t="shared" ca="1" si="21"/>
        <v>0</v>
      </c>
      <c r="G17">
        <f t="shared" ca="1" si="21"/>
        <v>0</v>
      </c>
      <c r="H17">
        <f t="shared" ca="1" si="21"/>
        <v>0</v>
      </c>
      <c r="J17" s="14"/>
      <c r="M17" s="6" t="s">
        <v>396</v>
      </c>
      <c r="N17">
        <f ca="1">_xlfn.MAXIFS($B67:$B267,DC67:DC267,"&lt;&gt;0",$B67:$B267,"&lt;="&amp;$N$4)</f>
        <v>1224</v>
      </c>
      <c r="O17">
        <f t="shared" ref="O17:R17" ca="1" si="22">_xlfn.MAXIFS($B67:$B267,DD67:DD267,"&lt;&gt;0",$B67:$B267,"&lt;="&amp;$N$4)</f>
        <v>1224</v>
      </c>
      <c r="P17">
        <f t="shared" ca="1" si="22"/>
        <v>1224</v>
      </c>
      <c r="Q17">
        <f t="shared" ca="1" si="22"/>
        <v>1224</v>
      </c>
      <c r="R17">
        <f t="shared" ca="1" si="22"/>
        <v>1224</v>
      </c>
      <c r="Y17" s="4"/>
      <c r="Z17" s="5"/>
    </row>
    <row r="18" spans="1:180" x14ac:dyDescent="0.2">
      <c r="A18" s="6" t="s">
        <v>397</v>
      </c>
      <c r="B18" s="23">
        <f ca="1">(SUM(BZ68:BZ300)-$H$3)/$H$3</f>
        <v>0</v>
      </c>
      <c r="C18" s="23">
        <f t="shared" ref="C18:H18" ca="1" si="23">(SUM(CA68:CA300)-$H$3)/$H$3</f>
        <v>0</v>
      </c>
      <c r="D18" s="23">
        <f t="shared" ca="1" si="23"/>
        <v>0</v>
      </c>
      <c r="E18" s="23">
        <f t="shared" ca="1" si="23"/>
        <v>1.0416666666666666E-2</v>
      </c>
      <c r="F18" s="23">
        <f t="shared" ca="1" si="23"/>
        <v>0</v>
      </c>
      <c r="G18" s="23">
        <f t="shared" ca="1" si="23"/>
        <v>0</v>
      </c>
      <c r="H18" s="23">
        <f t="shared" ca="1" si="23"/>
        <v>0</v>
      </c>
      <c r="L18" s="5"/>
      <c r="M18" s="5"/>
      <c r="N18" s="5"/>
      <c r="O18" s="5"/>
      <c r="P18" s="5"/>
      <c r="Y18" s="4"/>
      <c r="Z18" s="5"/>
    </row>
    <row r="19" spans="1:180" x14ac:dyDescent="0.2">
      <c r="A19" s="6" t="s">
        <v>72</v>
      </c>
      <c r="B19" s="6" t="s">
        <v>73</v>
      </c>
      <c r="O19" s="5"/>
      <c r="P19" s="5"/>
      <c r="Y19" s="4"/>
      <c r="Z19" s="5"/>
    </row>
    <row r="20" spans="1:180" x14ac:dyDescent="0.2">
      <c r="O20" s="5"/>
      <c r="P20" s="5"/>
      <c r="Y20" s="4"/>
      <c r="Z20" s="5"/>
      <c r="FW20" s="4"/>
      <c r="FX20" s="5"/>
    </row>
    <row r="21" spans="1:180" ht="19" x14ac:dyDescent="0.25">
      <c r="A21" s="8" t="s">
        <v>398</v>
      </c>
      <c r="B21" s="8"/>
      <c r="C21" s="8"/>
      <c r="D21" s="8"/>
      <c r="E21" s="8" t="s">
        <v>399</v>
      </c>
      <c r="F21" s="8"/>
      <c r="G21" s="8"/>
      <c r="H21" s="8"/>
      <c r="I21" s="8"/>
      <c r="J21" s="8" t="s">
        <v>400</v>
      </c>
      <c r="K21" s="8"/>
      <c r="L21" s="8"/>
      <c r="M21" s="8"/>
      <c r="N21" s="8"/>
      <c r="P21" s="8" t="s">
        <v>401</v>
      </c>
      <c r="Q21" s="5"/>
      <c r="Y21" s="4"/>
      <c r="Z21" s="5"/>
      <c r="FW21" s="4"/>
      <c r="FX21" s="5"/>
    </row>
    <row r="22" spans="1:180" x14ac:dyDescent="0.2">
      <c r="P22" s="5"/>
      <c r="Q22" s="5"/>
      <c r="Y22" s="4"/>
      <c r="Z22" s="5"/>
      <c r="FW22" s="4"/>
      <c r="FX22" s="5"/>
    </row>
    <row r="23" spans="1:180" x14ac:dyDescent="0.2">
      <c r="P23" s="5"/>
      <c r="Q23" s="5"/>
      <c r="Y23" s="4"/>
      <c r="Z23" s="5"/>
      <c r="FW23" s="4"/>
      <c r="FX23" s="5"/>
    </row>
    <row r="24" spans="1:180" x14ac:dyDescent="0.2">
      <c r="P24" s="5"/>
      <c r="Q24" s="5"/>
      <c r="Y24" s="4"/>
      <c r="Z24" s="5"/>
      <c r="FW24" s="4"/>
      <c r="FX24" s="5"/>
    </row>
    <row r="25" spans="1:180" x14ac:dyDescent="0.2">
      <c r="P25" s="5"/>
      <c r="Q25" s="5"/>
      <c r="Y25" s="4"/>
      <c r="Z25" s="5"/>
      <c r="FW25" s="4"/>
      <c r="FX25" s="5"/>
    </row>
    <row r="26" spans="1:180" x14ac:dyDescent="0.2">
      <c r="P26" s="5"/>
      <c r="Q26" s="5"/>
      <c r="Y26" s="4"/>
      <c r="Z26" s="5"/>
      <c r="FW26" s="4"/>
      <c r="FX26" s="5"/>
    </row>
    <row r="27" spans="1:180" x14ac:dyDescent="0.2">
      <c r="P27" s="5"/>
      <c r="Q27" s="5"/>
      <c r="Y27" s="4"/>
      <c r="Z27" s="5"/>
      <c r="FW27" s="4"/>
      <c r="FX27" s="5"/>
    </row>
    <row r="28" spans="1:180" x14ac:dyDescent="0.2">
      <c r="P28" s="5"/>
      <c r="Q28" s="5"/>
      <c r="Y28" s="4"/>
      <c r="Z28" s="5"/>
      <c r="FW28" s="4"/>
      <c r="FX28" s="5"/>
    </row>
    <row r="29" spans="1:180" x14ac:dyDescent="0.2">
      <c r="P29" s="5"/>
      <c r="Q29" s="5"/>
      <c r="Y29" s="4"/>
      <c r="Z29" s="5"/>
      <c r="FW29" s="4"/>
      <c r="FX29" s="5"/>
    </row>
    <row r="30" spans="1:180" x14ac:dyDescent="0.2">
      <c r="Y30" s="4"/>
      <c r="Z30" s="5"/>
      <c r="FW30" s="4"/>
      <c r="FX30" s="5"/>
    </row>
    <row r="31" spans="1:180" x14ac:dyDescent="0.2">
      <c r="Y31" s="4"/>
      <c r="Z31" s="5"/>
      <c r="FW31" s="4"/>
      <c r="FX31" s="5"/>
    </row>
    <row r="32" spans="1:180" x14ac:dyDescent="0.2">
      <c r="Y32" s="4"/>
      <c r="Z32" s="5"/>
      <c r="FW32" s="4"/>
      <c r="FX32" s="5"/>
    </row>
    <row r="33" spans="1:180" x14ac:dyDescent="0.2">
      <c r="Y33" s="4"/>
      <c r="Z33" s="5"/>
      <c r="FW33" s="4"/>
      <c r="FX33" s="5"/>
    </row>
    <row r="34" spans="1:180" x14ac:dyDescent="0.2">
      <c r="Y34" s="4"/>
      <c r="Z34" s="5"/>
      <c r="FW34" s="4"/>
      <c r="FX34" s="5" t="str">
        <f t="shared" ref="FX34:FX38" si="24">IF(FU34,FT34/FU34,"")</f>
        <v/>
      </c>
    </row>
    <row r="35" spans="1:180" x14ac:dyDescent="0.2">
      <c r="Y35" s="4"/>
      <c r="Z35" s="5"/>
      <c r="FW35" s="4"/>
      <c r="FX35" s="5" t="str">
        <f t="shared" si="24"/>
        <v/>
      </c>
    </row>
    <row r="36" spans="1:180" x14ac:dyDescent="0.2">
      <c r="Y36" s="4"/>
      <c r="Z36" s="5"/>
      <c r="FW36" s="4"/>
      <c r="FX36" s="5" t="str">
        <f t="shared" si="24"/>
        <v/>
      </c>
    </row>
    <row r="37" spans="1:180" x14ac:dyDescent="0.2">
      <c r="Y37" s="4"/>
      <c r="Z37" s="5"/>
      <c r="FW37" s="4"/>
      <c r="FX37" s="5" t="str">
        <f t="shared" si="24"/>
        <v/>
      </c>
    </row>
    <row r="38" spans="1:180" x14ac:dyDescent="0.2">
      <c r="Y38" s="4"/>
      <c r="Z38" s="5"/>
      <c r="FW38" s="4"/>
      <c r="FX38" s="5" t="str">
        <f t="shared" si="24"/>
        <v/>
      </c>
    </row>
    <row r="39" spans="1:180" x14ac:dyDescent="0.2">
      <c r="Y39" s="4"/>
      <c r="Z39" s="5"/>
      <c r="FW39" s="4"/>
      <c r="FX39" s="5"/>
    </row>
    <row r="40" spans="1:180" x14ac:dyDescent="0.2">
      <c r="Y40" s="4"/>
      <c r="Z40" s="5"/>
      <c r="FW40" s="4"/>
      <c r="FX40" s="5"/>
    </row>
    <row r="41" spans="1:180" x14ac:dyDescent="0.2">
      <c r="Y41" s="4"/>
      <c r="Z41" s="5"/>
      <c r="FW41" s="4"/>
      <c r="FX41" s="5"/>
    </row>
    <row r="43" spans="1:180" x14ac:dyDescent="0.2">
      <c r="A43" t="s">
        <v>76</v>
      </c>
      <c r="M43" t="s">
        <v>76</v>
      </c>
    </row>
    <row r="44" spans="1:180" x14ac:dyDescent="0.2">
      <c r="A44" t="s">
        <v>106</v>
      </c>
      <c r="B44" t="s">
        <v>77</v>
      </c>
      <c r="C44" t="s">
        <v>77</v>
      </c>
      <c r="D44" t="s">
        <v>77</v>
      </c>
      <c r="E44" t="s">
        <v>77</v>
      </c>
      <c r="F44" t="s">
        <v>77</v>
      </c>
      <c r="G44" t="s">
        <v>77</v>
      </c>
      <c r="H44" t="s">
        <v>77</v>
      </c>
      <c r="I44" t="s">
        <v>78</v>
      </c>
      <c r="J44" t="s">
        <v>79</v>
      </c>
      <c r="M44" t="s">
        <v>106</v>
      </c>
      <c r="N44" t="s">
        <v>77</v>
      </c>
      <c r="O44" t="s">
        <v>77</v>
      </c>
      <c r="P44" t="s">
        <v>77</v>
      </c>
      <c r="Q44" t="s">
        <v>77</v>
      </c>
      <c r="R44" t="s">
        <v>77</v>
      </c>
      <c r="S44" t="s">
        <v>78</v>
      </c>
      <c r="T44" t="s">
        <v>79</v>
      </c>
    </row>
    <row r="45" spans="1:180" x14ac:dyDescent="0.2">
      <c r="A45" t="str">
        <f>A2&amp;" &amp;"</f>
        <v xml:space="preserve"> &amp;</v>
      </c>
      <c r="B45" t="str">
        <f>"\textbf{"&amp;B6&amp;"}"&amp;IF(C45="\\",""," &amp;")</f>
        <v>\textbf{m4riRW} &amp;</v>
      </c>
      <c r="C45" t="str">
        <f t="shared" ref="C45:H45" si="25">"\textbf{"&amp;C6&amp;"}"&amp;IF(D45="\\",""," &amp;")</f>
        <v>\textbf{QDistRndMW} &amp;</v>
      </c>
      <c r="D45" t="str">
        <f t="shared" si="25"/>
        <v>\textbf{QDistEvol} &amp;</v>
      </c>
      <c r="E45" t="str">
        <f t="shared" si="25"/>
        <v>\textbf{BP-OSD} &amp;</v>
      </c>
      <c r="F45" t="str">
        <f t="shared" si="25"/>
        <v>\textbf{GEStim} &amp;</v>
      </c>
      <c r="G45" t="str">
        <f t="shared" si="25"/>
        <v>\textbf{CCStim} &amp;</v>
      </c>
      <c r="H45" t="str">
        <f t="shared" si="25"/>
        <v>\textbf{UEStim}</v>
      </c>
      <c r="I45" s="9" t="s">
        <v>80</v>
      </c>
      <c r="J45" t="s">
        <v>79</v>
      </c>
      <c r="M45" t="str">
        <f>M2&amp;" &amp;"</f>
        <v xml:space="preserve"> &amp;</v>
      </c>
      <c r="N45" t="str">
        <f>"\textbf{"&amp;N6&amp;"}"&amp;IF(O45="\\",""," &amp;")</f>
        <v>\textbf{Gurobi} &amp;</v>
      </c>
      <c r="O45" t="str">
        <f t="shared" ref="O45:P45" si="26">"\textbf{"&amp;O6&amp;"}"&amp;IF(P45="\\",""," &amp;")</f>
        <v>\textbf{MIP-SCIP} &amp;</v>
      </c>
      <c r="P45" t="str">
        <f t="shared" si="26"/>
        <v>\textbf{CLISAT} &amp;</v>
      </c>
      <c r="Q45" t="str">
        <f>"\textbf{"&amp;Q6&amp;"}"&amp;IF(R45="\\",""," &amp;")</f>
        <v>\textbf{m4riCC} &amp;</v>
      </c>
      <c r="R45" t="str">
        <f>"\textbf{"&amp;R6&amp;"}"&amp;IF(S45="\\",""," &amp;")</f>
        <v>\textbf{Magma}</v>
      </c>
      <c r="S45" s="9" t="s">
        <v>80</v>
      </c>
      <c r="T45" t="s">
        <v>79</v>
      </c>
      <c r="V45" s="9"/>
    </row>
    <row r="46" spans="1:180" x14ac:dyDescent="0.2">
      <c r="A46" t="str">
        <f t="shared" ref="A46:A55" si="27">"\textbf{"&amp;A7&amp;"} &amp;"</f>
        <v>\textbf{Result Returned} &amp;</v>
      </c>
      <c r="B46" t="str">
        <f t="shared" ref="B46:H55" ca="1" si="28">SUBSTITUTE(TEXT(B7,$J7)&amp;IF(C46="\\",""," &amp;"),"%","\%")</f>
        <v>21 &amp;</v>
      </c>
      <c r="C46" t="str">
        <f t="shared" ca="1" si="28"/>
        <v>21 &amp;</v>
      </c>
      <c r="D46" t="str">
        <f t="shared" ca="1" si="28"/>
        <v>21 &amp;</v>
      </c>
      <c r="E46" t="str">
        <f t="shared" ca="1" si="28"/>
        <v>21 &amp;</v>
      </c>
      <c r="F46" t="str">
        <f t="shared" ca="1" si="28"/>
        <v>21 &amp;</v>
      </c>
      <c r="G46" t="str">
        <f t="shared" ca="1" si="28"/>
        <v>21 &amp;</v>
      </c>
      <c r="H46" t="str">
        <f t="shared" ca="1" si="28"/>
        <v>21</v>
      </c>
      <c r="I46" s="9" t="s">
        <v>80</v>
      </c>
      <c r="M46" t="str">
        <f>"\textbf{"&amp;M7&amp;"} &amp;"</f>
        <v>\textbf{Result Returned} &amp;</v>
      </c>
      <c r="N46" t="str">
        <f t="shared" ref="N46:R54" ca="1" si="29">SUBSTITUTE(TEXT(N7,$S7)&amp;IF(O46="\\",""," &amp;"),"%","\%")</f>
        <v>21 &amp;</v>
      </c>
      <c r="O46" t="str">
        <f t="shared" ca="1" si="29"/>
        <v>21 &amp;</v>
      </c>
      <c r="P46" t="str">
        <f t="shared" ca="1" si="29"/>
        <v>21 &amp;</v>
      </c>
      <c r="Q46" t="str">
        <f t="shared" ca="1" si="29"/>
        <v>21 &amp;</v>
      </c>
      <c r="R46" t="str">
        <f t="shared" ca="1" si="29"/>
        <v>21</v>
      </c>
      <c r="S46" s="9" t="s">
        <v>80</v>
      </c>
      <c r="V46" s="9"/>
    </row>
    <row r="47" spans="1:180" x14ac:dyDescent="0.2">
      <c r="A47" t="str">
        <f t="shared" si="27"/>
        <v>\textbf{No Result} &amp;</v>
      </c>
      <c r="B47" t="str">
        <f t="shared" ca="1" si="28"/>
        <v>0 &amp;</v>
      </c>
      <c r="C47" t="str">
        <f t="shared" ca="1" si="28"/>
        <v>0 &amp;</v>
      </c>
      <c r="D47" t="str">
        <f t="shared" ca="1" si="28"/>
        <v>0 &amp;</v>
      </c>
      <c r="E47" t="str">
        <f t="shared" ca="1" si="28"/>
        <v>0 &amp;</v>
      </c>
      <c r="F47" t="str">
        <f t="shared" ca="1" si="28"/>
        <v>0 &amp;</v>
      </c>
      <c r="G47" t="str">
        <f t="shared" ca="1" si="28"/>
        <v>0 &amp;</v>
      </c>
      <c r="H47" t="str">
        <f t="shared" ca="1" si="28"/>
        <v>0</v>
      </c>
      <c r="I47" s="9" t="s">
        <v>80</v>
      </c>
      <c r="M47" t="str">
        <f t="shared" ref="M47:M54" si="30">"\textbf{"&amp;M8&amp;"} &amp;"</f>
        <v>\textbf{Completed &lt; MaxTime} &amp;</v>
      </c>
      <c r="N47" t="str">
        <f t="shared" ca="1" si="29"/>
        <v>21 &amp;</v>
      </c>
      <c r="O47" t="str">
        <f t="shared" ca="1" si="29"/>
        <v>21 &amp;</v>
      </c>
      <c r="P47" t="str">
        <f t="shared" ca="1" si="29"/>
        <v>21 &amp;</v>
      </c>
      <c r="Q47" t="str">
        <f t="shared" ca="1" si="29"/>
        <v>21 &amp;</v>
      </c>
      <c r="R47" t="str">
        <f t="shared" ca="1" si="29"/>
        <v>14</v>
      </c>
      <c r="S47" s="9" t="s">
        <v>80</v>
      </c>
      <c r="V47" s="9"/>
    </row>
    <row r="48" spans="1:180" x14ac:dyDescent="0.2">
      <c r="A48" t="str">
        <f t="shared" si="27"/>
        <v>\textbf{At lowest distance} &amp;</v>
      </c>
      <c r="B48" t="str">
        <f t="shared" ca="1" si="28"/>
        <v>21 &amp;</v>
      </c>
      <c r="C48" t="str">
        <f t="shared" ca="1" si="28"/>
        <v>21 &amp;</v>
      </c>
      <c r="D48" t="str">
        <f t="shared" ca="1" si="28"/>
        <v>21 &amp;</v>
      </c>
      <c r="E48" t="str">
        <f t="shared" ca="1" si="28"/>
        <v>20 &amp;</v>
      </c>
      <c r="F48" t="str">
        <f t="shared" ca="1" si="28"/>
        <v>21 &amp;</v>
      </c>
      <c r="G48" t="str">
        <f t="shared" ca="1" si="28"/>
        <v>21 &amp;</v>
      </c>
      <c r="H48" t="str">
        <f t="shared" ca="1" si="28"/>
        <v>21</v>
      </c>
      <c r="I48" s="9" t="s">
        <v>80</v>
      </c>
      <c r="M48" t="str">
        <f t="shared" si="30"/>
        <v>\textbf{Completed &gt; MaxTime} &amp;</v>
      </c>
      <c r="N48" t="str">
        <f t="shared" ca="1" si="29"/>
        <v>0 &amp;</v>
      </c>
      <c r="O48" t="str">
        <f t="shared" ca="1" si="29"/>
        <v>0 &amp;</v>
      </c>
      <c r="P48" t="str">
        <f t="shared" ca="1" si="29"/>
        <v>0 &amp;</v>
      </c>
      <c r="Q48" t="str">
        <f t="shared" ca="1" si="29"/>
        <v>0 &amp;</v>
      </c>
      <c r="R48" t="str">
        <f t="shared" ca="1" si="29"/>
        <v>7</v>
      </c>
      <c r="S48" s="9" t="s">
        <v>80</v>
      </c>
      <c r="V48" s="9"/>
    </row>
    <row r="49" spans="1:180" x14ac:dyDescent="0.2">
      <c r="A49" t="str">
        <f t="shared" si="27"/>
        <v>\textbf{Overall Success Rate} &amp;</v>
      </c>
      <c r="B49" t="str">
        <f t="shared" ca="1" si="28"/>
        <v>100.0\% &amp;</v>
      </c>
      <c r="C49" t="str">
        <f t="shared" ca="1" si="28"/>
        <v>100.0\% &amp;</v>
      </c>
      <c r="D49" t="str">
        <f t="shared" ca="1" si="28"/>
        <v>100.0\% &amp;</v>
      </c>
      <c r="E49" t="str">
        <f t="shared" ca="1" si="28"/>
        <v>95.2\% &amp;</v>
      </c>
      <c r="F49" t="str">
        <f t="shared" ca="1" si="28"/>
        <v>100.0\% &amp;</v>
      </c>
      <c r="G49" t="str">
        <f t="shared" ca="1" si="28"/>
        <v>100.0\% &amp;</v>
      </c>
      <c r="H49" t="str">
        <f t="shared" ca="1" si="28"/>
        <v>100.0\%</v>
      </c>
      <c r="I49" s="9" t="s">
        <v>80</v>
      </c>
      <c r="J49" t="s">
        <v>79</v>
      </c>
      <c r="M49" t="str">
        <f t="shared" si="30"/>
        <v>\textbf{No Result} &amp;</v>
      </c>
      <c r="N49" t="str">
        <f t="shared" ca="1" si="29"/>
        <v>0 &amp;</v>
      </c>
      <c r="O49" t="str">
        <f t="shared" ca="1" si="29"/>
        <v>0 &amp;</v>
      </c>
      <c r="P49" t="str">
        <f t="shared" ca="1" si="29"/>
        <v>0 &amp;</v>
      </c>
      <c r="Q49" t="str">
        <f t="shared" ca="1" si="29"/>
        <v>0 &amp;</v>
      </c>
      <c r="R49" t="str">
        <f t="shared" ca="1" si="29"/>
        <v>0</v>
      </c>
      <c r="S49" s="9" t="s">
        <v>80</v>
      </c>
      <c r="V49" s="9"/>
    </row>
    <row r="50" spans="1:180" x14ac:dyDescent="0.2">
      <c r="A50" t="str">
        <f t="shared" si="27"/>
        <v>\textbf{Total Time (s)} &amp;</v>
      </c>
      <c r="B50" t="str">
        <f t="shared" ca="1" si="28"/>
        <v>8.9E+01 &amp;</v>
      </c>
      <c r="C50" t="str">
        <f t="shared" ca="1" si="28"/>
        <v>7.0E+03 &amp;</v>
      </c>
      <c r="D50" t="str">
        <f t="shared" ca="1" si="28"/>
        <v>7.2E+03 &amp;</v>
      </c>
      <c r="E50" t="str">
        <f t="shared" ca="1" si="28"/>
        <v>3.6E+03 &amp;</v>
      </c>
      <c r="F50" t="str">
        <f t="shared" ca="1" si="28"/>
        <v>6.6E+00 &amp;</v>
      </c>
      <c r="G50" t="str">
        <f t="shared" ca="1" si="28"/>
        <v>4.7E+00 &amp;</v>
      </c>
      <c r="H50" t="str">
        <f t="shared" ca="1" si="28"/>
        <v>7.4E+00</v>
      </c>
      <c r="I50" s="9" t="s">
        <v>80</v>
      </c>
      <c r="M50" t="str">
        <f t="shared" si="30"/>
        <v>\textbf{At lowest distance} &amp;</v>
      </c>
      <c r="N50" t="str">
        <f t="shared" ca="1" si="29"/>
        <v>21 &amp;</v>
      </c>
      <c r="O50" t="str">
        <f t="shared" ca="1" si="29"/>
        <v>21 &amp;</v>
      </c>
      <c r="P50" t="str">
        <f t="shared" ca="1" si="29"/>
        <v>21 &amp;</v>
      </c>
      <c r="Q50" t="str">
        <f t="shared" ca="1" si="29"/>
        <v>21 &amp;</v>
      </c>
      <c r="R50" t="str">
        <f t="shared" ca="1" si="29"/>
        <v>21</v>
      </c>
      <c r="S50" s="9" t="s">
        <v>80</v>
      </c>
      <c r="V50" s="9"/>
    </row>
    <row r="51" spans="1:180" x14ac:dyDescent="0.2">
      <c r="A51" t="str">
        <f t="shared" si="27"/>
        <v>\textbf{Trials} &amp;</v>
      </c>
      <c r="B51" t="str">
        <f t="shared" ca="1" si="28"/>
        <v>0 &amp;</v>
      </c>
      <c r="C51" t="str">
        <f t="shared" ca="1" si="28"/>
        <v>210,000 &amp;</v>
      </c>
      <c r="D51" t="str">
        <f t="shared" ca="1" si="28"/>
        <v>210,000 &amp;</v>
      </c>
      <c r="E51" t="str">
        <f t="shared" ca="1" si="28"/>
        <v>210,000 &amp;</v>
      </c>
      <c r="F51" t="str">
        <f t="shared" ca="1" si="28"/>
        <v>21 &amp;</v>
      </c>
      <c r="G51" t="str">
        <f t="shared" ca="1" si="28"/>
        <v>21 &amp;</v>
      </c>
      <c r="H51" t="str">
        <f t="shared" ca="1" si="28"/>
        <v>42</v>
      </c>
      <c r="I51" s="9" t="s">
        <v>80</v>
      </c>
      <c r="M51" t="str">
        <f t="shared" si="30"/>
        <v>\textbf{Overall success rate} &amp;</v>
      </c>
      <c r="N51" t="str">
        <f t="shared" ca="1" si="29"/>
        <v>100.0\% &amp;</v>
      </c>
      <c r="O51" t="str">
        <f t="shared" ca="1" si="29"/>
        <v>100.0\% &amp;</v>
      </c>
      <c r="P51" t="str">
        <f t="shared" ca="1" si="29"/>
        <v>100.0\% &amp;</v>
      </c>
      <c r="Q51" t="str">
        <f t="shared" ca="1" si="29"/>
        <v>100.0\% &amp;</v>
      </c>
      <c r="R51" t="str">
        <f t="shared" ca="1" si="29"/>
        <v>100.0\%</v>
      </c>
      <c r="S51" s="9" t="s">
        <v>80</v>
      </c>
      <c r="T51" t="s">
        <v>79</v>
      </c>
      <c r="V51" s="9"/>
    </row>
    <row r="52" spans="1:180" x14ac:dyDescent="0.2">
      <c r="A52" t="str">
        <f t="shared" si="27"/>
        <v>\textbf{Trials at lowest distance} &amp;</v>
      </c>
      <c r="B52" t="str">
        <f t="shared" ca="1" si="28"/>
        <v xml:space="preserve"> &amp;</v>
      </c>
      <c r="C52" t="str">
        <f t="shared" ca="1" si="28"/>
        <v>197,591 &amp;</v>
      </c>
      <c r="D52" t="str">
        <f t="shared" ca="1" si="28"/>
        <v>206,628 &amp;</v>
      </c>
      <c r="E52" t="str">
        <f t="shared" ca="1" si="28"/>
        <v>164,316 &amp;</v>
      </c>
      <c r="F52" t="str">
        <f t="shared" ca="1" si="28"/>
        <v>21 &amp;</v>
      </c>
      <c r="G52" t="str">
        <f t="shared" ca="1" si="28"/>
        <v>21 &amp;</v>
      </c>
      <c r="H52" t="str">
        <f t="shared" ca="1" si="28"/>
        <v>42</v>
      </c>
      <c r="I52" s="9" t="s">
        <v>80</v>
      </c>
      <c r="M52" t="str">
        <f t="shared" si="30"/>
        <v>\textbf{Total Time} &amp;</v>
      </c>
      <c r="N52" t="str">
        <f t="shared" ca="1" si="29"/>
        <v>1.5E+03 &amp;</v>
      </c>
      <c r="O52" t="str">
        <f t="shared" ca="1" si="29"/>
        <v>8.7E+03 &amp;</v>
      </c>
      <c r="P52" t="str">
        <f t="shared" ca="1" si="29"/>
        <v>1.7E+03 &amp;</v>
      </c>
      <c r="Q52" t="str">
        <f t="shared" ca="1" si="29"/>
        <v>1.0E+00 &amp;</v>
      </c>
      <c r="R52" t="str">
        <f t="shared" ca="1" si="29"/>
        <v>2.2E+05</v>
      </c>
      <c r="S52" s="9" t="s">
        <v>80</v>
      </c>
      <c r="V52" s="9"/>
    </row>
    <row r="53" spans="1:180" x14ac:dyDescent="0.2">
      <c r="A53" t="str">
        <f t="shared" si="27"/>
        <v>\textbf{Trial Success Rate} &amp;</v>
      </c>
      <c r="B53" t="str">
        <f t="shared" ca="1" si="28"/>
        <v xml:space="preserve"> &amp;</v>
      </c>
      <c r="C53" t="str">
        <f t="shared" ca="1" si="28"/>
        <v>94.1\% &amp;</v>
      </c>
      <c r="D53" t="str">
        <f t="shared" ca="1" si="28"/>
        <v>98.4\% &amp;</v>
      </c>
      <c r="E53" t="str">
        <f t="shared" ca="1" si="28"/>
        <v>78.2\% &amp;</v>
      </c>
      <c r="F53" t="str">
        <f t="shared" ca="1" si="28"/>
        <v>100.0\% &amp;</v>
      </c>
      <c r="G53" t="str">
        <f t="shared" ca="1" si="28"/>
        <v>100.0\% &amp;</v>
      </c>
      <c r="H53" t="str">
        <f t="shared" ca="1" si="28"/>
        <v>100.0\%</v>
      </c>
      <c r="I53" s="9" t="s">
        <v>80</v>
      </c>
      <c r="M53" t="str">
        <f t="shared" si="30"/>
        <v>\textbf{Time/Trial} &amp;</v>
      </c>
      <c r="N53" t="str">
        <f t="shared" ca="1" si="29"/>
        <v>7.0E+01 &amp;</v>
      </c>
      <c r="O53" t="str">
        <f t="shared" ca="1" si="29"/>
        <v>4.2E+02 &amp;</v>
      </c>
      <c r="P53" t="str">
        <f t="shared" ca="1" si="29"/>
        <v>7.9E+01 &amp;</v>
      </c>
      <c r="Q53" t="str">
        <f t="shared" ca="1" si="29"/>
        <v>4.8E-02 &amp;</v>
      </c>
      <c r="R53" t="str">
        <f t="shared" ca="1" si="29"/>
        <v>1.1E+04</v>
      </c>
      <c r="S53" s="9" t="s">
        <v>80</v>
      </c>
      <c r="V53" s="9"/>
    </row>
    <row r="54" spans="1:180" x14ac:dyDescent="0.2">
      <c r="A54" t="str">
        <f t="shared" si="27"/>
        <v>\textbf{Time/Trial} &amp;</v>
      </c>
      <c r="B54" t="str">
        <f t="shared" ca="1" si="28"/>
        <v xml:space="preserve"> &amp;</v>
      </c>
      <c r="C54" t="str">
        <f t="shared" ca="1" si="28"/>
        <v>3.3E-02 &amp;</v>
      </c>
      <c r="D54" t="str">
        <f t="shared" ca="1" si="28"/>
        <v>3.4E-02 &amp;</v>
      </c>
      <c r="E54" t="str">
        <f t="shared" ca="1" si="28"/>
        <v>1.7E-02 &amp;</v>
      </c>
      <c r="F54" t="str">
        <f t="shared" ca="1" si="28"/>
        <v>3.1E-01 &amp;</v>
      </c>
      <c r="G54" t="str">
        <f t="shared" ca="1" si="28"/>
        <v>2.2E-01 &amp;</v>
      </c>
      <c r="H54" t="str">
        <f t="shared" ca="1" si="28"/>
        <v>1.8E-01</v>
      </c>
      <c r="I54" s="9" t="s">
        <v>80</v>
      </c>
      <c r="M54" t="str">
        <f t="shared" si="30"/>
        <v>\textbf{Time/Successful Trial} &amp;</v>
      </c>
      <c r="N54" t="str">
        <f ca="1">SUBSTITUTE(TEXT(N15,$S15)&amp;IF(O54="\\",""," &amp;"),"%","\%")</f>
        <v>7.0E+01 &amp;</v>
      </c>
      <c r="O54" t="str">
        <f t="shared" ca="1" si="29"/>
        <v>4.2E+02 &amp;</v>
      </c>
      <c r="P54" t="str">
        <f t="shared" ca="1" si="29"/>
        <v>7.9E+01 &amp;</v>
      </c>
      <c r="Q54" t="str">
        <f t="shared" ca="1" si="29"/>
        <v>4.8E-02 &amp;</v>
      </c>
      <c r="R54" t="str">
        <f t="shared" ca="1" si="29"/>
        <v>1.1E+04</v>
      </c>
      <c r="S54" s="9" t="s">
        <v>80</v>
      </c>
      <c r="T54" t="s">
        <v>79</v>
      </c>
      <c r="V54" s="9"/>
    </row>
    <row r="55" spans="1:180" x14ac:dyDescent="0.2">
      <c r="A55" t="str">
        <f t="shared" si="27"/>
        <v>\textbf{Time/Successful Trial} &amp;</v>
      </c>
      <c r="B55" t="str">
        <f t="shared" ca="1" si="28"/>
        <v xml:space="preserve"> &amp;</v>
      </c>
      <c r="C55" t="str">
        <f t="shared" ca="1" si="28"/>
        <v>3.6E-02 &amp;</v>
      </c>
      <c r="D55" t="str">
        <f t="shared" ca="1" si="28"/>
        <v>3.5E-02 &amp;</v>
      </c>
      <c r="E55" t="str">
        <f t="shared" ca="1" si="28"/>
        <v>2.2E-02 &amp;</v>
      </c>
      <c r="F55" t="str">
        <f t="shared" ca="1" si="28"/>
        <v>3.1E-01 &amp;</v>
      </c>
      <c r="G55" t="str">
        <f t="shared" ca="1" si="28"/>
        <v>2.2E-01 &amp;</v>
      </c>
      <c r="H55" t="str">
        <f t="shared" ca="1" si="28"/>
        <v>1.8E-01</v>
      </c>
      <c r="I55" s="9" t="s">
        <v>80</v>
      </c>
      <c r="J55" t="s">
        <v>79</v>
      </c>
      <c r="M55" t="s">
        <v>81</v>
      </c>
      <c r="V55" s="9"/>
    </row>
    <row r="56" spans="1:180" x14ac:dyDescent="0.2">
      <c r="A56" t="s">
        <v>81</v>
      </c>
      <c r="J56" s="9"/>
      <c r="M56" t="s">
        <v>82</v>
      </c>
      <c r="V56" s="9"/>
    </row>
    <row r="57" spans="1:180" x14ac:dyDescent="0.2">
      <c r="A57" t="s">
        <v>82</v>
      </c>
      <c r="V57" s="9"/>
    </row>
    <row r="59" spans="1:180" x14ac:dyDescent="0.2">
      <c r="V59" s="4"/>
      <c r="W59" s="5"/>
    </row>
    <row r="60" spans="1:180" x14ac:dyDescent="0.2">
      <c r="M60" s="6"/>
      <c r="N60" s="6"/>
      <c r="O60" s="6"/>
      <c r="V60" s="4"/>
      <c r="W60" s="5"/>
    </row>
    <row r="61" spans="1:180" x14ac:dyDescent="0.2">
      <c r="V61" s="4"/>
      <c r="W61" s="5"/>
    </row>
    <row r="62" spans="1:180" x14ac:dyDescent="0.2">
      <c r="E62" s="6"/>
      <c r="F62" s="6"/>
      <c r="G62" s="6"/>
      <c r="H62" s="6"/>
      <c r="I62" s="6"/>
      <c r="J62" s="6"/>
      <c r="K62" s="6"/>
      <c r="L62" s="6"/>
      <c r="M62" s="6"/>
      <c r="N62" s="6"/>
      <c r="O62" s="6"/>
      <c r="Y62" s="4"/>
      <c r="Z62" s="5"/>
      <c r="FW62" s="4"/>
      <c r="FX62" s="5"/>
    </row>
    <row r="63" spans="1:180" x14ac:dyDescent="0.2">
      <c r="Y63" s="4"/>
      <c r="Z63" s="5"/>
      <c r="FW63" s="4"/>
      <c r="FX63" s="5"/>
    </row>
    <row r="64" spans="1:180" x14ac:dyDescent="0.2">
      <c r="A64" t="s">
        <v>107</v>
      </c>
      <c r="B64">
        <f ca="1">MATCH("name",INDIRECT($A$67&amp;"!a:a"),)</f>
        <v>24</v>
      </c>
      <c r="Y64" s="4"/>
      <c r="Z64" s="5"/>
      <c r="FW64" s="4"/>
      <c r="FX64" s="5"/>
    </row>
    <row r="65" spans="1:222" x14ac:dyDescent="0.2">
      <c r="Y65" s="4"/>
      <c r="Z65" s="5"/>
      <c r="FS65" t="s">
        <v>108</v>
      </c>
      <c r="FT65" t="str">
        <f>B19</f>
        <v>QDistRndMW</v>
      </c>
      <c r="FW65" s="4"/>
      <c r="FX65" s="5"/>
    </row>
    <row r="66" spans="1:222" s="6" customFormat="1" x14ac:dyDescent="0.2">
      <c r="E66" s="6" t="s">
        <v>83</v>
      </c>
      <c r="V66" s="6" t="s">
        <v>84</v>
      </c>
      <c r="AM66" s="6" t="s">
        <v>109</v>
      </c>
      <c r="AV66" s="6" t="s">
        <v>394</v>
      </c>
      <c r="BD66" s="6" t="s">
        <v>85</v>
      </c>
      <c r="BU66" s="6" t="s">
        <v>86</v>
      </c>
      <c r="CL66" s="6" t="s">
        <v>87</v>
      </c>
      <c r="DC66" s="6" t="s">
        <v>74</v>
      </c>
      <c r="DT66" s="6" t="s">
        <v>362</v>
      </c>
      <c r="EK66" s="6" t="s">
        <v>26</v>
      </c>
      <c r="FB66" s="6" t="s">
        <v>27</v>
      </c>
      <c r="FS66" s="6" t="s">
        <v>107</v>
      </c>
      <c r="FT66">
        <f>MATCH(B19,E67:Q67,)</f>
        <v>7</v>
      </c>
      <c r="FU66"/>
      <c r="FV66"/>
      <c r="FW66" s="4"/>
      <c r="FX66" s="5"/>
      <c r="FZ66" s="6" t="s">
        <v>397</v>
      </c>
      <c r="GN66" s="6" t="s">
        <v>402</v>
      </c>
      <c r="HB66" s="6" t="s">
        <v>403</v>
      </c>
    </row>
    <row r="67" spans="1:222" s="6" customFormat="1" x14ac:dyDescent="0.2">
      <c r="A67" s="6" t="s">
        <v>364</v>
      </c>
      <c r="B67" s="6" t="s">
        <v>21</v>
      </c>
      <c r="C67" s="6" t="s">
        <v>88</v>
      </c>
      <c r="E67" s="6" t="s">
        <v>95</v>
      </c>
      <c r="F67" s="6" t="s">
        <v>96</v>
      </c>
      <c r="G67" s="6" t="s">
        <v>89</v>
      </c>
      <c r="H67" s="6" t="s">
        <v>92</v>
      </c>
      <c r="I67" s="6" t="s">
        <v>110</v>
      </c>
      <c r="J67" s="6" t="s">
        <v>93</v>
      </c>
      <c r="K67" s="6" t="s">
        <v>73</v>
      </c>
      <c r="L67" s="6" t="s">
        <v>97</v>
      </c>
      <c r="M67" s="6" t="s">
        <v>91</v>
      </c>
      <c r="N67" s="6" t="s">
        <v>94</v>
      </c>
      <c r="O67" s="6" t="s">
        <v>90</v>
      </c>
      <c r="P67" s="6" t="s">
        <v>98</v>
      </c>
      <c r="V67" s="6" t="str">
        <f t="shared" ref="V67:AG67" si="31">E67</f>
        <v>Gurobi</v>
      </c>
      <c r="W67" s="6" t="str">
        <f t="shared" si="31"/>
        <v>MIP-SCIP</v>
      </c>
      <c r="X67" s="6" t="str">
        <f t="shared" si="31"/>
        <v>CLISAT</v>
      </c>
      <c r="Y67" s="6" t="str">
        <f t="shared" si="31"/>
        <v>m4ri_CC</v>
      </c>
      <c r="Z67" s="6" t="str">
        <f t="shared" si="31"/>
        <v>magma</v>
      </c>
      <c r="AA67" s="6" t="str">
        <f t="shared" si="31"/>
        <v>m4ri_RW</v>
      </c>
      <c r="AB67" s="6" t="str">
        <f t="shared" si="31"/>
        <v>QDistRndMW</v>
      </c>
      <c r="AC67" s="6" t="str">
        <f t="shared" si="31"/>
        <v>QDistEvol</v>
      </c>
      <c r="AD67" s="6" t="str">
        <f t="shared" si="31"/>
        <v>bposd</v>
      </c>
      <c r="AE67" s="6" t="str">
        <f t="shared" si="31"/>
        <v>GEStim</v>
      </c>
      <c r="AF67" s="6" t="str">
        <f t="shared" si="31"/>
        <v>CCStim</v>
      </c>
      <c r="AG67" s="6" t="str">
        <f t="shared" si="31"/>
        <v>UEStim</v>
      </c>
      <c r="AM67" s="6" t="str">
        <f t="shared" ref="AM67:AQ67" si="32">E67</f>
        <v>Gurobi</v>
      </c>
      <c r="AN67" s="6" t="str">
        <f t="shared" si="32"/>
        <v>MIP-SCIP</v>
      </c>
      <c r="AO67" s="6" t="str">
        <f t="shared" si="32"/>
        <v>CLISAT</v>
      </c>
      <c r="AP67" s="6" t="str">
        <f t="shared" si="32"/>
        <v>m4ri_CC</v>
      </c>
      <c r="AQ67" s="6" t="str">
        <f t="shared" si="32"/>
        <v>magma</v>
      </c>
      <c r="AV67" s="6" t="str">
        <f>AM67</f>
        <v>Gurobi</v>
      </c>
      <c r="AW67" s="6" t="str">
        <f t="shared" ref="AW67:AZ67" si="33">AN67</f>
        <v>MIP-SCIP</v>
      </c>
      <c r="AX67" s="6" t="str">
        <f t="shared" si="33"/>
        <v>CLISAT</v>
      </c>
      <c r="AY67" s="6" t="str">
        <f t="shared" si="33"/>
        <v>m4ri_CC</v>
      </c>
      <c r="AZ67" s="6" t="str">
        <f t="shared" si="33"/>
        <v>magma</v>
      </c>
      <c r="BD67" s="6" t="str">
        <f t="shared" ref="BD67:BO67" si="34">V67</f>
        <v>Gurobi</v>
      </c>
      <c r="BE67" s="6" t="str">
        <f t="shared" si="34"/>
        <v>MIP-SCIP</v>
      </c>
      <c r="BF67" s="6" t="str">
        <f t="shared" si="34"/>
        <v>CLISAT</v>
      </c>
      <c r="BG67" s="6" t="str">
        <f t="shared" si="34"/>
        <v>m4ri_CC</v>
      </c>
      <c r="BH67" s="6" t="str">
        <f t="shared" si="34"/>
        <v>magma</v>
      </c>
      <c r="BI67" s="6" t="str">
        <f t="shared" si="34"/>
        <v>m4ri_RW</v>
      </c>
      <c r="BJ67" s="6" t="str">
        <f t="shared" si="34"/>
        <v>QDistRndMW</v>
      </c>
      <c r="BK67" s="6" t="str">
        <f t="shared" si="34"/>
        <v>QDistEvol</v>
      </c>
      <c r="BL67" s="6" t="str">
        <f t="shared" si="34"/>
        <v>bposd</v>
      </c>
      <c r="BM67" s="6" t="str">
        <f t="shared" si="34"/>
        <v>GEStim</v>
      </c>
      <c r="BN67" s="6" t="str">
        <f t="shared" si="34"/>
        <v>CCStim</v>
      </c>
      <c r="BO67" s="6" t="str">
        <f t="shared" si="34"/>
        <v>UEStim</v>
      </c>
      <c r="BU67" s="6" t="str">
        <f t="shared" ref="BU67:CF67" si="35">BD67</f>
        <v>Gurobi</v>
      </c>
      <c r="BV67" s="6" t="str">
        <f t="shared" si="35"/>
        <v>MIP-SCIP</v>
      </c>
      <c r="BW67" s="6" t="str">
        <f t="shared" si="35"/>
        <v>CLISAT</v>
      </c>
      <c r="BX67" s="6" t="str">
        <f t="shared" si="35"/>
        <v>m4ri_CC</v>
      </c>
      <c r="BY67" s="6" t="str">
        <f t="shared" si="35"/>
        <v>magma</v>
      </c>
      <c r="BZ67" s="6" t="str">
        <f t="shared" si="35"/>
        <v>m4ri_RW</v>
      </c>
      <c r="CA67" s="6" t="str">
        <f t="shared" si="35"/>
        <v>QDistRndMW</v>
      </c>
      <c r="CB67" s="6" t="str">
        <f t="shared" si="35"/>
        <v>QDistEvol</v>
      </c>
      <c r="CC67" s="6" t="str">
        <f t="shared" si="35"/>
        <v>bposd</v>
      </c>
      <c r="CD67" s="6" t="str">
        <f t="shared" si="35"/>
        <v>GEStim</v>
      </c>
      <c r="CE67" s="6" t="str">
        <f t="shared" si="35"/>
        <v>CCStim</v>
      </c>
      <c r="CF67" s="6" t="str">
        <f t="shared" si="35"/>
        <v>UEStim</v>
      </c>
      <c r="CL67" s="6" t="str">
        <f t="shared" ref="CL67:CW67" si="36">BU67</f>
        <v>Gurobi</v>
      </c>
      <c r="CM67" s="6" t="str">
        <f t="shared" si="36"/>
        <v>MIP-SCIP</v>
      </c>
      <c r="CN67" s="6" t="str">
        <f t="shared" si="36"/>
        <v>CLISAT</v>
      </c>
      <c r="CO67" s="6" t="str">
        <f t="shared" si="36"/>
        <v>m4ri_CC</v>
      </c>
      <c r="CP67" s="6" t="str">
        <f t="shared" si="36"/>
        <v>magma</v>
      </c>
      <c r="CQ67" s="6" t="str">
        <f t="shared" si="36"/>
        <v>m4ri_RW</v>
      </c>
      <c r="CR67" s="6" t="str">
        <f t="shared" si="36"/>
        <v>QDistRndMW</v>
      </c>
      <c r="CS67" s="6" t="str">
        <f t="shared" si="36"/>
        <v>QDistEvol</v>
      </c>
      <c r="CT67" s="6" t="str">
        <f t="shared" si="36"/>
        <v>bposd</v>
      </c>
      <c r="CU67" s="6" t="str">
        <f t="shared" si="36"/>
        <v>GEStim</v>
      </c>
      <c r="CV67" s="6" t="str">
        <f t="shared" si="36"/>
        <v>CCStim</v>
      </c>
      <c r="CW67" s="6" t="str">
        <f t="shared" si="36"/>
        <v>UEStim</v>
      </c>
      <c r="DC67" s="6" t="str">
        <f t="shared" ref="DC67:DN67" si="37">CL67</f>
        <v>Gurobi</v>
      </c>
      <c r="DD67" s="6" t="str">
        <f t="shared" si="37"/>
        <v>MIP-SCIP</v>
      </c>
      <c r="DE67" s="6" t="str">
        <f t="shared" si="37"/>
        <v>CLISAT</v>
      </c>
      <c r="DF67" s="6" t="str">
        <f t="shared" si="37"/>
        <v>m4ri_CC</v>
      </c>
      <c r="DG67" s="6" t="str">
        <f t="shared" si="37"/>
        <v>magma</v>
      </c>
      <c r="DH67" s="6" t="str">
        <f t="shared" si="37"/>
        <v>m4ri_RW</v>
      </c>
      <c r="DI67" s="6" t="str">
        <f t="shared" si="37"/>
        <v>QDistRndMW</v>
      </c>
      <c r="DJ67" s="6" t="str">
        <f t="shared" si="37"/>
        <v>QDistEvol</v>
      </c>
      <c r="DK67" s="6" t="str">
        <f t="shared" si="37"/>
        <v>bposd</v>
      </c>
      <c r="DL67" s="6" t="str">
        <f t="shared" si="37"/>
        <v>GEStim</v>
      </c>
      <c r="DM67" s="6" t="str">
        <f t="shared" si="37"/>
        <v>CCStim</v>
      </c>
      <c r="DN67" s="6" t="str">
        <f t="shared" si="37"/>
        <v>UEStim</v>
      </c>
      <c r="DT67" s="6" t="str">
        <f t="shared" ref="DT67:EE67" si="38">DC67</f>
        <v>Gurobi</v>
      </c>
      <c r="DU67" s="6" t="str">
        <f t="shared" si="38"/>
        <v>MIP-SCIP</v>
      </c>
      <c r="DV67" s="6" t="str">
        <f t="shared" si="38"/>
        <v>CLISAT</v>
      </c>
      <c r="DW67" s="6" t="str">
        <f t="shared" si="38"/>
        <v>m4ri_CC</v>
      </c>
      <c r="DX67" s="6" t="str">
        <f t="shared" si="38"/>
        <v>magma</v>
      </c>
      <c r="DY67" s="6" t="str">
        <f t="shared" si="38"/>
        <v>m4ri_RW</v>
      </c>
      <c r="DZ67" s="6" t="str">
        <f t="shared" si="38"/>
        <v>QDistRndMW</v>
      </c>
      <c r="EA67" s="6" t="str">
        <f t="shared" si="38"/>
        <v>QDistEvol</v>
      </c>
      <c r="EB67" s="6" t="str">
        <f t="shared" si="38"/>
        <v>bposd</v>
      </c>
      <c r="EC67" s="6" t="str">
        <f t="shared" si="38"/>
        <v>GEStim</v>
      </c>
      <c r="ED67" s="6" t="str">
        <f t="shared" si="38"/>
        <v>CCStim</v>
      </c>
      <c r="EE67" s="6" t="str">
        <f t="shared" si="38"/>
        <v>UEStim</v>
      </c>
      <c r="EK67" s="6" t="str">
        <f t="shared" ref="EK67:EV67" si="39">DT67</f>
        <v>Gurobi</v>
      </c>
      <c r="EL67" s="6" t="str">
        <f t="shared" si="39"/>
        <v>MIP-SCIP</v>
      </c>
      <c r="EM67" s="6" t="str">
        <f t="shared" si="39"/>
        <v>CLISAT</v>
      </c>
      <c r="EN67" s="6" t="str">
        <f t="shared" si="39"/>
        <v>m4ri_CC</v>
      </c>
      <c r="EO67" s="6" t="str">
        <f t="shared" si="39"/>
        <v>magma</v>
      </c>
      <c r="EP67" s="6" t="str">
        <f t="shared" si="39"/>
        <v>m4ri_RW</v>
      </c>
      <c r="EQ67" s="6" t="str">
        <f t="shared" si="39"/>
        <v>QDistRndMW</v>
      </c>
      <c r="ER67" s="6" t="str">
        <f t="shared" si="39"/>
        <v>QDistEvol</v>
      </c>
      <c r="ES67" s="6" t="str">
        <f t="shared" si="39"/>
        <v>bposd</v>
      </c>
      <c r="ET67" s="6" t="str">
        <f t="shared" si="39"/>
        <v>GEStim</v>
      </c>
      <c r="EU67" s="6" t="str">
        <f t="shared" si="39"/>
        <v>CCStim</v>
      </c>
      <c r="EV67" s="6" t="str">
        <f t="shared" si="39"/>
        <v>UEStim</v>
      </c>
      <c r="FB67" s="6" t="str">
        <f t="shared" ref="FB67:FM67" si="40">EK67</f>
        <v>Gurobi</v>
      </c>
      <c r="FC67" s="6" t="str">
        <f t="shared" si="40"/>
        <v>MIP-SCIP</v>
      </c>
      <c r="FD67" s="6" t="str">
        <f t="shared" si="40"/>
        <v>CLISAT</v>
      </c>
      <c r="FE67" s="6" t="str">
        <f t="shared" si="40"/>
        <v>m4ri_CC</v>
      </c>
      <c r="FF67" s="6" t="str">
        <f t="shared" si="40"/>
        <v>magma</v>
      </c>
      <c r="FG67" s="6" t="str">
        <f t="shared" si="40"/>
        <v>m4ri_RW</v>
      </c>
      <c r="FH67" s="6" t="str">
        <f t="shared" si="40"/>
        <v>QDistRndMW</v>
      </c>
      <c r="FI67" s="6" t="str">
        <f t="shared" si="40"/>
        <v>QDistEvol</v>
      </c>
      <c r="FJ67" s="6" t="str">
        <f t="shared" si="40"/>
        <v>bposd</v>
      </c>
      <c r="FK67" s="6" t="str">
        <f t="shared" si="40"/>
        <v>GEStim</v>
      </c>
      <c r="FL67" s="6" t="str">
        <f t="shared" si="40"/>
        <v>CCStim</v>
      </c>
      <c r="FM67" s="6" t="str">
        <f t="shared" si="40"/>
        <v>UEStim</v>
      </c>
      <c r="FS67" s="3" t="s">
        <v>21</v>
      </c>
      <c r="FT67" s="3" t="s">
        <v>66</v>
      </c>
      <c r="FU67" t="s">
        <v>26</v>
      </c>
      <c r="FV67" t="s">
        <v>27</v>
      </c>
      <c r="FW67" t="s">
        <v>67</v>
      </c>
      <c r="FX67" t="s">
        <v>68</v>
      </c>
      <c r="FZ67" s="6" t="str">
        <f>GN67</f>
        <v>n</v>
      </c>
      <c r="GA67" s="6" t="s">
        <v>95</v>
      </c>
      <c r="GB67" s="6" t="s">
        <v>96</v>
      </c>
      <c r="GC67" s="6" t="s">
        <v>89</v>
      </c>
      <c r="GD67" s="6" t="s">
        <v>92</v>
      </c>
      <c r="GE67" s="6" t="s">
        <v>110</v>
      </c>
      <c r="GF67" s="6" t="s">
        <v>93</v>
      </c>
      <c r="GG67" s="6" t="s">
        <v>73</v>
      </c>
      <c r="GH67" s="6" t="s">
        <v>97</v>
      </c>
      <c r="GI67" s="6" t="s">
        <v>91</v>
      </c>
      <c r="GJ67" s="6" t="s">
        <v>94</v>
      </c>
      <c r="GK67" s="6" t="s">
        <v>90</v>
      </c>
      <c r="GL67" s="6" t="s">
        <v>98</v>
      </c>
      <c r="GN67" s="6" t="s">
        <v>21</v>
      </c>
      <c r="GO67" s="6" t="str">
        <f>GA67</f>
        <v>Gurobi</v>
      </c>
      <c r="GP67" s="6" t="str">
        <f t="shared" ref="GP67:GZ67" si="41">GB67</f>
        <v>MIP-SCIP</v>
      </c>
      <c r="GQ67" s="6" t="str">
        <f t="shared" si="41"/>
        <v>CLISAT</v>
      </c>
      <c r="GR67" s="6" t="str">
        <f t="shared" si="41"/>
        <v>m4ri_CC</v>
      </c>
      <c r="GS67" s="6" t="str">
        <f t="shared" si="41"/>
        <v>magma</v>
      </c>
      <c r="GT67" s="6" t="str">
        <f t="shared" si="41"/>
        <v>m4ri_RW</v>
      </c>
      <c r="GU67" s="6" t="str">
        <f t="shared" si="41"/>
        <v>QDistRndMW</v>
      </c>
      <c r="GV67" s="6" t="str">
        <f t="shared" si="41"/>
        <v>QDistEvol</v>
      </c>
      <c r="GW67" s="6" t="str">
        <f t="shared" si="41"/>
        <v>bposd</v>
      </c>
      <c r="GX67" s="6" t="str">
        <f t="shared" si="41"/>
        <v>GEStim</v>
      </c>
      <c r="GY67" s="6" t="str">
        <f t="shared" si="41"/>
        <v>CCStim</v>
      </c>
      <c r="GZ67" s="6" t="str">
        <f t="shared" si="41"/>
        <v>UEStim</v>
      </c>
      <c r="HB67" s="6" t="str">
        <f>GN67</f>
        <v>n</v>
      </c>
      <c r="HC67" s="6" t="str">
        <f>GO67</f>
        <v>Gurobi</v>
      </c>
      <c r="HD67" s="6" t="str">
        <f t="shared" ref="HD67:HN67" si="42">GP67</f>
        <v>MIP-SCIP</v>
      </c>
      <c r="HE67" s="6" t="str">
        <f t="shared" si="42"/>
        <v>CLISAT</v>
      </c>
      <c r="HF67" s="6" t="str">
        <f t="shared" si="42"/>
        <v>m4ri_CC</v>
      </c>
      <c r="HG67" s="6" t="str">
        <f t="shared" si="42"/>
        <v>magma</v>
      </c>
      <c r="HH67" s="6" t="str">
        <f t="shared" si="42"/>
        <v>m4ri_RW</v>
      </c>
      <c r="HI67" s="6" t="str">
        <f t="shared" si="42"/>
        <v>QDistRndMW</v>
      </c>
      <c r="HJ67" s="6" t="str">
        <f t="shared" si="42"/>
        <v>QDistEvol</v>
      </c>
      <c r="HK67" s="6" t="str">
        <f t="shared" si="42"/>
        <v>bposd</v>
      </c>
      <c r="HL67" s="6" t="str">
        <f t="shared" si="42"/>
        <v>GEStim</v>
      </c>
      <c r="HM67" s="6" t="str">
        <f t="shared" si="42"/>
        <v>CCStim</v>
      </c>
      <c r="HN67" s="6" t="str">
        <f t="shared" si="42"/>
        <v>UEStim</v>
      </c>
    </row>
    <row r="68" spans="1:222" x14ac:dyDescent="0.2">
      <c r="A68" t="str" cm="1">
        <f t="array" aca="1" ref="A68" ca="1">INDIRECT($A$67&amp;"!A"&amp;ROW(C1)+$B$64)</f>
        <v>[[6,1,0]]</v>
      </c>
      <c r="B68" cm="1">
        <f t="array" aca="1" ref="B68" ca="1">INDIRECT($A$67&amp;"!b"&amp;ROW(D1)+$B$64)</f>
        <v>6</v>
      </c>
      <c r="C68">
        <f ca="1">MIN(INDIRECT($A$67&amp;"!d"&amp;ROW(E1)+$B$64),BU68:CG68)</f>
        <v>2</v>
      </c>
      <c r="E68">
        <f t="shared" ref="E68:P68" ca="1" si="43">MATCH($A68,INDIRECT("'"&amp;E$67&amp;"'!A:A"),)</f>
        <v>25</v>
      </c>
      <c r="F68">
        <f t="shared" ca="1" si="43"/>
        <v>26</v>
      </c>
      <c r="G68">
        <f t="shared" ca="1" si="43"/>
        <v>25</v>
      </c>
      <c r="H68">
        <f t="shared" ca="1" si="43"/>
        <v>25</v>
      </c>
      <c r="I68">
        <f t="shared" ca="1" si="43"/>
        <v>28</v>
      </c>
      <c r="J68">
        <f t="shared" ca="1" si="43"/>
        <v>25</v>
      </c>
      <c r="K68">
        <f t="shared" ca="1" si="43"/>
        <v>32</v>
      </c>
      <c r="L68">
        <f t="shared" ca="1" si="43"/>
        <v>34</v>
      </c>
      <c r="M68">
        <f t="shared" ca="1" si="43"/>
        <v>31</v>
      </c>
      <c r="N68">
        <f t="shared" ca="1" si="43"/>
        <v>25</v>
      </c>
      <c r="O68">
        <f t="shared" ca="1" si="43"/>
        <v>25</v>
      </c>
      <c r="P68">
        <f t="shared" ca="1" si="43"/>
        <v>25</v>
      </c>
      <c r="V68" cm="1">
        <f t="array" aca="1" ref="V68" ca="1">IF(ISNA(E68),$B68,OFFSET(INDIRECT("'"&amp;V$67&amp;"'!d1"),E68-1,))</f>
        <v>2</v>
      </c>
      <c r="W68" cm="1">
        <f t="array" aca="1" ref="W68" ca="1">IF(ISNA(F68),,OFFSET(INDIRECT("'"&amp;W$67&amp;"'!d1"),F68-1,))</f>
        <v>2</v>
      </c>
      <c r="X68" cm="1">
        <f t="array" aca="1" ref="X68" ca="1">IF(ISNA(G68),,OFFSET(INDIRECT("'"&amp;X$67&amp;"'!d1"),G68-1,))</f>
        <v>2</v>
      </c>
      <c r="Y68" cm="1">
        <f t="array" aca="1" ref="Y68" ca="1">IF(ISNA(H68),,OFFSET(INDIRECT("'"&amp;Y$67&amp;"'!d1"),H68-1,))</f>
        <v>2</v>
      </c>
      <c r="Z68" cm="1">
        <f t="array" aca="1" ref="Z68" ca="1">IF(ISNA(I68),,OFFSET(INDIRECT("'"&amp;Z$67&amp;"'!d1"),I68-1,))</f>
        <v>2</v>
      </c>
      <c r="AA68" cm="1">
        <f t="array" aca="1" ref="AA68" ca="1">IF(ISNA(J68),,OFFSET(INDIRECT("'"&amp;AA$67&amp;"'!d1"),J68-1,))</f>
        <v>2</v>
      </c>
      <c r="AB68" cm="1">
        <f t="array" aca="1" ref="AB68" ca="1">IF(ISNA(K68),,OFFSET(INDIRECT("'"&amp;AB$67&amp;"'!d1"),K68-1,))</f>
        <v>2</v>
      </c>
      <c r="AC68" cm="1">
        <f t="array" aca="1" ref="AC68" ca="1">IF(ISNA(L68),,OFFSET(INDIRECT("'"&amp;AC$67&amp;"'!d1"),L68-1,))</f>
        <v>2</v>
      </c>
      <c r="AD68" cm="1">
        <f t="array" aca="1" ref="AD68" ca="1">IF(ISNA(M68),,OFFSET(INDIRECT("'"&amp;AD$67&amp;"'!d1"),M68-1,))</f>
        <v>3</v>
      </c>
      <c r="AE68" cm="1">
        <f t="array" aca="1" ref="AE68" ca="1">IF(ISNA(N68),,OFFSET(INDIRECT("'"&amp;AE$67&amp;"'!d1"),N68-1,))</f>
        <v>2</v>
      </c>
      <c r="AF68" cm="1">
        <f t="array" aca="1" ref="AF68" ca="1">IF(ISNA(O68),,OFFSET(INDIRECT("'"&amp;AF$67&amp;"'!d1"),O68-1,))</f>
        <v>2</v>
      </c>
      <c r="AG68" cm="1">
        <f t="array" aca="1" ref="AG68" ca="1">IF(ISNA(P68),,OFFSET(INDIRECT("'"&amp;AG$67&amp;"'!d1"),P68-1,))</f>
        <v>2</v>
      </c>
      <c r="AM68">
        <f ca="1">IF(DC68&gt;= $N$3,0,BD68)</f>
        <v>1</v>
      </c>
      <c r="AN68">
        <f t="shared" ref="AN68:AP83" ca="1" si="44">IF(DD68&gt;= $N$3,0,BE68)</f>
        <v>1</v>
      </c>
      <c r="AO68">
        <f t="shared" ca="1" si="44"/>
        <v>1</v>
      </c>
      <c r="AP68">
        <f t="shared" ca="1" si="44"/>
        <v>1</v>
      </c>
      <c r="AQ68">
        <f ca="1">IF(DG68*1&gt;= $N$3,0,BH68)</f>
        <v>1</v>
      </c>
      <c r="AV68" t="b">
        <f ca="1">IF(AM68=1,CL68=1,"")</f>
        <v>1</v>
      </c>
      <c r="AW68" t="b">
        <f t="shared" ref="AW68:AZ86" ca="1" si="45">IF(AN68=1,CM68=1,"")</f>
        <v>1</v>
      </c>
      <c r="AX68" t="b">
        <f t="shared" ca="1" si="45"/>
        <v>1</v>
      </c>
      <c r="AY68" t="b">
        <f t="shared" ca="1" si="45"/>
        <v>1</v>
      </c>
      <c r="AZ68" t="b">
        <f t="shared" ca="1" si="45"/>
        <v>1</v>
      </c>
      <c r="BD68">
        <f t="shared" ref="BD68:BO86" ca="1" si="46">IF(AND(V68&gt;0,V68&lt;$B68),1,0)</f>
        <v>1</v>
      </c>
      <c r="BE68">
        <f t="shared" ca="1" si="46"/>
        <v>1</v>
      </c>
      <c r="BF68">
        <f t="shared" ca="1" si="46"/>
        <v>1</v>
      </c>
      <c r="BG68">
        <f t="shared" ca="1" si="46"/>
        <v>1</v>
      </c>
      <c r="BH68">
        <f t="shared" ca="1" si="46"/>
        <v>1</v>
      </c>
      <c r="BI68">
        <f t="shared" ca="1" si="46"/>
        <v>1</v>
      </c>
      <c r="BJ68">
        <f t="shared" ca="1" si="46"/>
        <v>1</v>
      </c>
      <c r="BK68">
        <f t="shared" ca="1" si="46"/>
        <v>1</v>
      </c>
      <c r="BL68">
        <f t="shared" ca="1" si="46"/>
        <v>1</v>
      </c>
      <c r="BM68">
        <f t="shared" ca="1" si="46"/>
        <v>1</v>
      </c>
      <c r="BN68">
        <f t="shared" ca="1" si="46"/>
        <v>1</v>
      </c>
      <c r="BO68">
        <f t="shared" ca="1" si="46"/>
        <v>1</v>
      </c>
      <c r="BU68">
        <f t="shared" ref="BU68:CF86" ca="1" si="47">IF(BD68,V68,$B68)</f>
        <v>2</v>
      </c>
      <c r="BV68">
        <f t="shared" ca="1" si="47"/>
        <v>2</v>
      </c>
      <c r="BW68">
        <f t="shared" ca="1" si="47"/>
        <v>2</v>
      </c>
      <c r="BX68">
        <f t="shared" ca="1" si="47"/>
        <v>2</v>
      </c>
      <c r="BY68">
        <f t="shared" ca="1" si="47"/>
        <v>2</v>
      </c>
      <c r="BZ68">
        <f t="shared" ca="1" si="47"/>
        <v>2</v>
      </c>
      <c r="CA68">
        <f t="shared" ca="1" si="47"/>
        <v>2</v>
      </c>
      <c r="CB68">
        <f t="shared" ca="1" si="47"/>
        <v>2</v>
      </c>
      <c r="CC68">
        <f t="shared" ca="1" si="47"/>
        <v>3</v>
      </c>
      <c r="CD68">
        <f t="shared" ca="1" si="47"/>
        <v>2</v>
      </c>
      <c r="CE68">
        <f t="shared" ca="1" si="47"/>
        <v>2</v>
      </c>
      <c r="CF68">
        <f t="shared" ca="1" si="47"/>
        <v>2</v>
      </c>
      <c r="CL68">
        <f t="shared" ref="CL68:CW86" ca="1" si="48">IF(BU68=$C68,1,0)</f>
        <v>1</v>
      </c>
      <c r="CM68">
        <f t="shared" ca="1" si="48"/>
        <v>1</v>
      </c>
      <c r="CN68">
        <f t="shared" ca="1" si="48"/>
        <v>1</v>
      </c>
      <c r="CO68">
        <f t="shared" ca="1" si="48"/>
        <v>1</v>
      </c>
      <c r="CP68">
        <f t="shared" ca="1" si="48"/>
        <v>1</v>
      </c>
      <c r="CQ68">
        <f t="shared" ca="1" si="48"/>
        <v>1</v>
      </c>
      <c r="CR68">
        <f t="shared" ca="1" si="48"/>
        <v>1</v>
      </c>
      <c r="CS68">
        <f t="shared" ca="1" si="48"/>
        <v>1</v>
      </c>
      <c r="CT68">
        <f t="shared" ca="1" si="48"/>
        <v>0</v>
      </c>
      <c r="CU68">
        <f t="shared" ca="1" si="48"/>
        <v>1</v>
      </c>
      <c r="CV68">
        <f t="shared" ca="1" si="48"/>
        <v>1</v>
      </c>
      <c r="CW68">
        <f t="shared" ca="1" si="48"/>
        <v>1</v>
      </c>
      <c r="DC68" cm="1">
        <f t="array" aca="1" ref="DC68" ca="1">IF(ISNA(E68),,OFFSET(INDIRECT("'"&amp;DT$67&amp;"'!f1"),E68-1,))*1</f>
        <v>2.75834059999908E-2</v>
      </c>
      <c r="DD68" cm="1">
        <f t="array" aca="1" ref="DD68" ca="1">IF(ISNA(F68),,OFFSET(INDIRECT("'"&amp;DU$67&amp;"'!f1"),F68-1,))*1</f>
        <v>1.0639320999985101E-2</v>
      </c>
      <c r="DE68" cm="1">
        <f t="array" aca="1" ref="DE68" ca="1">IF(ISNA(G68),,OFFSET(INDIRECT("'"&amp;DV$67&amp;"'!f1"),G68-1,))*1</f>
        <v>0.12329470899999199</v>
      </c>
      <c r="DF68" cm="1">
        <f t="array" aca="1" ref="DF68" ca="1">IF(ISNA(H68),,OFFSET(INDIRECT("'"&amp;DW$67&amp;"'!f1"),H68-1,))*1</f>
        <v>2.8568935999999202E-2</v>
      </c>
      <c r="DG68" cm="1">
        <f t="array" aca="1" ref="DG68" ca="1">IF(ISNA(I68),,OFFSET(INDIRECT("'"&amp;DX$67&amp;"'!f1"),I68-1,))*1</f>
        <v>0.13064437499269799</v>
      </c>
      <c r="DH68" cm="1">
        <f t="array" aca="1" ref="DH68" ca="1">IF(ISNA(J68),,OFFSET(INDIRECT("'"&amp;DY$67&amp;"'!f1"),J68-1,))*1</f>
        <v>0.26319782000001601</v>
      </c>
      <c r="DI68" cm="1">
        <f t="array" aca="1" ref="DI68" ca="1">IF(ISNA(K68),,OFFSET(INDIRECT("'"&amp;DZ$67&amp;"'!f1"),K68-1,))*1</f>
        <v>0.82838383689522699</v>
      </c>
      <c r="DJ68" cm="1">
        <f t="array" aca="1" ref="DJ68" ca="1">IF(ISNA(L68),,OFFSET(INDIRECT("'"&amp;EA$67&amp;"'!f1"),L68-1,))*1</f>
        <v>1.3578701214864799</v>
      </c>
      <c r="DK68" cm="1">
        <f t="array" aca="1" ref="DK68" ca="1">IF(ISNA(M68),,OFFSET(INDIRECT("'"&amp;EB$67&amp;"'!f1"),M68-1,))*1</f>
        <v>3.7213676160000002</v>
      </c>
      <c r="DL68" cm="1">
        <f t="array" aca="1" ref="DL68" ca="1">IF(ISNA(N68),,OFFSET(INDIRECT("'"&amp;EC$67&amp;"'!f1"),N68-1,))*1</f>
        <v>1.89029709999886E-2</v>
      </c>
      <c r="DM68" cm="1">
        <f t="array" aca="1" ref="DM68" ca="1">IF(ISNA(O68),,OFFSET(INDIRECT("'"&amp;ED$67&amp;"'!f1"),O68-1,))*1</f>
        <v>4.10058399998547E-3</v>
      </c>
      <c r="DN68" cm="1">
        <f t="array" aca="1" ref="DN68" ca="1">IF(ISNA(P68),,OFFSET(INDIRECT("'"&amp;EE$67&amp;"'!f1"),P68-1,))*1</f>
        <v>3.8446240000098398E-3</v>
      </c>
      <c r="DT68">
        <f ca="1">IF(CL68,EK68,)</f>
        <v>1</v>
      </c>
      <c r="DU68">
        <f t="shared" ref="DU68:EE83" ca="1" si="49">IF(CM68,EL68,)</f>
        <v>1</v>
      </c>
      <c r="DV68">
        <f t="shared" ca="1" si="49"/>
        <v>1</v>
      </c>
      <c r="DW68">
        <f t="shared" ca="1" si="49"/>
        <v>1</v>
      </c>
      <c r="DX68">
        <f t="shared" ca="1" si="49"/>
        <v>1</v>
      </c>
      <c r="DY68">
        <f t="shared" ca="1" si="49"/>
        <v>1</v>
      </c>
      <c r="DZ68">
        <f t="shared" ca="1" si="49"/>
        <v>10000</v>
      </c>
      <c r="EA68">
        <f t="shared" ca="1" si="49"/>
        <v>10000</v>
      </c>
      <c r="EB68">
        <f t="shared" ca="1" si="49"/>
        <v>0</v>
      </c>
      <c r="EC68">
        <f t="shared" ca="1" si="49"/>
        <v>1</v>
      </c>
      <c r="ED68">
        <f t="shared" ca="1" si="49"/>
        <v>1</v>
      </c>
      <c r="EE68">
        <f t="shared" ca="1" si="49"/>
        <v>2</v>
      </c>
      <c r="EK68" cm="1">
        <f t="array" aca="1" ref="EK68" ca="1">IF(ISNA(E68),0,OFFSET(INDIRECT("'"&amp;EK$67&amp;"'!g1"),E68-1,)*CL68)</f>
        <v>1</v>
      </c>
      <c r="EL68" cm="1">
        <f t="array" aca="1" ref="EL68" ca="1">IF(ISNA(F68),0,OFFSET(INDIRECT("'"&amp;EL$67&amp;"'!g1"),F68-1,)*CM68)</f>
        <v>1</v>
      </c>
      <c r="EM68" cm="1">
        <f t="array" aca="1" ref="EM68" ca="1">IF(ISNA(G68),0,OFFSET(INDIRECT("'"&amp;EM$67&amp;"'!g1"),G68-1,)*CN68)</f>
        <v>1</v>
      </c>
      <c r="EN68" cm="1">
        <f t="array" aca="1" ref="EN68" ca="1">IF(ISNA(H68),0,OFFSET(INDIRECT("'"&amp;EN$67&amp;"'!g1"),H68-1,)*CO68)</f>
        <v>1</v>
      </c>
      <c r="EO68" cm="1">
        <f t="array" aca="1" ref="EO68" ca="1">IF(ISNA(I68),0,OFFSET(INDIRECT("'"&amp;EO$67&amp;"'!g1"),I68-1,)*CP68)</f>
        <v>1</v>
      </c>
      <c r="EP68" cm="1">
        <f t="array" aca="1" ref="EP68" ca="1">IF(ISNA(J68),0,OFFSET(INDIRECT("'"&amp;EP$67&amp;"'!g1"),J68-1,)*CQ68)</f>
        <v>1</v>
      </c>
      <c r="EQ68" cm="1">
        <f t="array" aca="1" ref="EQ68" ca="1">IF(ISNA(K68),0,OFFSET(INDIRECT("'"&amp;EQ$67&amp;"'!g1"),K68-1,)*CR68)</f>
        <v>10000</v>
      </c>
      <c r="ER68" cm="1">
        <f t="array" aca="1" ref="ER68" ca="1">IF(ISNA(L68),0,OFFSET(INDIRECT("'"&amp;ER$67&amp;"'!g1"),L68-1,)*CS68)</f>
        <v>10000</v>
      </c>
      <c r="ES68" cm="1">
        <f t="array" aca="1" ref="ES68" ca="1">IF(ISNA(M68),0,OFFSET(INDIRECT("'"&amp;ES$67&amp;"'!g1"),M68-1,)*CT68)</f>
        <v>0</v>
      </c>
      <c r="ET68" cm="1">
        <f t="array" aca="1" ref="ET68" ca="1">IF(ISNA(N68),0,OFFSET(INDIRECT("'"&amp;ET$67&amp;"'!g1"),N68-1,)*CU68)</f>
        <v>1</v>
      </c>
      <c r="EU68" cm="1">
        <f t="array" aca="1" ref="EU68" ca="1">IF(ISNA(O68),0,OFFSET(INDIRECT("'"&amp;EU$67&amp;"'!g1"),O68-1,)*CV68)</f>
        <v>1</v>
      </c>
      <c r="EV68" cm="1">
        <f t="array" aca="1" ref="EV68" ca="1">IF(ISNA(P68),0,OFFSET(INDIRECT("'"&amp;EV$67&amp;"'!g1"),P68-1,)*CW68)</f>
        <v>2</v>
      </c>
      <c r="FB68" s="10" cm="1">
        <f t="array" aca="1" ref="FB68" ca="1">IF(ISNA(E68),0,OFFSET(INDIRECT("'"&amp;EK$67&amp;"'!h1"),E68-1,))</f>
        <v>1</v>
      </c>
      <c r="FC68" s="10" cm="1">
        <f t="array" aca="1" ref="FC68" ca="1">IF(ISNA(F68),0,OFFSET(INDIRECT("'"&amp;EL$67&amp;"'!h1"),F68-1,))</f>
        <v>1</v>
      </c>
      <c r="FD68" s="10" cm="1">
        <f t="array" aca="1" ref="FD68" ca="1">IF(ISNA(G68),0,OFFSET(INDIRECT("'"&amp;EM$67&amp;"'!h1"),G68-1,))</f>
        <v>1</v>
      </c>
      <c r="FE68" s="10" cm="1">
        <f t="array" aca="1" ref="FE68" ca="1">IF(ISNA(H68),0,OFFSET(INDIRECT("'"&amp;EN$67&amp;"'!h1"),H68-1,))</f>
        <v>1</v>
      </c>
      <c r="FF68" s="10" cm="1">
        <f t="array" aca="1" ref="FF68" ca="1">IF(ISNA(I68),0,OFFSET(INDIRECT("'"&amp;EO$67&amp;"'!h1"),I68-1,))</f>
        <v>1</v>
      </c>
      <c r="FG68" s="10" cm="1">
        <f t="array" aca="1" ref="FG68" ca="1">IF(ISNA(J68),0,OFFSET(INDIRECT("'"&amp;EP$67&amp;"'!h1"),J68-1,))</f>
        <v>1</v>
      </c>
      <c r="FH68" s="10" cm="1">
        <f t="array" aca="1" ref="FH68" ca="1">IF(ISNA(K68),0,OFFSET(INDIRECT("'"&amp;EQ$67&amp;"'!h1"),K68-1,))</f>
        <v>10000</v>
      </c>
      <c r="FI68" s="10" cm="1">
        <f t="array" aca="1" ref="FI68" ca="1">IF(ISNA(L68),0,OFFSET(INDIRECT("'"&amp;ER$67&amp;"'!h1"),L68-1,))</f>
        <v>10000</v>
      </c>
      <c r="FJ68" s="10" cm="1">
        <f t="array" aca="1" ref="FJ68" ca="1">IF(ISNA(M68),0,OFFSET(INDIRECT("'"&amp;ES$67&amp;"'!h1"),M68-1,))</f>
        <v>10000</v>
      </c>
      <c r="FK68" s="10" cm="1">
        <f t="array" aca="1" ref="FK68" ca="1">IF(ISNA(N68),0,OFFSET(INDIRECT("'"&amp;ET$67&amp;"'!h1"),N68-1,))</f>
        <v>1</v>
      </c>
      <c r="FL68" s="10" cm="1">
        <f t="array" aca="1" ref="FL68" ca="1">IF(ISNA(O68),0,OFFSET(INDIRECT("'"&amp;EU$67&amp;"'!h1"),O68-1,))</f>
        <v>1</v>
      </c>
      <c r="FM68" s="10" cm="1">
        <f t="array" aca="1" ref="FM68" ca="1">IF(ISNA(P68),0,OFFSET(INDIRECT("'"&amp;EV$67&amp;"'!h1"),P68-1,))</f>
        <v>2</v>
      </c>
      <c r="FN68" s="10"/>
      <c r="FO68" s="10"/>
      <c r="FP68" s="10"/>
      <c r="FQ68" s="10"/>
      <c r="FS68">
        <f ca="1">B68</f>
        <v>6</v>
      </c>
      <c r="FT68">
        <f ca="1">OFFSET($DC68,,$FT$66-1)</f>
        <v>0.82838383689522699</v>
      </c>
      <c r="FU68">
        <f ca="1">OFFSET($DT68,,$FT$66-1)</f>
        <v>10000</v>
      </c>
      <c r="FV68">
        <f ca="1">OFFSET($FB68,,$FT$66-1)</f>
        <v>10000</v>
      </c>
      <c r="FW68" s="4">
        <f ca="1">IF(FV68,FU68/FV68,NA())</f>
        <v>1</v>
      </c>
      <c r="FX68" s="5">
        <f ca="1">IF(FU68,FT68/FU68,NA())</f>
        <v>8.2838383689522695E-5</v>
      </c>
      <c r="FZ68" s="13">
        <f t="shared" ref="FZ68:FZ87" ca="1" si="50">GN68</f>
        <v>6</v>
      </c>
      <c r="GA68" s="23">
        <f ca="1">IF(BD68,(BU68-$C68)/$C68,NA())</f>
        <v>0</v>
      </c>
      <c r="GB68" s="23">
        <f t="shared" ref="GB68:GL87" ca="1" si="51">IF(BE68,(BV68-$C68)/$C68,NA())</f>
        <v>0</v>
      </c>
      <c r="GC68" s="23">
        <f t="shared" ca="1" si="51"/>
        <v>0</v>
      </c>
      <c r="GD68" s="23">
        <f t="shared" ca="1" si="51"/>
        <v>0</v>
      </c>
      <c r="GE68" s="23">
        <f t="shared" ca="1" si="51"/>
        <v>0</v>
      </c>
      <c r="GF68" s="23">
        <f t="shared" ca="1" si="51"/>
        <v>0</v>
      </c>
      <c r="GG68" s="23">
        <f t="shared" ca="1" si="51"/>
        <v>0</v>
      </c>
      <c r="GH68" s="23">
        <f t="shared" ca="1" si="51"/>
        <v>0</v>
      </c>
      <c r="GI68" s="23">
        <f t="shared" ca="1" si="51"/>
        <v>0.5</v>
      </c>
      <c r="GJ68" s="23">
        <f t="shared" ca="1" si="51"/>
        <v>0</v>
      </c>
      <c r="GK68" s="23">
        <f t="shared" ca="1" si="51"/>
        <v>0</v>
      </c>
      <c r="GL68" s="23">
        <f t="shared" ca="1" si="51"/>
        <v>0</v>
      </c>
      <c r="GM68" s="23"/>
      <c r="GN68">
        <f ca="1">B68</f>
        <v>6</v>
      </c>
      <c r="GO68" s="5">
        <f ca="1">IF(AND(AM68&gt;0,DT68&gt;0),DC68/DT68,NA())</f>
        <v>2.75834059999908E-2</v>
      </c>
      <c r="GP68" s="5">
        <f t="shared" ref="GP68:GS83" ca="1" si="52">IF(AND(AN68&gt;0,DU68&gt;0),DD68/DU68,NA())</f>
        <v>1.0639320999985101E-2</v>
      </c>
      <c r="GQ68" s="5">
        <f t="shared" ca="1" si="52"/>
        <v>0.12329470899999199</v>
      </c>
      <c r="GR68" s="5">
        <f t="shared" ca="1" si="52"/>
        <v>2.8568935999999202E-2</v>
      </c>
      <c r="GS68" s="5">
        <f t="shared" ca="1" si="52"/>
        <v>0.13064437499269799</v>
      </c>
      <c r="GT68" s="5">
        <f ca="1">IF(DY68&gt;0,DH68/DY68,NA())</f>
        <v>0.26319782000001601</v>
      </c>
      <c r="GU68" s="5">
        <f t="shared" ref="GU68:GZ83" ca="1" si="53">IF(DZ68&gt;0,DI68/DZ68,NA())</f>
        <v>8.2838383689522695E-5</v>
      </c>
      <c r="GV68" s="5">
        <f t="shared" ca="1" si="53"/>
        <v>1.3578701214864798E-4</v>
      </c>
      <c r="GW68" s="5" t="e">
        <f t="shared" ca="1" si="53"/>
        <v>#N/A</v>
      </c>
      <c r="GX68" s="5">
        <f t="shared" ca="1" si="53"/>
        <v>1.89029709999886E-2</v>
      </c>
      <c r="GY68" s="5">
        <f t="shared" ca="1" si="53"/>
        <v>4.10058399998547E-3</v>
      </c>
      <c r="GZ68" s="5">
        <f t="shared" ca="1" si="53"/>
        <v>1.9223120000049199E-3</v>
      </c>
      <c r="HB68" s="13">
        <f t="shared" ref="HB68:HB87" ca="1" si="54">GN68</f>
        <v>6</v>
      </c>
      <c r="HC68" s="4">
        <f ca="1">IF(FB68,DT68/FB68,)</f>
        <v>1</v>
      </c>
      <c r="HD68" s="4">
        <f t="shared" ref="HD68:HN87" ca="1" si="55">IF(FC68,DU68/FC68,)</f>
        <v>1</v>
      </c>
      <c r="HE68" s="4">
        <f t="shared" ca="1" si="55"/>
        <v>1</v>
      </c>
      <c r="HF68" s="4">
        <f t="shared" ca="1" si="55"/>
        <v>1</v>
      </c>
      <c r="HG68" s="4">
        <f t="shared" ca="1" si="55"/>
        <v>1</v>
      </c>
      <c r="HH68" s="4">
        <f t="shared" ca="1" si="55"/>
        <v>1</v>
      </c>
      <c r="HI68" s="4">
        <f t="shared" ca="1" si="55"/>
        <v>1</v>
      </c>
      <c r="HJ68" s="4">
        <f t="shared" ca="1" si="55"/>
        <v>1</v>
      </c>
      <c r="HK68" s="4">
        <f t="shared" ca="1" si="55"/>
        <v>0</v>
      </c>
      <c r="HL68" s="4">
        <f t="shared" ca="1" si="55"/>
        <v>1</v>
      </c>
      <c r="HM68" s="4">
        <f t="shared" ca="1" si="55"/>
        <v>1</v>
      </c>
      <c r="HN68" s="4">
        <f t="shared" ca="1" si="55"/>
        <v>1</v>
      </c>
    </row>
    <row r="69" spans="1:222" x14ac:dyDescent="0.2">
      <c r="A69" t="str" cm="1">
        <f t="array" aca="1" ref="A69" ca="1">INDIRECT($A$67&amp;"!A"&amp;ROW(C2)+$B$64)</f>
        <v>[[24,4,0]]</v>
      </c>
      <c r="B69" cm="1">
        <f t="array" aca="1" ref="B69" ca="1">INDIRECT($A$67&amp;"!b"&amp;ROW(D2)+$B$64)</f>
        <v>24</v>
      </c>
      <c r="C69">
        <f t="shared" ref="C69:C87" ca="1" si="56">MIN(INDIRECT($A$67&amp;"!d"&amp;ROW(E2)+$B$64),BU69:CG69)</f>
        <v>2</v>
      </c>
      <c r="E69">
        <f ca="1">E68+1</f>
        <v>26</v>
      </c>
      <c r="F69">
        <f t="shared" ref="F69:F88" ca="1" si="57">F68+1</f>
        <v>27</v>
      </c>
      <c r="G69">
        <f t="shared" ref="G69:G88" ca="1" si="58">G68+1</f>
        <v>26</v>
      </c>
      <c r="H69">
        <f t="shared" ref="H69:H88" ca="1" si="59">H68+1</f>
        <v>26</v>
      </c>
      <c r="I69">
        <f t="shared" ref="I69:I88" ca="1" si="60">I68+1</f>
        <v>29</v>
      </c>
      <c r="J69">
        <f t="shared" ref="J69:J88" ca="1" si="61">J68+1</f>
        <v>26</v>
      </c>
      <c r="K69">
        <f t="shared" ref="K69:K88" ca="1" si="62">K68+1</f>
        <v>33</v>
      </c>
      <c r="L69">
        <f t="shared" ref="L69:L88" ca="1" si="63">L68+1</f>
        <v>35</v>
      </c>
      <c r="M69">
        <f t="shared" ref="M69:M88" ca="1" si="64">M68+1</f>
        <v>32</v>
      </c>
      <c r="N69">
        <f t="shared" ref="N69:N88" ca="1" si="65">N68+1</f>
        <v>26</v>
      </c>
      <c r="O69">
        <f t="shared" ref="O69:O88" ca="1" si="66">O68+1</f>
        <v>26</v>
      </c>
      <c r="P69">
        <f t="shared" ref="P69:P88" ca="1" si="67">P68+1</f>
        <v>26</v>
      </c>
      <c r="V69" cm="1">
        <f t="array" aca="1" ref="V69" ca="1">IF(ISNA(E69),,OFFSET(INDIRECT("'"&amp;V$67&amp;"'!d1"),E69-1,))</f>
        <v>2</v>
      </c>
      <c r="W69" cm="1">
        <f t="array" aca="1" ref="W69" ca="1">IF(ISNA(F69),,OFFSET(INDIRECT("'"&amp;W$67&amp;"'!d1"),F69-1,))</f>
        <v>2</v>
      </c>
      <c r="X69" cm="1">
        <f t="array" aca="1" ref="X69" ca="1">IF(ISNA(G69),,OFFSET(INDIRECT("'"&amp;X$67&amp;"'!d1"),G69-1,))</f>
        <v>2</v>
      </c>
      <c r="Y69" cm="1">
        <f t="array" aca="1" ref="Y69" ca="1">IF(ISNA(H69),,OFFSET(INDIRECT("'"&amp;Y$67&amp;"'!d1"),H69-1,))</f>
        <v>2</v>
      </c>
      <c r="Z69" cm="1">
        <f t="array" aca="1" ref="Z69" ca="1">IF(ISNA(I69),,OFFSET(INDIRECT("'"&amp;Z$67&amp;"'!d1"),I69-1,))</f>
        <v>2</v>
      </c>
      <c r="AA69" cm="1">
        <f t="array" aca="1" ref="AA69" ca="1">IF(ISNA(J69),,OFFSET(INDIRECT("'"&amp;AA$67&amp;"'!d1"),J69-1,))</f>
        <v>2</v>
      </c>
      <c r="AB69" cm="1">
        <f t="array" aca="1" ref="AB69" ca="1">IF(ISNA(K69),,OFFSET(INDIRECT("'"&amp;AB$67&amp;"'!d1"),K69-1,))</f>
        <v>2</v>
      </c>
      <c r="AC69" cm="1">
        <f t="array" aca="1" ref="AC69" ca="1">IF(ISNA(L69),,OFFSET(INDIRECT("'"&amp;AC$67&amp;"'!d1"),L69-1,))</f>
        <v>2</v>
      </c>
      <c r="AD69" cm="1">
        <f t="array" aca="1" ref="AD69" ca="1">IF(ISNA(M69),,OFFSET(INDIRECT("'"&amp;AD$67&amp;"'!d1"),M69-1,))</f>
        <v>2</v>
      </c>
      <c r="AE69" cm="1">
        <f t="array" aca="1" ref="AE69" ca="1">IF(ISNA(N69),,OFFSET(INDIRECT("'"&amp;AE$67&amp;"'!d1"),N69-1,))</f>
        <v>2</v>
      </c>
      <c r="AF69" cm="1">
        <f t="array" aca="1" ref="AF69" ca="1">IF(ISNA(O69),,OFFSET(INDIRECT("'"&amp;AF$67&amp;"'!d1"),O69-1,))</f>
        <v>2</v>
      </c>
      <c r="AG69" cm="1">
        <f t="array" aca="1" ref="AG69" ca="1">IF(ISNA(P69),,OFFSET(INDIRECT("'"&amp;AG$67&amp;"'!d1"),P69-1,))</f>
        <v>2</v>
      </c>
      <c r="AM69">
        <f t="shared" ref="AM69:AP86" ca="1" si="68">IF(DC69&gt;= $N$3,0,BD69)</f>
        <v>1</v>
      </c>
      <c r="AN69">
        <f t="shared" ca="1" si="44"/>
        <v>1</v>
      </c>
      <c r="AO69">
        <f t="shared" ca="1" si="44"/>
        <v>1</v>
      </c>
      <c r="AP69">
        <f t="shared" ca="1" si="44"/>
        <v>1</v>
      </c>
      <c r="AQ69">
        <f t="shared" ref="AQ69:AQ87" ca="1" si="69">IF(DG69*1&gt;= $N$3,0,BH69)</f>
        <v>1</v>
      </c>
      <c r="AV69" t="b">
        <f t="shared" ref="AV69:AZ87" ca="1" si="70">IF(AM69=1,CL69=1,"")</f>
        <v>1</v>
      </c>
      <c r="AW69" t="b">
        <f t="shared" ca="1" si="45"/>
        <v>1</v>
      </c>
      <c r="AX69" t="b">
        <f t="shared" ca="1" si="45"/>
        <v>1</v>
      </c>
      <c r="AY69" t="b">
        <f t="shared" ca="1" si="45"/>
        <v>1</v>
      </c>
      <c r="AZ69" t="b">
        <f t="shared" ca="1" si="45"/>
        <v>1</v>
      </c>
      <c r="BD69">
        <f t="shared" ca="1" si="46"/>
        <v>1</v>
      </c>
      <c r="BE69">
        <f t="shared" ca="1" si="46"/>
        <v>1</v>
      </c>
      <c r="BF69">
        <f t="shared" ca="1" si="46"/>
        <v>1</v>
      </c>
      <c r="BG69">
        <f t="shared" ca="1" si="46"/>
        <v>1</v>
      </c>
      <c r="BH69">
        <f t="shared" ca="1" si="46"/>
        <v>1</v>
      </c>
      <c r="BI69">
        <f t="shared" ca="1" si="46"/>
        <v>1</v>
      </c>
      <c r="BJ69">
        <f t="shared" ca="1" si="46"/>
        <v>1</v>
      </c>
      <c r="BK69">
        <f t="shared" ca="1" si="46"/>
        <v>1</v>
      </c>
      <c r="BL69">
        <f t="shared" ca="1" si="46"/>
        <v>1</v>
      </c>
      <c r="BM69">
        <f t="shared" ca="1" si="46"/>
        <v>1</v>
      </c>
      <c r="BN69">
        <f t="shared" ca="1" si="46"/>
        <v>1</v>
      </c>
      <c r="BO69">
        <f t="shared" ca="1" si="46"/>
        <v>1</v>
      </c>
      <c r="BU69">
        <f t="shared" ca="1" si="47"/>
        <v>2</v>
      </c>
      <c r="BV69">
        <f t="shared" ca="1" si="47"/>
        <v>2</v>
      </c>
      <c r="BW69">
        <f t="shared" ca="1" si="47"/>
        <v>2</v>
      </c>
      <c r="BX69">
        <f t="shared" ca="1" si="47"/>
        <v>2</v>
      </c>
      <c r="BY69">
        <f t="shared" ca="1" si="47"/>
        <v>2</v>
      </c>
      <c r="BZ69">
        <f t="shared" ca="1" si="47"/>
        <v>2</v>
      </c>
      <c r="CA69">
        <f t="shared" ca="1" si="47"/>
        <v>2</v>
      </c>
      <c r="CB69">
        <f t="shared" ca="1" si="47"/>
        <v>2</v>
      </c>
      <c r="CC69">
        <f t="shared" ca="1" si="47"/>
        <v>2</v>
      </c>
      <c r="CD69">
        <f t="shared" ca="1" si="47"/>
        <v>2</v>
      </c>
      <c r="CE69">
        <f t="shared" ca="1" si="47"/>
        <v>2</v>
      </c>
      <c r="CF69">
        <f t="shared" ca="1" si="47"/>
        <v>2</v>
      </c>
      <c r="CL69">
        <f t="shared" ca="1" si="48"/>
        <v>1</v>
      </c>
      <c r="CM69">
        <f t="shared" ca="1" si="48"/>
        <v>1</v>
      </c>
      <c r="CN69">
        <f t="shared" ca="1" si="48"/>
        <v>1</v>
      </c>
      <c r="CO69">
        <f t="shared" ca="1" si="48"/>
        <v>1</v>
      </c>
      <c r="CP69">
        <f t="shared" ca="1" si="48"/>
        <v>1</v>
      </c>
      <c r="CQ69">
        <f t="shared" ca="1" si="48"/>
        <v>1</v>
      </c>
      <c r="CR69">
        <f t="shared" ca="1" si="48"/>
        <v>1</v>
      </c>
      <c r="CS69">
        <f t="shared" ca="1" si="48"/>
        <v>1</v>
      </c>
      <c r="CT69">
        <f t="shared" ca="1" si="48"/>
        <v>1</v>
      </c>
      <c r="CU69">
        <f t="shared" ca="1" si="48"/>
        <v>1</v>
      </c>
      <c r="CV69">
        <f t="shared" ca="1" si="48"/>
        <v>1</v>
      </c>
      <c r="CW69">
        <f t="shared" ca="1" si="48"/>
        <v>1</v>
      </c>
      <c r="DC69" cm="1">
        <f t="array" aca="1" ref="DC69" ca="1">IF(ISNA(E69),,OFFSET(INDIRECT("'"&amp;DT$67&amp;"'!f1"),E69-1,))*1</f>
        <v>3.4852212000004101E-2</v>
      </c>
      <c r="DD69" cm="1">
        <f t="array" aca="1" ref="DD69" ca="1">IF(ISNA(F69),,OFFSET(INDIRECT("'"&amp;DU$67&amp;"'!f1"),F69-1,))*1</f>
        <v>3.4914958000001599E-2</v>
      </c>
      <c r="DE69" cm="1">
        <f t="array" aca="1" ref="DE69" ca="1">IF(ISNA(G69),,OFFSET(INDIRECT("'"&amp;DV$67&amp;"'!f1"),G69-1,))*1</f>
        <v>0.190404524999991</v>
      </c>
      <c r="DF69" cm="1">
        <f t="array" aca="1" ref="DF69" ca="1">IF(ISNA(H69),,OFFSET(INDIRECT("'"&amp;DW$67&amp;"'!f1"),H69-1,))*1</f>
        <v>3.3505929999989803E-2</v>
      </c>
      <c r="DG69" cm="1">
        <f t="array" aca="1" ref="DG69" ca="1">IF(ISNA(I69),,OFFSET(INDIRECT("'"&amp;DX$67&amp;"'!f1"),I69-1,))*1</f>
        <v>8.3509124990087003E-2</v>
      </c>
      <c r="DH69" cm="1">
        <f t="array" aca="1" ref="DH69" ca="1">IF(ISNA(J69),,OFFSET(INDIRECT("'"&amp;DY$67&amp;"'!f1"),J69-1,))*1</f>
        <v>0.17097907999999501</v>
      </c>
      <c r="DI69" cm="1">
        <f t="array" aca="1" ref="DI69" ca="1">IF(ISNA(K69),,OFFSET(INDIRECT("'"&amp;DZ$67&amp;"'!f1"),K69-1,))*1</f>
        <v>1.21307155210524</v>
      </c>
      <c r="DJ69" cm="1">
        <f t="array" aca="1" ref="DJ69" ca="1">IF(ISNA(L69),,OFFSET(INDIRECT("'"&amp;EA$67&amp;"'!f1"),L69-1,))*1</f>
        <v>1.7540229549631401</v>
      </c>
      <c r="DK69" cm="1">
        <f t="array" aca="1" ref="DK69" ca="1">IF(ISNA(M69),,OFFSET(INDIRECT("'"&amp;EB$67&amp;"'!f1"),M69-1,))*1</f>
        <v>13.340036597999999</v>
      </c>
      <c r="DL69" cm="1">
        <f t="array" aca="1" ref="DL69" ca="1">IF(ISNA(N69),,OFFSET(INDIRECT("'"&amp;EC$67&amp;"'!f1"),N69-1,))*1</f>
        <v>9.6205559999873406E-3</v>
      </c>
      <c r="DM69" cm="1">
        <f t="array" aca="1" ref="DM69" ca="1">IF(ISNA(O69),,OFFSET(INDIRECT("'"&amp;ED$67&amp;"'!f1"),O69-1,))*1</f>
        <v>9.4667950000086806E-3</v>
      </c>
      <c r="DN69" cm="1">
        <f t="array" aca="1" ref="DN69" ca="1">IF(ISNA(P69),,OFFSET(INDIRECT("'"&amp;EE$67&amp;"'!f1"),P69-1,))*1</f>
        <v>1.17793640000058E-2</v>
      </c>
      <c r="DT69">
        <f t="shared" ref="DT69:EE86" ca="1" si="71">IF(CL69,EK69,)</f>
        <v>1</v>
      </c>
      <c r="DU69">
        <f t="shared" ca="1" si="49"/>
        <v>1</v>
      </c>
      <c r="DV69">
        <f t="shared" ca="1" si="49"/>
        <v>1</v>
      </c>
      <c r="DW69">
        <f t="shared" ca="1" si="49"/>
        <v>1</v>
      </c>
      <c r="DX69">
        <f t="shared" ca="1" si="49"/>
        <v>1</v>
      </c>
      <c r="DY69">
        <f t="shared" ca="1" si="49"/>
        <v>1</v>
      </c>
      <c r="DZ69">
        <f t="shared" ca="1" si="49"/>
        <v>10000</v>
      </c>
      <c r="EA69">
        <f t="shared" ca="1" si="49"/>
        <v>10000</v>
      </c>
      <c r="EB69">
        <f t="shared" ca="1" si="49"/>
        <v>10000</v>
      </c>
      <c r="EC69">
        <f t="shared" ca="1" si="49"/>
        <v>1</v>
      </c>
      <c r="ED69">
        <f t="shared" ca="1" si="49"/>
        <v>1</v>
      </c>
      <c r="EE69">
        <f t="shared" ca="1" si="49"/>
        <v>2</v>
      </c>
      <c r="EK69" cm="1">
        <f t="array" aca="1" ref="EK69" ca="1">IF(ISNA(E69),0,OFFSET(INDIRECT("'"&amp;EK$67&amp;"'!g1"),E69-1,)*CL69)</f>
        <v>1</v>
      </c>
      <c r="EL69" cm="1">
        <f t="array" aca="1" ref="EL69" ca="1">IF(ISNA(F69),0,OFFSET(INDIRECT("'"&amp;EL$67&amp;"'!g1"),F69-1,)*CM69)</f>
        <v>1</v>
      </c>
      <c r="EM69" cm="1">
        <f t="array" aca="1" ref="EM69" ca="1">IF(ISNA(G69),0,OFFSET(INDIRECT("'"&amp;EM$67&amp;"'!g1"),G69-1,)*CN69)</f>
        <v>1</v>
      </c>
      <c r="EN69" cm="1">
        <f t="array" aca="1" ref="EN69" ca="1">IF(ISNA(H69),0,OFFSET(INDIRECT("'"&amp;EN$67&amp;"'!g1"),H69-1,)*CO69)</f>
        <v>1</v>
      </c>
      <c r="EO69" cm="1">
        <f t="array" aca="1" ref="EO69" ca="1">IF(ISNA(I69),0,OFFSET(INDIRECT("'"&amp;EO$67&amp;"'!g1"),I69-1,)*CP69)</f>
        <v>1</v>
      </c>
      <c r="EP69" cm="1">
        <f t="array" aca="1" ref="EP69" ca="1">IF(ISNA(J69),0,OFFSET(INDIRECT("'"&amp;EP$67&amp;"'!g1"),J69-1,)*CQ69)</f>
        <v>1</v>
      </c>
      <c r="EQ69" cm="1">
        <f t="array" aca="1" ref="EQ69" ca="1">IF(ISNA(K69),0,OFFSET(INDIRECT("'"&amp;EQ$67&amp;"'!g1"),K69-1,)*CR69)</f>
        <v>10000</v>
      </c>
      <c r="ER69" cm="1">
        <f t="array" aca="1" ref="ER69" ca="1">IF(ISNA(L69),0,OFFSET(INDIRECT("'"&amp;ER$67&amp;"'!g1"),L69-1,)*CS69)</f>
        <v>10000</v>
      </c>
      <c r="ES69" cm="1">
        <f t="array" aca="1" ref="ES69" ca="1">IF(ISNA(M69),0,OFFSET(INDIRECT("'"&amp;ES$67&amp;"'!g1"),M69-1,)*CT69)</f>
        <v>10000</v>
      </c>
      <c r="ET69" cm="1">
        <f t="array" aca="1" ref="ET69" ca="1">IF(ISNA(N69),0,OFFSET(INDIRECT("'"&amp;ET$67&amp;"'!g1"),N69-1,)*CU69)</f>
        <v>1</v>
      </c>
      <c r="EU69" cm="1">
        <f t="array" aca="1" ref="EU69" ca="1">IF(ISNA(O69),0,OFFSET(INDIRECT("'"&amp;EU$67&amp;"'!g1"),O69-1,)*CV69)</f>
        <v>1</v>
      </c>
      <c r="EV69" cm="1">
        <f t="array" aca="1" ref="EV69" ca="1">IF(ISNA(P69),0,OFFSET(INDIRECT("'"&amp;EV$67&amp;"'!g1"),P69-1,)*CW69)</f>
        <v>2</v>
      </c>
      <c r="FB69" s="10" cm="1">
        <f t="array" aca="1" ref="FB69" ca="1">IF(ISNA(E69),0,OFFSET(INDIRECT("'"&amp;EK$67&amp;"'!h1"),E69-1,))</f>
        <v>1</v>
      </c>
      <c r="FC69" s="10" cm="1">
        <f t="array" aca="1" ref="FC69" ca="1">IF(ISNA(F69),0,OFFSET(INDIRECT("'"&amp;EL$67&amp;"'!h1"),F69-1,))</f>
        <v>1</v>
      </c>
      <c r="FD69" s="10" cm="1">
        <f t="array" aca="1" ref="FD69" ca="1">IF(ISNA(G69),0,OFFSET(INDIRECT("'"&amp;EM$67&amp;"'!h1"),G69-1,))</f>
        <v>1</v>
      </c>
      <c r="FE69" s="10" cm="1">
        <f t="array" aca="1" ref="FE69" ca="1">IF(ISNA(H69),0,OFFSET(INDIRECT("'"&amp;EN$67&amp;"'!h1"),H69-1,))</f>
        <v>1</v>
      </c>
      <c r="FF69" s="10" cm="1">
        <f t="array" aca="1" ref="FF69" ca="1">IF(ISNA(I69),0,OFFSET(INDIRECT("'"&amp;EO$67&amp;"'!h1"),I69-1,))</f>
        <v>1</v>
      </c>
      <c r="FG69" s="10" cm="1">
        <f t="array" aca="1" ref="FG69" ca="1">IF(ISNA(J69),0,OFFSET(INDIRECT("'"&amp;EP$67&amp;"'!h1"),J69-1,))</f>
        <v>1</v>
      </c>
      <c r="FH69" s="10" cm="1">
        <f t="array" aca="1" ref="FH69" ca="1">IF(ISNA(K69),0,OFFSET(INDIRECT("'"&amp;EQ$67&amp;"'!h1"),K69-1,))</f>
        <v>10000</v>
      </c>
      <c r="FI69" s="10" cm="1">
        <f t="array" aca="1" ref="FI69" ca="1">IF(ISNA(L69),0,OFFSET(INDIRECT("'"&amp;ER$67&amp;"'!h1"),L69-1,))</f>
        <v>10000</v>
      </c>
      <c r="FJ69" s="10" cm="1">
        <f t="array" aca="1" ref="FJ69" ca="1">IF(ISNA(M69),0,OFFSET(INDIRECT("'"&amp;ES$67&amp;"'!h1"),M69-1,))</f>
        <v>10000</v>
      </c>
      <c r="FK69" s="10" cm="1">
        <f t="array" aca="1" ref="FK69" ca="1">IF(ISNA(N69),0,OFFSET(INDIRECT("'"&amp;ET$67&amp;"'!h1"),N69-1,))</f>
        <v>1</v>
      </c>
      <c r="FL69" s="10" cm="1">
        <f t="array" aca="1" ref="FL69" ca="1">IF(ISNA(O69),0,OFFSET(INDIRECT("'"&amp;EU$67&amp;"'!h1"),O69-1,))</f>
        <v>1</v>
      </c>
      <c r="FM69" s="10" cm="1">
        <f t="array" aca="1" ref="FM69" ca="1">IF(ISNA(P69),0,OFFSET(INDIRECT("'"&amp;EV$67&amp;"'!h1"),P69-1,))</f>
        <v>2</v>
      </c>
      <c r="FN69" s="10"/>
      <c r="FO69" s="10"/>
      <c r="FP69" s="10"/>
      <c r="FQ69" s="10"/>
      <c r="FS69">
        <f t="shared" ref="FS69:FS87" ca="1" si="72">B69</f>
        <v>24</v>
      </c>
      <c r="FT69">
        <f t="shared" ref="FT69:FT88" ca="1" si="73">OFFSET($DC69,,$FT$66-1)</f>
        <v>1.21307155210524</v>
      </c>
      <c r="FU69">
        <f t="shared" ref="FU69:FU88" ca="1" si="74">OFFSET($DT69,,$FT$66-1)</f>
        <v>10000</v>
      </c>
      <c r="FV69">
        <f t="shared" ref="FV69:FV88" ca="1" si="75">OFFSET($FB69,,$FT$66-1)</f>
        <v>10000</v>
      </c>
      <c r="FW69" s="4">
        <f t="shared" ref="FW69:FW87" ca="1" si="76">IF(FV69,FU69/FV69,NA())</f>
        <v>1</v>
      </c>
      <c r="FX69" s="5">
        <f t="shared" ref="FX69:FX87" ca="1" si="77">IF(FU69,FT69/FU69,NA())</f>
        <v>1.2130715521052399E-4</v>
      </c>
      <c r="FZ69" s="13">
        <f t="shared" ca="1" si="50"/>
        <v>24</v>
      </c>
      <c r="GA69" s="23">
        <f t="shared" ref="GA69:GA87" ca="1" si="78">IF(BD69,(BU69-$C69)/$C69,NA())</f>
        <v>0</v>
      </c>
      <c r="GB69" s="23">
        <f t="shared" ca="1" si="51"/>
        <v>0</v>
      </c>
      <c r="GC69" s="23">
        <f t="shared" ca="1" si="51"/>
        <v>0</v>
      </c>
      <c r="GD69" s="23">
        <f t="shared" ca="1" si="51"/>
        <v>0</v>
      </c>
      <c r="GE69" s="23">
        <f t="shared" ca="1" si="51"/>
        <v>0</v>
      </c>
      <c r="GF69" s="23">
        <f t="shared" ca="1" si="51"/>
        <v>0</v>
      </c>
      <c r="GG69" s="23">
        <f t="shared" ca="1" si="51"/>
        <v>0</v>
      </c>
      <c r="GH69" s="23">
        <f t="shared" ca="1" si="51"/>
        <v>0</v>
      </c>
      <c r="GI69" s="23">
        <f t="shared" ca="1" si="51"/>
        <v>0</v>
      </c>
      <c r="GJ69" s="23">
        <f t="shared" ca="1" si="51"/>
        <v>0</v>
      </c>
      <c r="GK69" s="23">
        <f t="shared" ca="1" si="51"/>
        <v>0</v>
      </c>
      <c r="GL69" s="23">
        <f t="shared" ca="1" si="51"/>
        <v>0</v>
      </c>
      <c r="GM69" s="23"/>
      <c r="GN69">
        <f t="shared" ref="GN69:GN87" ca="1" si="79">B69</f>
        <v>24</v>
      </c>
      <c r="GO69" s="5">
        <f t="shared" ref="GO69:GS87" ca="1" si="80">IF(AND(AM69&gt;0,DT69&gt;0),DC69/DT69,NA())</f>
        <v>3.4852212000004101E-2</v>
      </c>
      <c r="GP69" s="5">
        <f t="shared" ca="1" si="52"/>
        <v>3.4914958000001599E-2</v>
      </c>
      <c r="GQ69" s="5">
        <f t="shared" ca="1" si="52"/>
        <v>0.190404524999991</v>
      </c>
      <c r="GR69" s="5">
        <f t="shared" ca="1" si="52"/>
        <v>3.3505929999989803E-2</v>
      </c>
      <c r="GS69" s="5">
        <f t="shared" ca="1" si="52"/>
        <v>8.3509124990087003E-2</v>
      </c>
      <c r="GT69" s="5">
        <f t="shared" ref="GT69:GZ87" ca="1" si="81">IF(DY69&gt;0,DH69/DY69,NA())</f>
        <v>0.17097907999999501</v>
      </c>
      <c r="GU69" s="5">
        <f t="shared" ca="1" si="53"/>
        <v>1.2130715521052399E-4</v>
      </c>
      <c r="GV69" s="5">
        <f t="shared" ca="1" si="53"/>
        <v>1.7540229549631401E-4</v>
      </c>
      <c r="GW69" s="5">
        <f t="shared" ca="1" si="53"/>
        <v>1.3340036597999998E-3</v>
      </c>
      <c r="GX69" s="5">
        <f t="shared" ca="1" si="53"/>
        <v>9.6205559999873406E-3</v>
      </c>
      <c r="GY69" s="5">
        <f t="shared" ca="1" si="53"/>
        <v>9.4667950000086806E-3</v>
      </c>
      <c r="GZ69" s="5">
        <f t="shared" ca="1" si="53"/>
        <v>5.8896820000028998E-3</v>
      </c>
      <c r="HB69" s="13">
        <f t="shared" ca="1" si="54"/>
        <v>24</v>
      </c>
      <c r="HC69" s="4">
        <f t="shared" ref="HC69:HC87" ca="1" si="82">IF(FB69,DT69/FB69,)</f>
        <v>1</v>
      </c>
      <c r="HD69" s="4">
        <f t="shared" ca="1" si="55"/>
        <v>1</v>
      </c>
      <c r="HE69" s="4">
        <f t="shared" ca="1" si="55"/>
        <v>1</v>
      </c>
      <c r="HF69" s="4">
        <f t="shared" ca="1" si="55"/>
        <v>1</v>
      </c>
      <c r="HG69" s="4">
        <f t="shared" ca="1" si="55"/>
        <v>1</v>
      </c>
      <c r="HH69" s="4">
        <f t="shared" ca="1" si="55"/>
        <v>1</v>
      </c>
      <c r="HI69" s="4">
        <f t="shared" ca="1" si="55"/>
        <v>1</v>
      </c>
      <c r="HJ69" s="4">
        <f t="shared" ca="1" si="55"/>
        <v>1</v>
      </c>
      <c r="HK69" s="4">
        <f t="shared" ca="1" si="55"/>
        <v>1</v>
      </c>
      <c r="HL69" s="4">
        <f t="shared" ca="1" si="55"/>
        <v>1</v>
      </c>
      <c r="HM69" s="4">
        <f t="shared" ca="1" si="55"/>
        <v>1</v>
      </c>
      <c r="HN69" s="4">
        <f t="shared" ca="1" si="55"/>
        <v>1</v>
      </c>
    </row>
    <row r="70" spans="1:222" x14ac:dyDescent="0.2">
      <c r="A70" t="str" cm="1">
        <f t="array" aca="1" ref="A70" ca="1">INDIRECT($A$67&amp;"!A"&amp;ROW(C3)+$B$64)</f>
        <v>[[48,6,0]]</v>
      </c>
      <c r="B70" cm="1">
        <f t="array" aca="1" ref="B70" ca="1">INDIRECT($A$67&amp;"!b"&amp;ROW(D3)+$B$64)</f>
        <v>48</v>
      </c>
      <c r="C70">
        <f t="shared" ca="1" si="56"/>
        <v>3</v>
      </c>
      <c r="E70">
        <f t="shared" ref="E70:E88" ca="1" si="83">E69+1</f>
        <v>27</v>
      </c>
      <c r="F70">
        <f t="shared" ca="1" si="57"/>
        <v>28</v>
      </c>
      <c r="G70">
        <f t="shared" ca="1" si="58"/>
        <v>27</v>
      </c>
      <c r="H70">
        <f t="shared" ca="1" si="59"/>
        <v>27</v>
      </c>
      <c r="I70">
        <f t="shared" ca="1" si="60"/>
        <v>30</v>
      </c>
      <c r="J70">
        <f t="shared" ca="1" si="61"/>
        <v>27</v>
      </c>
      <c r="K70">
        <f t="shared" ca="1" si="62"/>
        <v>34</v>
      </c>
      <c r="L70">
        <f t="shared" ca="1" si="63"/>
        <v>36</v>
      </c>
      <c r="M70">
        <f t="shared" ca="1" si="64"/>
        <v>33</v>
      </c>
      <c r="N70">
        <f t="shared" ca="1" si="65"/>
        <v>27</v>
      </c>
      <c r="O70">
        <f t="shared" ca="1" si="66"/>
        <v>27</v>
      </c>
      <c r="P70">
        <f t="shared" ca="1" si="67"/>
        <v>27</v>
      </c>
      <c r="V70" cm="1">
        <f t="array" aca="1" ref="V70" ca="1">IF(ISNA(E70),,OFFSET(INDIRECT("'"&amp;V$67&amp;"'!d1"),E70-1,))</f>
        <v>3</v>
      </c>
      <c r="W70" cm="1">
        <f t="array" aca="1" ref="W70" ca="1">IF(ISNA(F70),,OFFSET(INDIRECT("'"&amp;W$67&amp;"'!d1"),F70-1,))</f>
        <v>3</v>
      </c>
      <c r="X70" cm="1">
        <f t="array" aca="1" ref="X70" ca="1">IF(ISNA(G70),,OFFSET(INDIRECT("'"&amp;X$67&amp;"'!d1"),G70-1,))</f>
        <v>3</v>
      </c>
      <c r="Y70" cm="1">
        <f t="array" aca="1" ref="Y70" ca="1">IF(ISNA(H70),,OFFSET(INDIRECT("'"&amp;Y$67&amp;"'!d1"),H70-1,))</f>
        <v>3</v>
      </c>
      <c r="Z70" cm="1">
        <f t="array" aca="1" ref="Z70" ca="1">IF(ISNA(I70),,OFFSET(INDIRECT("'"&amp;Z$67&amp;"'!d1"),I70-1,))</f>
        <v>3</v>
      </c>
      <c r="AA70" cm="1">
        <f t="array" aca="1" ref="AA70" ca="1">IF(ISNA(J70),,OFFSET(INDIRECT("'"&amp;AA$67&amp;"'!d1"),J70-1,))</f>
        <v>3</v>
      </c>
      <c r="AB70" cm="1">
        <f t="array" aca="1" ref="AB70" ca="1">IF(ISNA(K70),,OFFSET(INDIRECT("'"&amp;AB$67&amp;"'!d1"),K70-1,))</f>
        <v>3</v>
      </c>
      <c r="AC70" cm="1">
        <f t="array" aca="1" ref="AC70" ca="1">IF(ISNA(L70),,OFFSET(INDIRECT("'"&amp;AC$67&amp;"'!d1"),L70-1,))</f>
        <v>3</v>
      </c>
      <c r="AD70" cm="1">
        <f t="array" aca="1" ref="AD70" ca="1">IF(ISNA(M70),,OFFSET(INDIRECT("'"&amp;AD$67&amp;"'!d1"),M70-1,))</f>
        <v>3</v>
      </c>
      <c r="AE70" cm="1">
        <f t="array" aca="1" ref="AE70" ca="1">IF(ISNA(N70),,OFFSET(INDIRECT("'"&amp;AE$67&amp;"'!d1"),N70-1,))</f>
        <v>3</v>
      </c>
      <c r="AF70" cm="1">
        <f t="array" aca="1" ref="AF70" ca="1">IF(ISNA(O70),,OFFSET(INDIRECT("'"&amp;AF$67&amp;"'!d1"),O70-1,))</f>
        <v>3</v>
      </c>
      <c r="AG70" cm="1">
        <f t="array" aca="1" ref="AG70" ca="1">IF(ISNA(P70),,OFFSET(INDIRECT("'"&amp;AG$67&amp;"'!d1"),P70-1,))</f>
        <v>3</v>
      </c>
      <c r="AM70">
        <f t="shared" ca="1" si="68"/>
        <v>1</v>
      </c>
      <c r="AN70">
        <f t="shared" ca="1" si="44"/>
        <v>1</v>
      </c>
      <c r="AO70">
        <f t="shared" ca="1" si="44"/>
        <v>1</v>
      </c>
      <c r="AP70">
        <f t="shared" ca="1" si="44"/>
        <v>1</v>
      </c>
      <c r="AQ70">
        <f t="shared" ca="1" si="69"/>
        <v>1</v>
      </c>
      <c r="AV70" t="b">
        <f t="shared" ca="1" si="70"/>
        <v>1</v>
      </c>
      <c r="AW70" t="b">
        <f t="shared" ca="1" si="45"/>
        <v>1</v>
      </c>
      <c r="AX70" t="b">
        <f t="shared" ca="1" si="45"/>
        <v>1</v>
      </c>
      <c r="AY70" t="b">
        <f t="shared" ca="1" si="45"/>
        <v>1</v>
      </c>
      <c r="AZ70" t="b">
        <f t="shared" ca="1" si="45"/>
        <v>1</v>
      </c>
      <c r="BD70">
        <f t="shared" ca="1" si="46"/>
        <v>1</v>
      </c>
      <c r="BE70">
        <f t="shared" ca="1" si="46"/>
        <v>1</v>
      </c>
      <c r="BF70">
        <f t="shared" ca="1" si="46"/>
        <v>1</v>
      </c>
      <c r="BG70">
        <f t="shared" ca="1" si="46"/>
        <v>1</v>
      </c>
      <c r="BH70">
        <f t="shared" ca="1" si="46"/>
        <v>1</v>
      </c>
      <c r="BI70">
        <f t="shared" ca="1" si="46"/>
        <v>1</v>
      </c>
      <c r="BJ70">
        <f t="shared" ca="1" si="46"/>
        <v>1</v>
      </c>
      <c r="BK70">
        <f t="shared" ca="1" si="46"/>
        <v>1</v>
      </c>
      <c r="BL70">
        <f t="shared" ca="1" si="46"/>
        <v>1</v>
      </c>
      <c r="BM70">
        <f t="shared" ca="1" si="46"/>
        <v>1</v>
      </c>
      <c r="BN70">
        <f t="shared" ca="1" si="46"/>
        <v>1</v>
      </c>
      <c r="BO70">
        <f t="shared" ca="1" si="46"/>
        <v>1</v>
      </c>
      <c r="BU70">
        <f t="shared" ca="1" si="47"/>
        <v>3</v>
      </c>
      <c r="BV70">
        <f t="shared" ca="1" si="47"/>
        <v>3</v>
      </c>
      <c r="BW70">
        <f t="shared" ca="1" si="47"/>
        <v>3</v>
      </c>
      <c r="BX70">
        <f t="shared" ca="1" si="47"/>
        <v>3</v>
      </c>
      <c r="BY70">
        <f t="shared" ca="1" si="47"/>
        <v>3</v>
      </c>
      <c r="BZ70">
        <f t="shared" ca="1" si="47"/>
        <v>3</v>
      </c>
      <c r="CA70">
        <f t="shared" ca="1" si="47"/>
        <v>3</v>
      </c>
      <c r="CB70">
        <f t="shared" ca="1" si="47"/>
        <v>3</v>
      </c>
      <c r="CC70">
        <f t="shared" ca="1" si="47"/>
        <v>3</v>
      </c>
      <c r="CD70">
        <f t="shared" ca="1" si="47"/>
        <v>3</v>
      </c>
      <c r="CE70">
        <f t="shared" ca="1" si="47"/>
        <v>3</v>
      </c>
      <c r="CF70">
        <f t="shared" ca="1" si="47"/>
        <v>3</v>
      </c>
      <c r="CL70">
        <f t="shared" ca="1" si="48"/>
        <v>1</v>
      </c>
      <c r="CM70">
        <f t="shared" ca="1" si="48"/>
        <v>1</v>
      </c>
      <c r="CN70">
        <f t="shared" ca="1" si="48"/>
        <v>1</v>
      </c>
      <c r="CO70">
        <f t="shared" ca="1" si="48"/>
        <v>1</v>
      </c>
      <c r="CP70">
        <f t="shared" ca="1" si="48"/>
        <v>1</v>
      </c>
      <c r="CQ70">
        <f t="shared" ca="1" si="48"/>
        <v>1</v>
      </c>
      <c r="CR70">
        <f t="shared" ca="1" si="48"/>
        <v>1</v>
      </c>
      <c r="CS70">
        <f t="shared" ca="1" si="48"/>
        <v>1</v>
      </c>
      <c r="CT70">
        <f t="shared" ca="1" si="48"/>
        <v>1</v>
      </c>
      <c r="CU70">
        <f t="shared" ca="1" si="48"/>
        <v>1</v>
      </c>
      <c r="CV70">
        <f t="shared" ca="1" si="48"/>
        <v>1</v>
      </c>
      <c r="CW70">
        <f t="shared" ca="1" si="48"/>
        <v>1</v>
      </c>
      <c r="DC70" cm="1">
        <f t="array" aca="1" ref="DC70" ca="1">IF(ISNA(E70),,OFFSET(INDIRECT("'"&amp;DT$67&amp;"'!f1"),E70-1,))*1</f>
        <v>4.7167422999990501E-2</v>
      </c>
      <c r="DD70" cm="1">
        <f t="array" aca="1" ref="DD70" ca="1">IF(ISNA(F70),,OFFSET(INDIRECT("'"&amp;DU$67&amp;"'!f1"),F70-1,))*1</f>
        <v>0.29817301100001697</v>
      </c>
      <c r="DE70" cm="1">
        <f t="array" aca="1" ref="DE70" ca="1">IF(ISNA(G70),,OFFSET(INDIRECT("'"&amp;DV$67&amp;"'!f1"),G70-1,))*1</f>
        <v>0.13888993700001601</v>
      </c>
      <c r="DF70" cm="1">
        <f t="array" aca="1" ref="DF70" ca="1">IF(ISNA(H70),,OFFSET(INDIRECT("'"&amp;DW$67&amp;"'!f1"),H70-1,))*1</f>
        <v>3.7549334000004798E-2</v>
      </c>
      <c r="DG70" cm="1">
        <f t="array" aca="1" ref="DG70" ca="1">IF(ISNA(I70),,OFFSET(INDIRECT("'"&amp;DX$67&amp;"'!f1"),I70-1,))*1</f>
        <v>9.2607833037618506E-2</v>
      </c>
      <c r="DH70" cm="1">
        <f t="array" aca="1" ref="DH70" ca="1">IF(ISNA(J70),,OFFSET(INDIRECT("'"&amp;DY$67&amp;"'!f1"),J70-1,))*1</f>
        <v>0.231853051000001</v>
      </c>
      <c r="DI70" cm="1">
        <f t="array" aca="1" ref="DI70" ca="1">IF(ISNA(K70),,OFFSET(INDIRECT("'"&amp;DZ$67&amp;"'!f1"),K70-1,))*1</f>
        <v>1.67105035856366</v>
      </c>
      <c r="DJ70" cm="1">
        <f t="array" aca="1" ref="DJ70" ca="1">IF(ISNA(L70),,OFFSET(INDIRECT("'"&amp;EA$67&amp;"'!f1"),L70-1,))*1</f>
        <v>2.3957461230456798</v>
      </c>
      <c r="DK70" cm="1">
        <f t="array" aca="1" ref="DK70" ca="1">IF(ISNA(M70),,OFFSET(INDIRECT("'"&amp;EB$67&amp;"'!f1"),M70-1,))*1</f>
        <v>20.264650033999999</v>
      </c>
      <c r="DL70" cm="1">
        <f t="array" aca="1" ref="DL70" ca="1">IF(ISNA(N70),,OFFSET(INDIRECT("'"&amp;EC$67&amp;"'!f1"),N70-1,))*1</f>
        <v>1.12023340000178E-2</v>
      </c>
      <c r="DM70" cm="1">
        <f t="array" aca="1" ref="DM70" ca="1">IF(ISNA(O70),,OFFSET(INDIRECT("'"&amp;ED$67&amp;"'!f1"),O70-1,))*1</f>
        <v>1.13662480000016E-2</v>
      </c>
      <c r="DN70" cm="1">
        <f t="array" aca="1" ref="DN70" ca="1">IF(ISNA(P70),,OFFSET(INDIRECT("'"&amp;EE$67&amp;"'!f1"),P70-1,))*1</f>
        <v>1.39780899999948E-2</v>
      </c>
      <c r="DT70">
        <f t="shared" ca="1" si="71"/>
        <v>1</v>
      </c>
      <c r="DU70">
        <f t="shared" ca="1" si="49"/>
        <v>1</v>
      </c>
      <c r="DV70">
        <f t="shared" ca="1" si="49"/>
        <v>1</v>
      </c>
      <c r="DW70">
        <f t="shared" ca="1" si="49"/>
        <v>1</v>
      </c>
      <c r="DX70">
        <f t="shared" ca="1" si="49"/>
        <v>1</v>
      </c>
      <c r="DY70">
        <f t="shared" ca="1" si="49"/>
        <v>1</v>
      </c>
      <c r="DZ70">
        <f t="shared" ca="1" si="49"/>
        <v>9982</v>
      </c>
      <c r="EA70">
        <f t="shared" ca="1" si="49"/>
        <v>10000</v>
      </c>
      <c r="EB70">
        <f t="shared" ca="1" si="49"/>
        <v>8365</v>
      </c>
      <c r="EC70">
        <f t="shared" ca="1" si="49"/>
        <v>1</v>
      </c>
      <c r="ED70">
        <f t="shared" ca="1" si="49"/>
        <v>1</v>
      </c>
      <c r="EE70">
        <f t="shared" ca="1" si="49"/>
        <v>2</v>
      </c>
      <c r="EK70" cm="1">
        <f t="array" aca="1" ref="EK70" ca="1">IF(ISNA(E70),0,OFFSET(INDIRECT("'"&amp;EK$67&amp;"'!g1"),E70-1,)*CL70)</f>
        <v>1</v>
      </c>
      <c r="EL70" cm="1">
        <f t="array" aca="1" ref="EL70" ca="1">IF(ISNA(F70),0,OFFSET(INDIRECT("'"&amp;EL$67&amp;"'!g1"),F70-1,)*CM70)</f>
        <v>1</v>
      </c>
      <c r="EM70" cm="1">
        <f t="array" aca="1" ref="EM70" ca="1">IF(ISNA(G70),0,OFFSET(INDIRECT("'"&amp;EM$67&amp;"'!g1"),G70-1,)*CN70)</f>
        <v>1</v>
      </c>
      <c r="EN70" cm="1">
        <f t="array" aca="1" ref="EN70" ca="1">IF(ISNA(H70),0,OFFSET(INDIRECT("'"&amp;EN$67&amp;"'!g1"),H70-1,)*CO70)</f>
        <v>1</v>
      </c>
      <c r="EO70" cm="1">
        <f t="array" aca="1" ref="EO70" ca="1">IF(ISNA(I70),0,OFFSET(INDIRECT("'"&amp;EO$67&amp;"'!g1"),I70-1,)*CP70)</f>
        <v>1</v>
      </c>
      <c r="EP70" cm="1">
        <f t="array" aca="1" ref="EP70" ca="1">IF(ISNA(J70),0,OFFSET(INDIRECT("'"&amp;EP$67&amp;"'!g1"),J70-1,)*CQ70)</f>
        <v>1</v>
      </c>
      <c r="EQ70" cm="1">
        <f t="array" aca="1" ref="EQ70" ca="1">IF(ISNA(K70),0,OFFSET(INDIRECT("'"&amp;EQ$67&amp;"'!g1"),K70-1,)*CR70)</f>
        <v>9982</v>
      </c>
      <c r="ER70" cm="1">
        <f t="array" aca="1" ref="ER70" ca="1">IF(ISNA(L70),0,OFFSET(INDIRECT("'"&amp;ER$67&amp;"'!g1"),L70-1,)*CS70)</f>
        <v>10000</v>
      </c>
      <c r="ES70" cm="1">
        <f t="array" aca="1" ref="ES70" ca="1">IF(ISNA(M70),0,OFFSET(INDIRECT("'"&amp;ES$67&amp;"'!g1"),M70-1,)*CT70)</f>
        <v>8365</v>
      </c>
      <c r="ET70" cm="1">
        <f t="array" aca="1" ref="ET70" ca="1">IF(ISNA(N70),0,OFFSET(INDIRECT("'"&amp;ET$67&amp;"'!g1"),N70-1,)*CU70)</f>
        <v>1</v>
      </c>
      <c r="EU70" cm="1">
        <f t="array" aca="1" ref="EU70" ca="1">IF(ISNA(O70),0,OFFSET(INDIRECT("'"&amp;EU$67&amp;"'!g1"),O70-1,)*CV70)</f>
        <v>1</v>
      </c>
      <c r="EV70" cm="1">
        <f t="array" aca="1" ref="EV70" ca="1">IF(ISNA(P70),0,OFFSET(INDIRECT("'"&amp;EV$67&amp;"'!g1"),P70-1,)*CW70)</f>
        <v>2</v>
      </c>
      <c r="FB70" s="10" cm="1">
        <f t="array" aca="1" ref="FB70" ca="1">IF(ISNA(E70),0,OFFSET(INDIRECT("'"&amp;EK$67&amp;"'!h1"),E70-1,))</f>
        <v>1</v>
      </c>
      <c r="FC70" s="10" cm="1">
        <f t="array" aca="1" ref="FC70" ca="1">IF(ISNA(F70),0,OFFSET(INDIRECT("'"&amp;EL$67&amp;"'!h1"),F70-1,))</f>
        <v>1</v>
      </c>
      <c r="FD70" s="10" cm="1">
        <f t="array" aca="1" ref="FD70" ca="1">IF(ISNA(G70),0,OFFSET(INDIRECT("'"&amp;EM$67&amp;"'!h1"),G70-1,))</f>
        <v>1</v>
      </c>
      <c r="FE70" s="10" cm="1">
        <f t="array" aca="1" ref="FE70" ca="1">IF(ISNA(H70),0,OFFSET(INDIRECT("'"&amp;EN$67&amp;"'!h1"),H70-1,))</f>
        <v>1</v>
      </c>
      <c r="FF70" s="10" cm="1">
        <f t="array" aca="1" ref="FF70" ca="1">IF(ISNA(I70),0,OFFSET(INDIRECT("'"&amp;EO$67&amp;"'!h1"),I70-1,))</f>
        <v>1</v>
      </c>
      <c r="FG70" s="10" cm="1">
        <f t="array" aca="1" ref="FG70" ca="1">IF(ISNA(J70),0,OFFSET(INDIRECT("'"&amp;EP$67&amp;"'!h1"),J70-1,))</f>
        <v>1</v>
      </c>
      <c r="FH70" s="10" cm="1">
        <f t="array" aca="1" ref="FH70" ca="1">IF(ISNA(K70),0,OFFSET(INDIRECT("'"&amp;EQ$67&amp;"'!h1"),K70-1,))</f>
        <v>10000</v>
      </c>
      <c r="FI70" s="10" cm="1">
        <f t="array" aca="1" ref="FI70" ca="1">IF(ISNA(L70),0,OFFSET(INDIRECT("'"&amp;ER$67&amp;"'!h1"),L70-1,))</f>
        <v>10000</v>
      </c>
      <c r="FJ70" s="10" cm="1">
        <f t="array" aca="1" ref="FJ70" ca="1">IF(ISNA(M70),0,OFFSET(INDIRECT("'"&amp;ES$67&amp;"'!h1"),M70-1,))</f>
        <v>10000</v>
      </c>
      <c r="FK70" s="10" cm="1">
        <f t="array" aca="1" ref="FK70" ca="1">IF(ISNA(N70),0,OFFSET(INDIRECT("'"&amp;ET$67&amp;"'!h1"),N70-1,))</f>
        <v>1</v>
      </c>
      <c r="FL70" s="10" cm="1">
        <f t="array" aca="1" ref="FL70" ca="1">IF(ISNA(O70),0,OFFSET(INDIRECT("'"&amp;EU$67&amp;"'!h1"),O70-1,))</f>
        <v>1</v>
      </c>
      <c r="FM70" s="10" cm="1">
        <f t="array" aca="1" ref="FM70" ca="1">IF(ISNA(P70),0,OFFSET(INDIRECT("'"&amp;EV$67&amp;"'!h1"),P70-1,))</f>
        <v>2</v>
      </c>
      <c r="FN70" s="10"/>
      <c r="FO70" s="10"/>
      <c r="FP70" s="10"/>
      <c r="FQ70" s="10"/>
      <c r="FS70">
        <f t="shared" ca="1" si="72"/>
        <v>48</v>
      </c>
      <c r="FT70">
        <f t="shared" ca="1" si="73"/>
        <v>1.67105035856366</v>
      </c>
      <c r="FU70">
        <f t="shared" ca="1" si="74"/>
        <v>9982</v>
      </c>
      <c r="FV70">
        <f t="shared" ca="1" si="75"/>
        <v>10000</v>
      </c>
      <c r="FW70" s="4">
        <f t="shared" ca="1" si="76"/>
        <v>0.99819999999999998</v>
      </c>
      <c r="FX70" s="5">
        <f t="shared" ca="1" si="77"/>
        <v>1.6740636731753757E-4</v>
      </c>
      <c r="FZ70" s="13">
        <f t="shared" ca="1" si="50"/>
        <v>48</v>
      </c>
      <c r="GA70" s="23">
        <f t="shared" ca="1" si="78"/>
        <v>0</v>
      </c>
      <c r="GB70" s="23">
        <f t="shared" ca="1" si="51"/>
        <v>0</v>
      </c>
      <c r="GC70" s="23">
        <f t="shared" ca="1" si="51"/>
        <v>0</v>
      </c>
      <c r="GD70" s="23">
        <f t="shared" ca="1" si="51"/>
        <v>0</v>
      </c>
      <c r="GE70" s="23">
        <f t="shared" ca="1" si="51"/>
        <v>0</v>
      </c>
      <c r="GF70" s="23">
        <f t="shared" ca="1" si="51"/>
        <v>0</v>
      </c>
      <c r="GG70" s="23">
        <f t="shared" ca="1" si="51"/>
        <v>0</v>
      </c>
      <c r="GH70" s="23">
        <f t="shared" ca="1" si="51"/>
        <v>0</v>
      </c>
      <c r="GI70" s="23">
        <f t="shared" ca="1" si="51"/>
        <v>0</v>
      </c>
      <c r="GJ70" s="23">
        <f t="shared" ca="1" si="51"/>
        <v>0</v>
      </c>
      <c r="GK70" s="23">
        <f t="shared" ca="1" si="51"/>
        <v>0</v>
      </c>
      <c r="GL70" s="23">
        <f t="shared" ca="1" si="51"/>
        <v>0</v>
      </c>
      <c r="GM70" s="23"/>
      <c r="GN70">
        <f t="shared" ca="1" si="79"/>
        <v>48</v>
      </c>
      <c r="GO70" s="5">
        <f t="shared" ca="1" si="80"/>
        <v>4.7167422999990501E-2</v>
      </c>
      <c r="GP70" s="5">
        <f t="shared" ca="1" si="52"/>
        <v>0.29817301100001697</v>
      </c>
      <c r="GQ70" s="5">
        <f t="shared" ca="1" si="52"/>
        <v>0.13888993700001601</v>
      </c>
      <c r="GR70" s="5">
        <f t="shared" ca="1" si="52"/>
        <v>3.7549334000004798E-2</v>
      </c>
      <c r="GS70" s="5">
        <f t="shared" ca="1" si="52"/>
        <v>9.2607833037618506E-2</v>
      </c>
      <c r="GT70" s="5">
        <f t="shared" ca="1" si="81"/>
        <v>0.231853051000001</v>
      </c>
      <c r="GU70" s="5">
        <f t="shared" ca="1" si="53"/>
        <v>1.6740636731753757E-4</v>
      </c>
      <c r="GV70" s="5">
        <f t="shared" ca="1" si="53"/>
        <v>2.3957461230456799E-4</v>
      </c>
      <c r="GW70" s="5">
        <f t="shared" ca="1" si="53"/>
        <v>2.4225523053197848E-3</v>
      </c>
      <c r="GX70" s="5">
        <f t="shared" ca="1" si="53"/>
        <v>1.12023340000178E-2</v>
      </c>
      <c r="GY70" s="5">
        <f t="shared" ca="1" si="53"/>
        <v>1.13662480000016E-2</v>
      </c>
      <c r="GZ70" s="5">
        <f t="shared" ca="1" si="53"/>
        <v>6.9890449999973998E-3</v>
      </c>
      <c r="HB70" s="13">
        <f t="shared" ca="1" si="54"/>
        <v>48</v>
      </c>
      <c r="HC70" s="4">
        <f t="shared" ca="1" si="82"/>
        <v>1</v>
      </c>
      <c r="HD70" s="4">
        <f t="shared" ca="1" si="55"/>
        <v>1</v>
      </c>
      <c r="HE70" s="4">
        <f t="shared" ca="1" si="55"/>
        <v>1</v>
      </c>
      <c r="HF70" s="4">
        <f t="shared" ca="1" si="55"/>
        <v>1</v>
      </c>
      <c r="HG70" s="4">
        <f t="shared" ca="1" si="55"/>
        <v>1</v>
      </c>
      <c r="HH70" s="4">
        <f t="shared" ca="1" si="55"/>
        <v>1</v>
      </c>
      <c r="HI70" s="4">
        <f t="shared" ca="1" si="55"/>
        <v>0.99819999999999998</v>
      </c>
      <c r="HJ70" s="4">
        <f t="shared" ca="1" si="55"/>
        <v>1</v>
      </c>
      <c r="HK70" s="4">
        <f t="shared" ca="1" si="55"/>
        <v>0.83650000000000002</v>
      </c>
      <c r="HL70" s="4">
        <f t="shared" ca="1" si="55"/>
        <v>1</v>
      </c>
      <c r="HM70" s="4">
        <f t="shared" ca="1" si="55"/>
        <v>1</v>
      </c>
      <c r="HN70" s="4">
        <f t="shared" ca="1" si="55"/>
        <v>1</v>
      </c>
    </row>
    <row r="71" spans="1:222" x14ac:dyDescent="0.2">
      <c r="A71" t="str" cm="1">
        <f t="array" aca="1" ref="A71" ca="1">INDIRECT($A$67&amp;"!A"&amp;ROW(C4)+$B$64)</f>
        <v>[[84,9,0]]</v>
      </c>
      <c r="B71" cm="1">
        <f t="array" aca="1" ref="B71" ca="1">INDIRECT($A$67&amp;"!b"&amp;ROW(D4)+$B$64)</f>
        <v>84</v>
      </c>
      <c r="C71">
        <f t="shared" ca="1" si="56"/>
        <v>4</v>
      </c>
      <c r="E71">
        <f t="shared" ca="1" si="83"/>
        <v>28</v>
      </c>
      <c r="F71">
        <f t="shared" ca="1" si="57"/>
        <v>29</v>
      </c>
      <c r="G71">
        <f t="shared" ca="1" si="58"/>
        <v>28</v>
      </c>
      <c r="H71">
        <f t="shared" ca="1" si="59"/>
        <v>28</v>
      </c>
      <c r="I71">
        <f t="shared" ca="1" si="60"/>
        <v>31</v>
      </c>
      <c r="J71">
        <f t="shared" ca="1" si="61"/>
        <v>28</v>
      </c>
      <c r="K71">
        <f t="shared" ca="1" si="62"/>
        <v>35</v>
      </c>
      <c r="L71">
        <f t="shared" ca="1" si="63"/>
        <v>37</v>
      </c>
      <c r="M71">
        <f t="shared" ca="1" si="64"/>
        <v>34</v>
      </c>
      <c r="N71">
        <f t="shared" ca="1" si="65"/>
        <v>28</v>
      </c>
      <c r="O71">
        <f t="shared" ca="1" si="66"/>
        <v>28</v>
      </c>
      <c r="P71">
        <f t="shared" ca="1" si="67"/>
        <v>28</v>
      </c>
      <c r="V71" cm="1">
        <f t="array" aca="1" ref="V71" ca="1">IF(ISNA(E71),,OFFSET(INDIRECT("'"&amp;V$67&amp;"'!d1"),E71-1,))</f>
        <v>4</v>
      </c>
      <c r="W71" cm="1">
        <f t="array" aca="1" ref="W71" ca="1">IF(ISNA(F71),,OFFSET(INDIRECT("'"&amp;W$67&amp;"'!d1"),F71-1,))</f>
        <v>4</v>
      </c>
      <c r="X71" cm="1">
        <f t="array" aca="1" ref="X71" ca="1">IF(ISNA(G71),,OFFSET(INDIRECT("'"&amp;X$67&amp;"'!d1"),G71-1,))</f>
        <v>4</v>
      </c>
      <c r="Y71" cm="1">
        <f t="array" aca="1" ref="Y71" ca="1">IF(ISNA(H71),,OFFSET(INDIRECT("'"&amp;Y$67&amp;"'!d1"),H71-1,))</f>
        <v>4</v>
      </c>
      <c r="Z71" cm="1">
        <f t="array" aca="1" ref="Z71" ca="1">IF(ISNA(I71),,OFFSET(INDIRECT("'"&amp;Z$67&amp;"'!d1"),I71-1,))</f>
        <v>4</v>
      </c>
      <c r="AA71" cm="1">
        <f t="array" aca="1" ref="AA71" ca="1">IF(ISNA(J71),,OFFSET(INDIRECT("'"&amp;AA$67&amp;"'!d1"),J71-1,))</f>
        <v>4</v>
      </c>
      <c r="AB71" cm="1">
        <f t="array" aca="1" ref="AB71" ca="1">IF(ISNA(K71),,OFFSET(INDIRECT("'"&amp;AB$67&amp;"'!d1"),K71-1,))</f>
        <v>4</v>
      </c>
      <c r="AC71" cm="1">
        <f t="array" aca="1" ref="AC71" ca="1">IF(ISNA(L71),,OFFSET(INDIRECT("'"&amp;AC$67&amp;"'!d1"),L71-1,))</f>
        <v>4</v>
      </c>
      <c r="AD71" cm="1">
        <f t="array" aca="1" ref="AD71" ca="1">IF(ISNA(M71),,OFFSET(INDIRECT("'"&amp;AD$67&amp;"'!d1"),M71-1,))</f>
        <v>4</v>
      </c>
      <c r="AE71" cm="1">
        <f t="array" aca="1" ref="AE71" ca="1">IF(ISNA(N71),,OFFSET(INDIRECT("'"&amp;AE$67&amp;"'!d1"),N71-1,))</f>
        <v>4</v>
      </c>
      <c r="AF71" cm="1">
        <f t="array" aca="1" ref="AF71" ca="1">IF(ISNA(O71),,OFFSET(INDIRECT("'"&amp;AF$67&amp;"'!d1"),O71-1,))</f>
        <v>4</v>
      </c>
      <c r="AG71" cm="1">
        <f t="array" aca="1" ref="AG71" ca="1">IF(ISNA(P71),,OFFSET(INDIRECT("'"&amp;AG$67&amp;"'!d1"),P71-1,))</f>
        <v>4</v>
      </c>
      <c r="AM71">
        <f t="shared" ca="1" si="68"/>
        <v>1</v>
      </c>
      <c r="AN71">
        <f t="shared" ca="1" si="44"/>
        <v>1</v>
      </c>
      <c r="AO71">
        <f t="shared" ca="1" si="44"/>
        <v>1</v>
      </c>
      <c r="AP71">
        <f t="shared" ca="1" si="44"/>
        <v>1</v>
      </c>
      <c r="AQ71">
        <f t="shared" ca="1" si="69"/>
        <v>1</v>
      </c>
      <c r="AV71" t="b">
        <f t="shared" ca="1" si="70"/>
        <v>1</v>
      </c>
      <c r="AW71" t="b">
        <f t="shared" ca="1" si="45"/>
        <v>1</v>
      </c>
      <c r="AX71" t="b">
        <f t="shared" ca="1" si="45"/>
        <v>1</v>
      </c>
      <c r="AY71" t="b">
        <f t="shared" ca="1" si="45"/>
        <v>1</v>
      </c>
      <c r="AZ71" t="b">
        <f t="shared" ca="1" si="45"/>
        <v>1</v>
      </c>
      <c r="BD71">
        <f t="shared" ca="1" si="46"/>
        <v>1</v>
      </c>
      <c r="BE71">
        <f t="shared" ca="1" si="46"/>
        <v>1</v>
      </c>
      <c r="BF71">
        <f t="shared" ca="1" si="46"/>
        <v>1</v>
      </c>
      <c r="BG71">
        <f t="shared" ca="1" si="46"/>
        <v>1</v>
      </c>
      <c r="BH71">
        <f t="shared" ca="1" si="46"/>
        <v>1</v>
      </c>
      <c r="BI71">
        <f t="shared" ca="1" si="46"/>
        <v>1</v>
      </c>
      <c r="BJ71">
        <f t="shared" ca="1" si="46"/>
        <v>1</v>
      </c>
      <c r="BK71">
        <f t="shared" ca="1" si="46"/>
        <v>1</v>
      </c>
      <c r="BL71">
        <f t="shared" ca="1" si="46"/>
        <v>1</v>
      </c>
      <c r="BM71">
        <f t="shared" ca="1" si="46"/>
        <v>1</v>
      </c>
      <c r="BN71">
        <f t="shared" ca="1" si="46"/>
        <v>1</v>
      </c>
      <c r="BO71">
        <f t="shared" ca="1" si="46"/>
        <v>1</v>
      </c>
      <c r="BU71">
        <f t="shared" ca="1" si="47"/>
        <v>4</v>
      </c>
      <c r="BV71">
        <f t="shared" ca="1" si="47"/>
        <v>4</v>
      </c>
      <c r="BW71">
        <f t="shared" ca="1" si="47"/>
        <v>4</v>
      </c>
      <c r="BX71">
        <f t="shared" ca="1" si="47"/>
        <v>4</v>
      </c>
      <c r="BY71">
        <f t="shared" ca="1" si="47"/>
        <v>4</v>
      </c>
      <c r="BZ71">
        <f t="shared" ca="1" si="47"/>
        <v>4</v>
      </c>
      <c r="CA71">
        <f t="shared" ca="1" si="47"/>
        <v>4</v>
      </c>
      <c r="CB71">
        <f t="shared" ca="1" si="47"/>
        <v>4</v>
      </c>
      <c r="CC71">
        <f t="shared" ca="1" si="47"/>
        <v>4</v>
      </c>
      <c r="CD71">
        <f t="shared" ca="1" si="47"/>
        <v>4</v>
      </c>
      <c r="CE71">
        <f t="shared" ca="1" si="47"/>
        <v>4</v>
      </c>
      <c r="CF71">
        <f t="shared" ca="1" si="47"/>
        <v>4</v>
      </c>
      <c r="CL71">
        <f t="shared" ca="1" si="48"/>
        <v>1</v>
      </c>
      <c r="CM71">
        <f t="shared" ca="1" si="48"/>
        <v>1</v>
      </c>
      <c r="CN71">
        <f t="shared" ca="1" si="48"/>
        <v>1</v>
      </c>
      <c r="CO71">
        <f t="shared" ca="1" si="48"/>
        <v>1</v>
      </c>
      <c r="CP71">
        <f t="shared" ca="1" si="48"/>
        <v>1</v>
      </c>
      <c r="CQ71">
        <f t="shared" ca="1" si="48"/>
        <v>1</v>
      </c>
      <c r="CR71">
        <f t="shared" ca="1" si="48"/>
        <v>1</v>
      </c>
      <c r="CS71">
        <f t="shared" ca="1" si="48"/>
        <v>1</v>
      </c>
      <c r="CT71">
        <f t="shared" ca="1" si="48"/>
        <v>1</v>
      </c>
      <c r="CU71">
        <f t="shared" ca="1" si="48"/>
        <v>1</v>
      </c>
      <c r="CV71">
        <f t="shared" ca="1" si="48"/>
        <v>1</v>
      </c>
      <c r="CW71">
        <f t="shared" ca="1" si="48"/>
        <v>1</v>
      </c>
      <c r="DC71" cm="1">
        <f t="array" aca="1" ref="DC71" ca="1">IF(ISNA(E71),,OFFSET(INDIRECT("'"&amp;DT$67&amp;"'!f1"),E71-1,))*1</f>
        <v>0.112384547000004</v>
      </c>
      <c r="DD71" cm="1">
        <f t="array" aca="1" ref="DD71" ca="1">IF(ISNA(F71),,OFFSET(INDIRECT("'"&amp;DU$67&amp;"'!f1"),F71-1,))*1</f>
        <v>0.40802639299999999</v>
      </c>
      <c r="DE71" cm="1">
        <f t="array" aca="1" ref="DE71" ca="1">IF(ISNA(G71),,OFFSET(INDIRECT("'"&amp;DV$67&amp;"'!f1"),G71-1,))*1</f>
        <v>0.32538683900000298</v>
      </c>
      <c r="DF71" cm="1">
        <f t="array" aca="1" ref="DF71" ca="1">IF(ISNA(H71),,OFFSET(INDIRECT("'"&amp;DW$67&amp;"'!f1"),H71-1,))*1</f>
        <v>4.5564963999993303E-2</v>
      </c>
      <c r="DG71" cm="1">
        <f t="array" aca="1" ref="DG71" ca="1">IF(ISNA(I71),,OFFSET(INDIRECT("'"&amp;DX$67&amp;"'!f1"),I71-1,))*1</f>
        <v>0.111170374962966</v>
      </c>
      <c r="DH71" cm="1">
        <f t="array" aca="1" ref="DH71" ca="1">IF(ISNA(J71),,OFFSET(INDIRECT("'"&amp;DY$67&amp;"'!f1"),J71-1,))*1</f>
        <v>0.276482280999999</v>
      </c>
      <c r="DI71" cm="1">
        <f t="array" aca="1" ref="DI71" ca="1">IF(ISNA(K71),,OFFSET(INDIRECT("'"&amp;DZ$67&amp;"'!f1"),K71-1,))*1</f>
        <v>3.29546856135129</v>
      </c>
      <c r="DJ71" cm="1">
        <f t="array" aca="1" ref="DJ71" ca="1">IF(ISNA(L71),,OFFSET(INDIRECT("'"&amp;EA$67&amp;"'!f1"),L71-1,))*1</f>
        <v>5.20993322879076</v>
      </c>
      <c r="DK71" cm="1">
        <f t="array" aca="1" ref="DK71" ca="1">IF(ISNA(M71),,OFFSET(INDIRECT("'"&amp;EB$67&amp;"'!f1"),M71-1,))*1</f>
        <v>29.9118786239999</v>
      </c>
      <c r="DL71" cm="1">
        <f t="array" aca="1" ref="DL71" ca="1">IF(ISNA(N71),,OFFSET(INDIRECT("'"&amp;EC$67&amp;"'!f1"),N71-1,))*1</f>
        <v>1.52931529999875E-2</v>
      </c>
      <c r="DM71" cm="1">
        <f t="array" aca="1" ref="DM71" ca="1">IF(ISNA(O71),,OFFSET(INDIRECT("'"&amp;ED$67&amp;"'!f1"),O71-1,))*1</f>
        <v>1.4537781000001301E-2</v>
      </c>
      <c r="DN71" cm="1">
        <f t="array" aca="1" ref="DN71" ca="1">IF(ISNA(P71),,OFFSET(INDIRECT("'"&amp;EE$67&amp;"'!f1"),P71-1,))*1</f>
        <v>1.7778843999991498E-2</v>
      </c>
      <c r="DT71">
        <f t="shared" ca="1" si="71"/>
        <v>1</v>
      </c>
      <c r="DU71">
        <f t="shared" ca="1" si="49"/>
        <v>1</v>
      </c>
      <c r="DV71">
        <f t="shared" ca="1" si="49"/>
        <v>1</v>
      </c>
      <c r="DW71">
        <f t="shared" ca="1" si="49"/>
        <v>1</v>
      </c>
      <c r="DX71">
        <f t="shared" ca="1" si="49"/>
        <v>1</v>
      </c>
      <c r="DY71">
        <f t="shared" ca="1" si="49"/>
        <v>1</v>
      </c>
      <c r="DZ71">
        <f t="shared" ca="1" si="49"/>
        <v>9997</v>
      </c>
      <c r="EA71">
        <f t="shared" ca="1" si="49"/>
        <v>10000</v>
      </c>
      <c r="EB71">
        <f t="shared" ca="1" si="49"/>
        <v>9676</v>
      </c>
      <c r="EC71">
        <f t="shared" ca="1" si="49"/>
        <v>1</v>
      </c>
      <c r="ED71">
        <f t="shared" ca="1" si="49"/>
        <v>1</v>
      </c>
      <c r="EE71">
        <f t="shared" ca="1" si="49"/>
        <v>2</v>
      </c>
      <c r="EK71" cm="1">
        <f t="array" aca="1" ref="EK71" ca="1">IF(ISNA(E71),0,OFFSET(INDIRECT("'"&amp;EK$67&amp;"'!g1"),E71-1,)*CL71)</f>
        <v>1</v>
      </c>
      <c r="EL71" cm="1">
        <f t="array" aca="1" ref="EL71" ca="1">IF(ISNA(F71),0,OFFSET(INDIRECT("'"&amp;EL$67&amp;"'!g1"),F71-1,)*CM71)</f>
        <v>1</v>
      </c>
      <c r="EM71" cm="1">
        <f t="array" aca="1" ref="EM71" ca="1">IF(ISNA(G71),0,OFFSET(INDIRECT("'"&amp;EM$67&amp;"'!g1"),G71-1,)*CN71)</f>
        <v>1</v>
      </c>
      <c r="EN71" cm="1">
        <f t="array" aca="1" ref="EN71" ca="1">IF(ISNA(H71),0,OFFSET(INDIRECT("'"&amp;EN$67&amp;"'!g1"),H71-1,)*CO71)</f>
        <v>1</v>
      </c>
      <c r="EO71" cm="1">
        <f t="array" aca="1" ref="EO71" ca="1">IF(ISNA(I71),0,OFFSET(INDIRECT("'"&amp;EO$67&amp;"'!g1"),I71-1,)*CP71)</f>
        <v>1</v>
      </c>
      <c r="EP71" cm="1">
        <f t="array" aca="1" ref="EP71" ca="1">IF(ISNA(J71),0,OFFSET(INDIRECT("'"&amp;EP$67&amp;"'!g1"),J71-1,)*CQ71)</f>
        <v>1</v>
      </c>
      <c r="EQ71" cm="1">
        <f t="array" aca="1" ref="EQ71" ca="1">IF(ISNA(K71),0,OFFSET(INDIRECT("'"&amp;EQ$67&amp;"'!g1"),K71-1,)*CR71)</f>
        <v>9997</v>
      </c>
      <c r="ER71" cm="1">
        <f t="array" aca="1" ref="ER71" ca="1">IF(ISNA(L71),0,OFFSET(INDIRECT("'"&amp;ER$67&amp;"'!g1"),L71-1,)*CS71)</f>
        <v>10000</v>
      </c>
      <c r="ES71" cm="1">
        <f t="array" aca="1" ref="ES71" ca="1">IF(ISNA(M71),0,OFFSET(INDIRECT("'"&amp;ES$67&amp;"'!g1"),M71-1,)*CT71)</f>
        <v>9676</v>
      </c>
      <c r="ET71" cm="1">
        <f t="array" aca="1" ref="ET71" ca="1">IF(ISNA(N71),0,OFFSET(INDIRECT("'"&amp;ET$67&amp;"'!g1"),N71-1,)*CU71)</f>
        <v>1</v>
      </c>
      <c r="EU71" cm="1">
        <f t="array" aca="1" ref="EU71" ca="1">IF(ISNA(O71),0,OFFSET(INDIRECT("'"&amp;EU$67&amp;"'!g1"),O71-1,)*CV71)</f>
        <v>1</v>
      </c>
      <c r="EV71" cm="1">
        <f t="array" aca="1" ref="EV71" ca="1">IF(ISNA(P71),0,OFFSET(INDIRECT("'"&amp;EV$67&amp;"'!g1"),P71-1,)*CW71)</f>
        <v>2</v>
      </c>
      <c r="FB71" s="10" cm="1">
        <f t="array" aca="1" ref="FB71" ca="1">IF(ISNA(E71),0,OFFSET(INDIRECT("'"&amp;EK$67&amp;"'!h1"),E71-1,))</f>
        <v>1</v>
      </c>
      <c r="FC71" s="10" cm="1">
        <f t="array" aca="1" ref="FC71" ca="1">IF(ISNA(F71),0,OFFSET(INDIRECT("'"&amp;EL$67&amp;"'!h1"),F71-1,))</f>
        <v>1</v>
      </c>
      <c r="FD71" s="10" cm="1">
        <f t="array" aca="1" ref="FD71" ca="1">IF(ISNA(G71),0,OFFSET(INDIRECT("'"&amp;EM$67&amp;"'!h1"),G71-1,))</f>
        <v>1</v>
      </c>
      <c r="FE71" s="10" cm="1">
        <f t="array" aca="1" ref="FE71" ca="1">IF(ISNA(H71),0,OFFSET(INDIRECT("'"&amp;EN$67&amp;"'!h1"),H71-1,))</f>
        <v>1</v>
      </c>
      <c r="FF71" s="10" cm="1">
        <f t="array" aca="1" ref="FF71" ca="1">IF(ISNA(I71),0,OFFSET(INDIRECT("'"&amp;EO$67&amp;"'!h1"),I71-1,))</f>
        <v>1</v>
      </c>
      <c r="FG71" s="10" cm="1">
        <f t="array" aca="1" ref="FG71" ca="1">IF(ISNA(J71),0,OFFSET(INDIRECT("'"&amp;EP$67&amp;"'!h1"),J71-1,))</f>
        <v>1</v>
      </c>
      <c r="FH71" s="10" cm="1">
        <f t="array" aca="1" ref="FH71" ca="1">IF(ISNA(K71),0,OFFSET(INDIRECT("'"&amp;EQ$67&amp;"'!h1"),K71-1,))</f>
        <v>10000</v>
      </c>
      <c r="FI71" s="10" cm="1">
        <f t="array" aca="1" ref="FI71" ca="1">IF(ISNA(L71),0,OFFSET(INDIRECT("'"&amp;ER$67&amp;"'!h1"),L71-1,))</f>
        <v>10000</v>
      </c>
      <c r="FJ71" s="10" cm="1">
        <f t="array" aca="1" ref="FJ71" ca="1">IF(ISNA(M71),0,OFFSET(INDIRECT("'"&amp;ES$67&amp;"'!h1"),M71-1,))</f>
        <v>10000</v>
      </c>
      <c r="FK71" s="10" cm="1">
        <f t="array" aca="1" ref="FK71" ca="1">IF(ISNA(N71),0,OFFSET(INDIRECT("'"&amp;ET$67&amp;"'!h1"),N71-1,))</f>
        <v>1</v>
      </c>
      <c r="FL71" s="10" cm="1">
        <f t="array" aca="1" ref="FL71" ca="1">IF(ISNA(O71),0,OFFSET(INDIRECT("'"&amp;EU$67&amp;"'!h1"),O71-1,))</f>
        <v>1</v>
      </c>
      <c r="FM71" s="10" cm="1">
        <f t="array" aca="1" ref="FM71" ca="1">IF(ISNA(P71),0,OFFSET(INDIRECT("'"&amp;EV$67&amp;"'!h1"),P71-1,))</f>
        <v>2</v>
      </c>
      <c r="FN71" s="10"/>
      <c r="FO71" s="10"/>
      <c r="FP71" s="10"/>
      <c r="FQ71" s="10"/>
      <c r="FS71">
        <f t="shared" ca="1" si="72"/>
        <v>84</v>
      </c>
      <c r="FT71">
        <f t="shared" ca="1" si="73"/>
        <v>3.29546856135129</v>
      </c>
      <c r="FU71">
        <f t="shared" ca="1" si="74"/>
        <v>9997</v>
      </c>
      <c r="FV71">
        <f t="shared" ca="1" si="75"/>
        <v>10000</v>
      </c>
      <c r="FW71" s="4">
        <f t="shared" ca="1" si="76"/>
        <v>0.99970000000000003</v>
      </c>
      <c r="FX71" s="5">
        <f t="shared" ca="1" si="77"/>
        <v>3.2964574986008705E-4</v>
      </c>
      <c r="FZ71" s="13">
        <f t="shared" ca="1" si="50"/>
        <v>84</v>
      </c>
      <c r="GA71" s="23">
        <f t="shared" ca="1" si="78"/>
        <v>0</v>
      </c>
      <c r="GB71" s="23">
        <f t="shared" ca="1" si="51"/>
        <v>0</v>
      </c>
      <c r="GC71" s="23">
        <f t="shared" ca="1" si="51"/>
        <v>0</v>
      </c>
      <c r="GD71" s="23">
        <f t="shared" ca="1" si="51"/>
        <v>0</v>
      </c>
      <c r="GE71" s="23">
        <f t="shared" ca="1" si="51"/>
        <v>0</v>
      </c>
      <c r="GF71" s="23">
        <f t="shared" ca="1" si="51"/>
        <v>0</v>
      </c>
      <c r="GG71" s="23">
        <f t="shared" ca="1" si="51"/>
        <v>0</v>
      </c>
      <c r="GH71" s="23">
        <f t="shared" ca="1" si="51"/>
        <v>0</v>
      </c>
      <c r="GI71" s="23">
        <f t="shared" ca="1" si="51"/>
        <v>0</v>
      </c>
      <c r="GJ71" s="23">
        <f t="shared" ca="1" si="51"/>
        <v>0</v>
      </c>
      <c r="GK71" s="23">
        <f t="shared" ca="1" si="51"/>
        <v>0</v>
      </c>
      <c r="GL71" s="23">
        <f t="shared" ca="1" si="51"/>
        <v>0</v>
      </c>
      <c r="GM71" s="23"/>
      <c r="GN71">
        <f t="shared" ca="1" si="79"/>
        <v>84</v>
      </c>
      <c r="GO71" s="5">
        <f t="shared" ca="1" si="80"/>
        <v>0.112384547000004</v>
      </c>
      <c r="GP71" s="5">
        <f t="shared" ca="1" si="52"/>
        <v>0.40802639299999999</v>
      </c>
      <c r="GQ71" s="5">
        <f t="shared" ca="1" si="52"/>
        <v>0.32538683900000298</v>
      </c>
      <c r="GR71" s="5">
        <f t="shared" ca="1" si="52"/>
        <v>4.5564963999993303E-2</v>
      </c>
      <c r="GS71" s="5">
        <f t="shared" ca="1" si="52"/>
        <v>0.111170374962966</v>
      </c>
      <c r="GT71" s="5">
        <f t="shared" ca="1" si="81"/>
        <v>0.276482280999999</v>
      </c>
      <c r="GU71" s="5">
        <f t="shared" ca="1" si="53"/>
        <v>3.2964574986008705E-4</v>
      </c>
      <c r="GV71" s="5">
        <f t="shared" ca="1" si="53"/>
        <v>5.2099332287907599E-4</v>
      </c>
      <c r="GW71" s="5">
        <f t="shared" ca="1" si="53"/>
        <v>3.0913475221165669E-3</v>
      </c>
      <c r="GX71" s="5">
        <f t="shared" ca="1" si="53"/>
        <v>1.52931529999875E-2</v>
      </c>
      <c r="GY71" s="5">
        <f t="shared" ca="1" si="53"/>
        <v>1.4537781000001301E-2</v>
      </c>
      <c r="GZ71" s="5">
        <f t="shared" ca="1" si="53"/>
        <v>8.8894219999957492E-3</v>
      </c>
      <c r="HB71" s="13">
        <f t="shared" ca="1" si="54"/>
        <v>84</v>
      </c>
      <c r="HC71" s="4">
        <f t="shared" ca="1" si="82"/>
        <v>1</v>
      </c>
      <c r="HD71" s="4">
        <f t="shared" ca="1" si="55"/>
        <v>1</v>
      </c>
      <c r="HE71" s="4">
        <f t="shared" ca="1" si="55"/>
        <v>1</v>
      </c>
      <c r="HF71" s="4">
        <f t="shared" ca="1" si="55"/>
        <v>1</v>
      </c>
      <c r="HG71" s="4">
        <f t="shared" ca="1" si="55"/>
        <v>1</v>
      </c>
      <c r="HH71" s="4">
        <f t="shared" ca="1" si="55"/>
        <v>1</v>
      </c>
      <c r="HI71" s="4">
        <f t="shared" ca="1" si="55"/>
        <v>0.99970000000000003</v>
      </c>
      <c r="HJ71" s="4">
        <f t="shared" ca="1" si="55"/>
        <v>1</v>
      </c>
      <c r="HK71" s="4">
        <f t="shared" ca="1" si="55"/>
        <v>0.96760000000000002</v>
      </c>
      <c r="HL71" s="4">
        <f t="shared" ca="1" si="55"/>
        <v>1</v>
      </c>
      <c r="HM71" s="4">
        <f t="shared" ca="1" si="55"/>
        <v>1</v>
      </c>
      <c r="HN71" s="4">
        <f t="shared" ca="1" si="55"/>
        <v>1</v>
      </c>
    </row>
    <row r="72" spans="1:222" x14ac:dyDescent="0.2">
      <c r="A72" t="str" cm="1">
        <f t="array" aca="1" ref="A72" ca="1">INDIRECT($A$67&amp;"!A"&amp;ROW(C5)+$B$64)</f>
        <v>[[84,9,0]]</v>
      </c>
      <c r="B72" cm="1">
        <f t="array" aca="1" ref="B72" ca="1">INDIRECT($A$67&amp;"!b"&amp;ROW(D5)+$B$64)</f>
        <v>84</v>
      </c>
      <c r="C72">
        <f t="shared" ca="1" si="56"/>
        <v>3</v>
      </c>
      <c r="E72">
        <f t="shared" ca="1" si="83"/>
        <v>29</v>
      </c>
      <c r="F72">
        <f t="shared" ca="1" si="57"/>
        <v>30</v>
      </c>
      <c r="G72">
        <f t="shared" ca="1" si="58"/>
        <v>29</v>
      </c>
      <c r="H72">
        <f t="shared" ca="1" si="59"/>
        <v>29</v>
      </c>
      <c r="I72">
        <f t="shared" ca="1" si="60"/>
        <v>32</v>
      </c>
      <c r="J72">
        <f t="shared" ca="1" si="61"/>
        <v>29</v>
      </c>
      <c r="K72">
        <f t="shared" ca="1" si="62"/>
        <v>36</v>
      </c>
      <c r="L72">
        <f t="shared" ca="1" si="63"/>
        <v>38</v>
      </c>
      <c r="M72">
        <f t="shared" ca="1" si="64"/>
        <v>35</v>
      </c>
      <c r="N72">
        <f t="shared" ca="1" si="65"/>
        <v>29</v>
      </c>
      <c r="O72">
        <f t="shared" ca="1" si="66"/>
        <v>29</v>
      </c>
      <c r="P72">
        <f t="shared" ca="1" si="67"/>
        <v>29</v>
      </c>
      <c r="V72" cm="1">
        <f t="array" aca="1" ref="V72" ca="1">IF(ISNA(E72),,OFFSET(INDIRECT("'"&amp;V$67&amp;"'!d1"),E72-1,))</f>
        <v>3</v>
      </c>
      <c r="W72" cm="1">
        <f t="array" aca="1" ref="W72" ca="1">IF(ISNA(F72),,OFFSET(INDIRECT("'"&amp;W$67&amp;"'!d1"),F72-1,))</f>
        <v>3</v>
      </c>
      <c r="X72" cm="1">
        <f t="array" aca="1" ref="X72" ca="1">IF(ISNA(G72),,OFFSET(INDIRECT("'"&amp;X$67&amp;"'!d1"),G72-1,))</f>
        <v>3</v>
      </c>
      <c r="Y72" cm="1">
        <f t="array" aca="1" ref="Y72" ca="1">IF(ISNA(H72),,OFFSET(INDIRECT("'"&amp;Y$67&amp;"'!d1"),H72-1,))</f>
        <v>3</v>
      </c>
      <c r="Z72" cm="1">
        <f t="array" aca="1" ref="Z72" ca="1">IF(ISNA(I72),,OFFSET(INDIRECT("'"&amp;Z$67&amp;"'!d1"),I72-1,))</f>
        <v>3</v>
      </c>
      <c r="AA72" cm="1">
        <f t="array" aca="1" ref="AA72" ca="1">IF(ISNA(J72),,OFFSET(INDIRECT("'"&amp;AA$67&amp;"'!d1"),J72-1,))</f>
        <v>3</v>
      </c>
      <c r="AB72" cm="1">
        <f t="array" aca="1" ref="AB72" ca="1">IF(ISNA(K72),,OFFSET(INDIRECT("'"&amp;AB$67&amp;"'!d1"),K72-1,))</f>
        <v>3</v>
      </c>
      <c r="AC72" cm="1">
        <f t="array" aca="1" ref="AC72" ca="1">IF(ISNA(L72),,OFFSET(INDIRECT("'"&amp;AC$67&amp;"'!d1"),L72-1,))</f>
        <v>3</v>
      </c>
      <c r="AD72" cm="1">
        <f t="array" aca="1" ref="AD72" ca="1">IF(ISNA(M72),,OFFSET(INDIRECT("'"&amp;AD$67&amp;"'!d1"),M72-1,))</f>
        <v>3</v>
      </c>
      <c r="AE72" cm="1">
        <f t="array" aca="1" ref="AE72" ca="1">IF(ISNA(N72),,OFFSET(INDIRECT("'"&amp;AE$67&amp;"'!d1"),N72-1,))</f>
        <v>3</v>
      </c>
      <c r="AF72" cm="1">
        <f t="array" aca="1" ref="AF72" ca="1">IF(ISNA(O72),,OFFSET(INDIRECT("'"&amp;AF$67&amp;"'!d1"),O72-1,))</f>
        <v>3</v>
      </c>
      <c r="AG72" cm="1">
        <f t="array" aca="1" ref="AG72" ca="1">IF(ISNA(P72),,OFFSET(INDIRECT("'"&amp;AG$67&amp;"'!d1"),P72-1,))</f>
        <v>3</v>
      </c>
      <c r="AM72">
        <f t="shared" ca="1" si="68"/>
        <v>1</v>
      </c>
      <c r="AN72">
        <f t="shared" ca="1" si="44"/>
        <v>1</v>
      </c>
      <c r="AO72">
        <f t="shared" ca="1" si="44"/>
        <v>1</v>
      </c>
      <c r="AP72">
        <f t="shared" ca="1" si="44"/>
        <v>1</v>
      </c>
      <c r="AQ72">
        <f t="shared" ca="1" si="69"/>
        <v>1</v>
      </c>
      <c r="AV72" t="b">
        <f t="shared" ca="1" si="70"/>
        <v>1</v>
      </c>
      <c r="AW72" t="b">
        <f t="shared" ca="1" si="45"/>
        <v>1</v>
      </c>
      <c r="AX72" t="b">
        <f t="shared" ca="1" si="45"/>
        <v>1</v>
      </c>
      <c r="AY72" t="b">
        <f t="shared" ca="1" si="45"/>
        <v>1</v>
      </c>
      <c r="AZ72" t="b">
        <f t="shared" ca="1" si="45"/>
        <v>1</v>
      </c>
      <c r="BD72">
        <f t="shared" ca="1" si="46"/>
        <v>1</v>
      </c>
      <c r="BE72">
        <f t="shared" ca="1" si="46"/>
        <v>1</v>
      </c>
      <c r="BF72">
        <f t="shared" ca="1" si="46"/>
        <v>1</v>
      </c>
      <c r="BG72">
        <f t="shared" ca="1" si="46"/>
        <v>1</v>
      </c>
      <c r="BH72">
        <f t="shared" ca="1" si="46"/>
        <v>1</v>
      </c>
      <c r="BI72">
        <f t="shared" ca="1" si="46"/>
        <v>1</v>
      </c>
      <c r="BJ72">
        <f t="shared" ca="1" si="46"/>
        <v>1</v>
      </c>
      <c r="BK72">
        <f t="shared" ca="1" si="46"/>
        <v>1</v>
      </c>
      <c r="BL72">
        <f t="shared" ca="1" si="46"/>
        <v>1</v>
      </c>
      <c r="BM72">
        <f t="shared" ca="1" si="46"/>
        <v>1</v>
      </c>
      <c r="BN72">
        <f t="shared" ca="1" si="46"/>
        <v>1</v>
      </c>
      <c r="BO72">
        <f t="shared" ca="1" si="46"/>
        <v>1</v>
      </c>
      <c r="BU72">
        <f t="shared" ca="1" si="47"/>
        <v>3</v>
      </c>
      <c r="BV72">
        <f t="shared" ca="1" si="47"/>
        <v>3</v>
      </c>
      <c r="BW72">
        <f t="shared" ca="1" si="47"/>
        <v>3</v>
      </c>
      <c r="BX72">
        <f t="shared" ca="1" si="47"/>
        <v>3</v>
      </c>
      <c r="BY72">
        <f t="shared" ca="1" si="47"/>
        <v>3</v>
      </c>
      <c r="BZ72">
        <f t="shared" ca="1" si="47"/>
        <v>3</v>
      </c>
      <c r="CA72">
        <f t="shared" ca="1" si="47"/>
        <v>3</v>
      </c>
      <c r="CB72">
        <f t="shared" ca="1" si="47"/>
        <v>3</v>
      </c>
      <c r="CC72">
        <f t="shared" ca="1" si="47"/>
        <v>3</v>
      </c>
      <c r="CD72">
        <f t="shared" ca="1" si="47"/>
        <v>3</v>
      </c>
      <c r="CE72">
        <f t="shared" ca="1" si="47"/>
        <v>3</v>
      </c>
      <c r="CF72">
        <f t="shared" ca="1" si="47"/>
        <v>3</v>
      </c>
      <c r="CL72">
        <f t="shared" ca="1" si="48"/>
        <v>1</v>
      </c>
      <c r="CM72">
        <f t="shared" ca="1" si="48"/>
        <v>1</v>
      </c>
      <c r="CN72">
        <f t="shared" ca="1" si="48"/>
        <v>1</v>
      </c>
      <c r="CO72">
        <f t="shared" ca="1" si="48"/>
        <v>1</v>
      </c>
      <c r="CP72">
        <f t="shared" ca="1" si="48"/>
        <v>1</v>
      </c>
      <c r="CQ72">
        <f t="shared" ca="1" si="48"/>
        <v>1</v>
      </c>
      <c r="CR72">
        <f t="shared" ca="1" si="48"/>
        <v>1</v>
      </c>
      <c r="CS72">
        <f t="shared" ca="1" si="48"/>
        <v>1</v>
      </c>
      <c r="CT72">
        <f t="shared" ca="1" si="48"/>
        <v>1</v>
      </c>
      <c r="CU72">
        <f t="shared" ca="1" si="48"/>
        <v>1</v>
      </c>
      <c r="CV72">
        <f t="shared" ca="1" si="48"/>
        <v>1</v>
      </c>
      <c r="CW72">
        <f t="shared" ca="1" si="48"/>
        <v>1</v>
      </c>
      <c r="DC72" cm="1">
        <f t="array" aca="1" ref="DC72" ca="1">IF(ISNA(E72),,OFFSET(INDIRECT("'"&amp;DT$67&amp;"'!f1"),E72-1,))*1</f>
        <v>6.7334399999992897E-2</v>
      </c>
      <c r="DD72" cm="1">
        <f t="array" aca="1" ref="DD72" ca="1">IF(ISNA(F72),,OFFSET(INDIRECT("'"&amp;DU$67&amp;"'!f1"),F72-1,))*1</f>
        <v>0.51865816699998302</v>
      </c>
      <c r="DE72" cm="1">
        <f t="array" aca="1" ref="DE72" ca="1">IF(ISNA(G72),,OFFSET(INDIRECT("'"&amp;DV$67&amp;"'!f1"),G72-1,))*1</f>
        <v>0.18474645899999501</v>
      </c>
      <c r="DF72" cm="1">
        <f t="array" aca="1" ref="DF72" ca="1">IF(ISNA(H72),,OFFSET(INDIRECT("'"&amp;DW$67&amp;"'!f1"),H72-1,))*1</f>
        <v>5.05600049999941E-2</v>
      </c>
      <c r="DG72" cm="1">
        <f t="array" aca="1" ref="DG72" ca="1">IF(ISNA(I72),,OFFSET(INDIRECT("'"&amp;DX$67&amp;"'!f1"),I72-1,))*1</f>
        <v>0.11268312501488199</v>
      </c>
      <c r="DH72" cm="1">
        <f t="array" aca="1" ref="DH72" ca="1">IF(ISNA(J72),,OFFSET(INDIRECT("'"&amp;DY$67&amp;"'!f1"),J72-1,))*1</f>
        <v>0.22740771899998399</v>
      </c>
      <c r="DI72" cm="1">
        <f t="array" aca="1" ref="DI72" ca="1">IF(ISNA(K72),,OFFSET(INDIRECT("'"&amp;DZ$67&amp;"'!f1"),K72-1,))*1</f>
        <v>2.8614557106047802</v>
      </c>
      <c r="DJ72" cm="1">
        <f t="array" aca="1" ref="DJ72" ca="1">IF(ISNA(L72),,OFFSET(INDIRECT("'"&amp;EA$67&amp;"'!f1"),L72-1,))*1</f>
        <v>3.5871522827073901</v>
      </c>
      <c r="DK72" cm="1">
        <f t="array" aca="1" ref="DK72" ca="1">IF(ISNA(M72),,OFFSET(INDIRECT("'"&amp;EB$67&amp;"'!f1"),M72-1,))*1</f>
        <v>30.544077162000001</v>
      </c>
      <c r="DL72" cm="1">
        <f t="array" aca="1" ref="DL72" ca="1">IF(ISNA(N72),,OFFSET(INDIRECT("'"&amp;EC$67&amp;"'!f1"),N72-1,))*1</f>
        <v>1.5606151000014201E-2</v>
      </c>
      <c r="DM72" cm="1">
        <f t="array" aca="1" ref="DM72" ca="1">IF(ISNA(O72),,OFFSET(INDIRECT("'"&amp;ED$67&amp;"'!f1"),O72-1,))*1</f>
        <v>1.3601387999983601E-2</v>
      </c>
      <c r="DN72" cm="1">
        <f t="array" aca="1" ref="DN72" ca="1">IF(ISNA(P72),,OFFSET(INDIRECT("'"&amp;EE$67&amp;"'!f1"),P72-1,))*1</f>
        <v>1.2168709999997401E-2</v>
      </c>
      <c r="DT72">
        <f t="shared" ca="1" si="71"/>
        <v>1</v>
      </c>
      <c r="DU72">
        <f t="shared" ca="1" si="49"/>
        <v>1</v>
      </c>
      <c r="DV72">
        <f t="shared" ca="1" si="49"/>
        <v>1</v>
      </c>
      <c r="DW72">
        <f t="shared" ca="1" si="49"/>
        <v>1</v>
      </c>
      <c r="DX72">
        <f t="shared" ca="1" si="49"/>
        <v>1</v>
      </c>
      <c r="DY72">
        <f t="shared" ca="1" si="49"/>
        <v>1</v>
      </c>
      <c r="DZ72">
        <f t="shared" ca="1" si="49"/>
        <v>9978</v>
      </c>
      <c r="EA72">
        <f t="shared" ca="1" si="49"/>
        <v>10000</v>
      </c>
      <c r="EB72">
        <f t="shared" ca="1" si="49"/>
        <v>9261</v>
      </c>
      <c r="EC72">
        <f t="shared" ca="1" si="49"/>
        <v>1</v>
      </c>
      <c r="ED72">
        <f t="shared" ca="1" si="49"/>
        <v>1</v>
      </c>
      <c r="EE72">
        <f t="shared" ca="1" si="49"/>
        <v>2</v>
      </c>
      <c r="EK72" cm="1">
        <f t="array" aca="1" ref="EK72" ca="1">IF(ISNA(E72),0,OFFSET(INDIRECT("'"&amp;EK$67&amp;"'!g1"),E72-1,)*CL72)</f>
        <v>1</v>
      </c>
      <c r="EL72" cm="1">
        <f t="array" aca="1" ref="EL72" ca="1">IF(ISNA(F72),0,OFFSET(INDIRECT("'"&amp;EL$67&amp;"'!g1"),F72-1,)*CM72)</f>
        <v>1</v>
      </c>
      <c r="EM72" cm="1">
        <f t="array" aca="1" ref="EM72" ca="1">IF(ISNA(G72),0,OFFSET(INDIRECT("'"&amp;EM$67&amp;"'!g1"),G72-1,)*CN72)</f>
        <v>1</v>
      </c>
      <c r="EN72" cm="1">
        <f t="array" aca="1" ref="EN72" ca="1">IF(ISNA(H72),0,OFFSET(INDIRECT("'"&amp;EN$67&amp;"'!g1"),H72-1,)*CO72)</f>
        <v>1</v>
      </c>
      <c r="EO72" cm="1">
        <f t="array" aca="1" ref="EO72" ca="1">IF(ISNA(I72),0,OFFSET(INDIRECT("'"&amp;EO$67&amp;"'!g1"),I72-1,)*CP72)</f>
        <v>1</v>
      </c>
      <c r="EP72" cm="1">
        <f t="array" aca="1" ref="EP72" ca="1">IF(ISNA(J72),0,OFFSET(INDIRECT("'"&amp;EP$67&amp;"'!g1"),J72-1,)*CQ72)</f>
        <v>1</v>
      </c>
      <c r="EQ72" cm="1">
        <f t="array" aca="1" ref="EQ72" ca="1">IF(ISNA(K72),0,OFFSET(INDIRECT("'"&amp;EQ$67&amp;"'!g1"),K72-1,)*CR72)</f>
        <v>9978</v>
      </c>
      <c r="ER72" cm="1">
        <f t="array" aca="1" ref="ER72" ca="1">IF(ISNA(L72),0,OFFSET(INDIRECT("'"&amp;ER$67&amp;"'!g1"),L72-1,)*CS72)</f>
        <v>10000</v>
      </c>
      <c r="ES72" cm="1">
        <f t="array" aca="1" ref="ES72" ca="1">IF(ISNA(M72),0,OFFSET(INDIRECT("'"&amp;ES$67&amp;"'!g1"),M72-1,)*CT72)</f>
        <v>9261</v>
      </c>
      <c r="ET72" cm="1">
        <f t="array" aca="1" ref="ET72" ca="1">IF(ISNA(N72),0,OFFSET(INDIRECT("'"&amp;ET$67&amp;"'!g1"),N72-1,)*CU72)</f>
        <v>1</v>
      </c>
      <c r="EU72" cm="1">
        <f t="array" aca="1" ref="EU72" ca="1">IF(ISNA(O72),0,OFFSET(INDIRECT("'"&amp;EU$67&amp;"'!g1"),O72-1,)*CV72)</f>
        <v>1</v>
      </c>
      <c r="EV72" cm="1">
        <f t="array" aca="1" ref="EV72" ca="1">IF(ISNA(P72),0,OFFSET(INDIRECT("'"&amp;EV$67&amp;"'!g1"),P72-1,)*CW72)</f>
        <v>2</v>
      </c>
      <c r="FB72" s="10" cm="1">
        <f t="array" aca="1" ref="FB72" ca="1">IF(ISNA(E72),0,OFFSET(INDIRECT("'"&amp;EK$67&amp;"'!h1"),E72-1,))</f>
        <v>1</v>
      </c>
      <c r="FC72" s="10" cm="1">
        <f t="array" aca="1" ref="FC72" ca="1">IF(ISNA(F72),0,OFFSET(INDIRECT("'"&amp;EL$67&amp;"'!h1"),F72-1,))</f>
        <v>1</v>
      </c>
      <c r="FD72" s="10" cm="1">
        <f t="array" aca="1" ref="FD72" ca="1">IF(ISNA(G72),0,OFFSET(INDIRECT("'"&amp;EM$67&amp;"'!h1"),G72-1,))</f>
        <v>1</v>
      </c>
      <c r="FE72" s="10" cm="1">
        <f t="array" aca="1" ref="FE72" ca="1">IF(ISNA(H72),0,OFFSET(INDIRECT("'"&amp;EN$67&amp;"'!h1"),H72-1,))</f>
        <v>1</v>
      </c>
      <c r="FF72" s="10" cm="1">
        <f t="array" aca="1" ref="FF72" ca="1">IF(ISNA(I72),0,OFFSET(INDIRECT("'"&amp;EO$67&amp;"'!h1"),I72-1,))</f>
        <v>1</v>
      </c>
      <c r="FG72" s="10" cm="1">
        <f t="array" aca="1" ref="FG72" ca="1">IF(ISNA(J72),0,OFFSET(INDIRECT("'"&amp;EP$67&amp;"'!h1"),J72-1,))</f>
        <v>1</v>
      </c>
      <c r="FH72" s="10" cm="1">
        <f t="array" aca="1" ref="FH72" ca="1">IF(ISNA(K72),0,OFFSET(INDIRECT("'"&amp;EQ$67&amp;"'!h1"),K72-1,))</f>
        <v>10000</v>
      </c>
      <c r="FI72" s="10" cm="1">
        <f t="array" aca="1" ref="FI72" ca="1">IF(ISNA(L72),0,OFFSET(INDIRECT("'"&amp;ER$67&amp;"'!h1"),L72-1,))</f>
        <v>10000</v>
      </c>
      <c r="FJ72" s="10" cm="1">
        <f t="array" aca="1" ref="FJ72" ca="1">IF(ISNA(M72),0,OFFSET(INDIRECT("'"&amp;ES$67&amp;"'!h1"),M72-1,))</f>
        <v>10000</v>
      </c>
      <c r="FK72" s="10" cm="1">
        <f t="array" aca="1" ref="FK72" ca="1">IF(ISNA(N72),0,OFFSET(INDIRECT("'"&amp;ET$67&amp;"'!h1"),N72-1,))</f>
        <v>1</v>
      </c>
      <c r="FL72" s="10" cm="1">
        <f t="array" aca="1" ref="FL72" ca="1">IF(ISNA(O72),0,OFFSET(INDIRECT("'"&amp;EU$67&amp;"'!h1"),O72-1,))</f>
        <v>1</v>
      </c>
      <c r="FM72" s="10" cm="1">
        <f t="array" aca="1" ref="FM72" ca="1">IF(ISNA(P72),0,OFFSET(INDIRECT("'"&amp;EV$67&amp;"'!h1"),P72-1,))</f>
        <v>2</v>
      </c>
      <c r="FN72" s="10"/>
      <c r="FO72" s="10"/>
      <c r="FP72" s="10"/>
      <c r="FQ72" s="10"/>
      <c r="FS72">
        <f t="shared" ca="1" si="72"/>
        <v>84</v>
      </c>
      <c r="FT72">
        <f t="shared" ca="1" si="73"/>
        <v>2.8614557106047802</v>
      </c>
      <c r="FU72">
        <f t="shared" ca="1" si="74"/>
        <v>9978</v>
      </c>
      <c r="FV72">
        <f t="shared" ca="1" si="75"/>
        <v>10000</v>
      </c>
      <c r="FW72" s="4">
        <f t="shared" ca="1" si="76"/>
        <v>0.99780000000000002</v>
      </c>
      <c r="FX72" s="5">
        <f t="shared" ca="1" si="77"/>
        <v>2.8677647931497094E-4</v>
      </c>
      <c r="FZ72" s="13">
        <f t="shared" ca="1" si="50"/>
        <v>84</v>
      </c>
      <c r="GA72" s="23">
        <f t="shared" ca="1" si="78"/>
        <v>0</v>
      </c>
      <c r="GB72" s="23">
        <f t="shared" ca="1" si="51"/>
        <v>0</v>
      </c>
      <c r="GC72" s="23">
        <f t="shared" ca="1" si="51"/>
        <v>0</v>
      </c>
      <c r="GD72" s="23">
        <f t="shared" ca="1" si="51"/>
        <v>0</v>
      </c>
      <c r="GE72" s="23">
        <f t="shared" ca="1" si="51"/>
        <v>0</v>
      </c>
      <c r="GF72" s="23">
        <f t="shared" ca="1" si="51"/>
        <v>0</v>
      </c>
      <c r="GG72" s="23">
        <f t="shared" ca="1" si="51"/>
        <v>0</v>
      </c>
      <c r="GH72" s="23">
        <f t="shared" ca="1" si="51"/>
        <v>0</v>
      </c>
      <c r="GI72" s="23">
        <f t="shared" ca="1" si="51"/>
        <v>0</v>
      </c>
      <c r="GJ72" s="23">
        <f t="shared" ca="1" si="51"/>
        <v>0</v>
      </c>
      <c r="GK72" s="23">
        <f t="shared" ca="1" si="51"/>
        <v>0</v>
      </c>
      <c r="GL72" s="23">
        <f t="shared" ca="1" si="51"/>
        <v>0</v>
      </c>
      <c r="GM72" s="23"/>
      <c r="GN72">
        <f t="shared" ca="1" si="79"/>
        <v>84</v>
      </c>
      <c r="GO72" s="5">
        <f t="shared" ca="1" si="80"/>
        <v>6.7334399999992897E-2</v>
      </c>
      <c r="GP72" s="5">
        <f t="shared" ca="1" si="52"/>
        <v>0.51865816699998302</v>
      </c>
      <c r="GQ72" s="5">
        <f t="shared" ca="1" si="52"/>
        <v>0.18474645899999501</v>
      </c>
      <c r="GR72" s="5">
        <f t="shared" ca="1" si="52"/>
        <v>5.05600049999941E-2</v>
      </c>
      <c r="GS72" s="5">
        <f t="shared" ca="1" si="52"/>
        <v>0.11268312501488199</v>
      </c>
      <c r="GT72" s="5">
        <f t="shared" ca="1" si="81"/>
        <v>0.22740771899998399</v>
      </c>
      <c r="GU72" s="5">
        <f t="shared" ca="1" si="53"/>
        <v>2.8677647931497094E-4</v>
      </c>
      <c r="GV72" s="5">
        <f t="shared" ca="1" si="53"/>
        <v>3.5871522827073902E-4</v>
      </c>
      <c r="GW72" s="5">
        <f t="shared" ca="1" si="53"/>
        <v>3.2981402831227728E-3</v>
      </c>
      <c r="GX72" s="5">
        <f t="shared" ca="1" si="53"/>
        <v>1.5606151000014201E-2</v>
      </c>
      <c r="GY72" s="5">
        <f t="shared" ca="1" si="53"/>
        <v>1.3601387999983601E-2</v>
      </c>
      <c r="GZ72" s="5">
        <f t="shared" ca="1" si="53"/>
        <v>6.0843549999987003E-3</v>
      </c>
      <c r="HB72" s="13">
        <f t="shared" ca="1" si="54"/>
        <v>84</v>
      </c>
      <c r="HC72" s="4">
        <f t="shared" ca="1" si="82"/>
        <v>1</v>
      </c>
      <c r="HD72" s="4">
        <f t="shared" ca="1" si="55"/>
        <v>1</v>
      </c>
      <c r="HE72" s="4">
        <f t="shared" ca="1" si="55"/>
        <v>1</v>
      </c>
      <c r="HF72" s="4">
        <f t="shared" ca="1" si="55"/>
        <v>1</v>
      </c>
      <c r="HG72" s="4">
        <f t="shared" ca="1" si="55"/>
        <v>1</v>
      </c>
      <c r="HH72" s="4">
        <f t="shared" ca="1" si="55"/>
        <v>1</v>
      </c>
      <c r="HI72" s="4">
        <f t="shared" ca="1" si="55"/>
        <v>0.99780000000000002</v>
      </c>
      <c r="HJ72" s="4">
        <f t="shared" ca="1" si="55"/>
        <v>1</v>
      </c>
      <c r="HK72" s="4">
        <f t="shared" ca="1" si="55"/>
        <v>0.92610000000000003</v>
      </c>
      <c r="HL72" s="4">
        <f t="shared" ca="1" si="55"/>
        <v>1</v>
      </c>
      <c r="HM72" s="4">
        <f t="shared" ca="1" si="55"/>
        <v>1</v>
      </c>
      <c r="HN72" s="4">
        <f t="shared" ca="1" si="55"/>
        <v>1</v>
      </c>
    </row>
    <row r="73" spans="1:222" x14ac:dyDescent="0.2">
      <c r="A73" t="str" cm="1">
        <f t="array" aca="1" ref="A73" ca="1">INDIRECT($A$67&amp;"!A"&amp;ROW(C6)+$B$64)</f>
        <v>[[96,10,0]]</v>
      </c>
      <c r="B73" cm="1">
        <f t="array" aca="1" ref="B73" ca="1">INDIRECT($A$67&amp;"!b"&amp;ROW(D6)+$B$64)</f>
        <v>96</v>
      </c>
      <c r="C73">
        <f t="shared" ca="1" si="56"/>
        <v>4</v>
      </c>
      <c r="E73">
        <f t="shared" ca="1" si="83"/>
        <v>30</v>
      </c>
      <c r="F73">
        <f t="shared" ca="1" si="57"/>
        <v>31</v>
      </c>
      <c r="G73">
        <f t="shared" ca="1" si="58"/>
        <v>30</v>
      </c>
      <c r="H73">
        <f t="shared" ca="1" si="59"/>
        <v>30</v>
      </c>
      <c r="I73">
        <f t="shared" ca="1" si="60"/>
        <v>33</v>
      </c>
      <c r="J73">
        <f t="shared" ca="1" si="61"/>
        <v>30</v>
      </c>
      <c r="K73">
        <f t="shared" ca="1" si="62"/>
        <v>37</v>
      </c>
      <c r="L73">
        <f t="shared" ca="1" si="63"/>
        <v>39</v>
      </c>
      <c r="M73">
        <f t="shared" ca="1" si="64"/>
        <v>36</v>
      </c>
      <c r="N73">
        <f t="shared" ca="1" si="65"/>
        <v>30</v>
      </c>
      <c r="O73">
        <f t="shared" ca="1" si="66"/>
        <v>30</v>
      </c>
      <c r="P73">
        <f t="shared" ca="1" si="67"/>
        <v>30</v>
      </c>
      <c r="V73" cm="1">
        <f t="array" aca="1" ref="V73" ca="1">IF(ISNA(E73),,OFFSET(INDIRECT("'"&amp;V$67&amp;"'!d1"),E73-1,))</f>
        <v>4</v>
      </c>
      <c r="W73" cm="1">
        <f t="array" aca="1" ref="W73" ca="1">IF(ISNA(F73),,OFFSET(INDIRECT("'"&amp;W$67&amp;"'!d1"),F73-1,))</f>
        <v>4</v>
      </c>
      <c r="X73" cm="1">
        <f t="array" aca="1" ref="X73" ca="1">IF(ISNA(G73),,OFFSET(INDIRECT("'"&amp;X$67&amp;"'!d1"),G73-1,))</f>
        <v>4</v>
      </c>
      <c r="Y73" cm="1">
        <f t="array" aca="1" ref="Y73" ca="1">IF(ISNA(H73),,OFFSET(INDIRECT("'"&amp;Y$67&amp;"'!d1"),H73-1,))</f>
        <v>4</v>
      </c>
      <c r="Z73" cm="1">
        <f t="array" aca="1" ref="Z73" ca="1">IF(ISNA(I73),,OFFSET(INDIRECT("'"&amp;Z$67&amp;"'!d1"),I73-1,))</f>
        <v>4</v>
      </c>
      <c r="AA73" cm="1">
        <f t="array" aca="1" ref="AA73" ca="1">IF(ISNA(J73),,OFFSET(INDIRECT("'"&amp;AA$67&amp;"'!d1"),J73-1,))</f>
        <v>4</v>
      </c>
      <c r="AB73" cm="1">
        <f t="array" aca="1" ref="AB73" ca="1">IF(ISNA(K73),,OFFSET(INDIRECT("'"&amp;AB$67&amp;"'!d1"),K73-1,))</f>
        <v>4</v>
      </c>
      <c r="AC73" cm="1">
        <f t="array" aca="1" ref="AC73" ca="1">IF(ISNA(L73),,OFFSET(INDIRECT("'"&amp;AC$67&amp;"'!d1"),L73-1,))</f>
        <v>4</v>
      </c>
      <c r="AD73" cm="1">
        <f t="array" aca="1" ref="AD73" ca="1">IF(ISNA(M73),,OFFSET(INDIRECT("'"&amp;AD$67&amp;"'!d1"),M73-1,))</f>
        <v>4</v>
      </c>
      <c r="AE73" cm="1">
        <f t="array" aca="1" ref="AE73" ca="1">IF(ISNA(N73),,OFFSET(INDIRECT("'"&amp;AE$67&amp;"'!d1"),N73-1,))</f>
        <v>4</v>
      </c>
      <c r="AF73" cm="1">
        <f t="array" aca="1" ref="AF73" ca="1">IF(ISNA(O73),,OFFSET(INDIRECT("'"&amp;AF$67&amp;"'!d1"),O73-1,))</f>
        <v>4</v>
      </c>
      <c r="AG73" cm="1">
        <f t="array" aca="1" ref="AG73" ca="1">IF(ISNA(P73),,OFFSET(INDIRECT("'"&amp;AG$67&amp;"'!d1"),P73-1,))</f>
        <v>4</v>
      </c>
      <c r="AM73">
        <f t="shared" ca="1" si="68"/>
        <v>1</v>
      </c>
      <c r="AN73">
        <f t="shared" ca="1" si="44"/>
        <v>1</v>
      </c>
      <c r="AO73">
        <f t="shared" ca="1" si="44"/>
        <v>1</v>
      </c>
      <c r="AP73">
        <f t="shared" ca="1" si="44"/>
        <v>1</v>
      </c>
      <c r="AQ73">
        <f t="shared" ca="1" si="69"/>
        <v>1</v>
      </c>
      <c r="AV73" t="b">
        <f t="shared" ca="1" si="70"/>
        <v>1</v>
      </c>
      <c r="AW73" t="b">
        <f t="shared" ca="1" si="45"/>
        <v>1</v>
      </c>
      <c r="AX73" t="b">
        <f t="shared" ca="1" si="45"/>
        <v>1</v>
      </c>
      <c r="AY73" t="b">
        <f t="shared" ca="1" si="45"/>
        <v>1</v>
      </c>
      <c r="AZ73" t="b">
        <f t="shared" ca="1" si="45"/>
        <v>1</v>
      </c>
      <c r="BD73">
        <f t="shared" ca="1" si="46"/>
        <v>1</v>
      </c>
      <c r="BE73">
        <f t="shared" ca="1" si="46"/>
        <v>1</v>
      </c>
      <c r="BF73">
        <f t="shared" ca="1" si="46"/>
        <v>1</v>
      </c>
      <c r="BG73">
        <f t="shared" ca="1" si="46"/>
        <v>1</v>
      </c>
      <c r="BH73">
        <f t="shared" ca="1" si="46"/>
        <v>1</v>
      </c>
      <c r="BI73">
        <f t="shared" ca="1" si="46"/>
        <v>1</v>
      </c>
      <c r="BJ73">
        <f t="shared" ca="1" si="46"/>
        <v>1</v>
      </c>
      <c r="BK73">
        <f t="shared" ca="1" si="46"/>
        <v>1</v>
      </c>
      <c r="BL73">
        <f t="shared" ca="1" si="46"/>
        <v>1</v>
      </c>
      <c r="BM73">
        <f t="shared" ca="1" si="46"/>
        <v>1</v>
      </c>
      <c r="BN73">
        <f t="shared" ca="1" si="46"/>
        <v>1</v>
      </c>
      <c r="BO73">
        <f t="shared" ca="1" si="46"/>
        <v>1</v>
      </c>
      <c r="BU73">
        <f t="shared" ca="1" si="47"/>
        <v>4</v>
      </c>
      <c r="BV73">
        <f t="shared" ca="1" si="47"/>
        <v>4</v>
      </c>
      <c r="BW73">
        <f t="shared" ca="1" si="47"/>
        <v>4</v>
      </c>
      <c r="BX73">
        <f t="shared" ca="1" si="47"/>
        <v>4</v>
      </c>
      <c r="BY73">
        <f t="shared" ca="1" si="47"/>
        <v>4</v>
      </c>
      <c r="BZ73">
        <f t="shared" ca="1" si="47"/>
        <v>4</v>
      </c>
      <c r="CA73">
        <f t="shared" ca="1" si="47"/>
        <v>4</v>
      </c>
      <c r="CB73">
        <f t="shared" ca="1" si="47"/>
        <v>4</v>
      </c>
      <c r="CC73">
        <f t="shared" ca="1" si="47"/>
        <v>4</v>
      </c>
      <c r="CD73">
        <f t="shared" ca="1" si="47"/>
        <v>4</v>
      </c>
      <c r="CE73">
        <f t="shared" ca="1" si="47"/>
        <v>4</v>
      </c>
      <c r="CF73">
        <f t="shared" ca="1" si="47"/>
        <v>4</v>
      </c>
      <c r="CL73">
        <f t="shared" ca="1" si="48"/>
        <v>1</v>
      </c>
      <c r="CM73">
        <f t="shared" ca="1" si="48"/>
        <v>1</v>
      </c>
      <c r="CN73">
        <f t="shared" ca="1" si="48"/>
        <v>1</v>
      </c>
      <c r="CO73">
        <f t="shared" ca="1" si="48"/>
        <v>1</v>
      </c>
      <c r="CP73">
        <f t="shared" ca="1" si="48"/>
        <v>1</v>
      </c>
      <c r="CQ73">
        <f t="shared" ca="1" si="48"/>
        <v>1</v>
      </c>
      <c r="CR73">
        <f t="shared" ca="1" si="48"/>
        <v>1</v>
      </c>
      <c r="CS73">
        <f t="shared" ca="1" si="48"/>
        <v>1</v>
      </c>
      <c r="CT73">
        <f t="shared" ca="1" si="48"/>
        <v>1</v>
      </c>
      <c r="CU73">
        <f t="shared" ca="1" si="48"/>
        <v>1</v>
      </c>
      <c r="CV73">
        <f t="shared" ca="1" si="48"/>
        <v>1</v>
      </c>
      <c r="CW73">
        <f t="shared" ca="1" si="48"/>
        <v>1</v>
      </c>
      <c r="DC73" cm="1">
        <f t="array" aca="1" ref="DC73" ca="1">IF(ISNA(E73),,OFFSET(INDIRECT("'"&amp;DT$67&amp;"'!f1"),E73-1,))*1</f>
        <v>0.11192677600001801</v>
      </c>
      <c r="DD73" cm="1">
        <f t="array" aca="1" ref="DD73" ca="1">IF(ISNA(F73),,OFFSET(INDIRECT("'"&amp;DU$67&amp;"'!f1"),F73-1,))*1</f>
        <v>0.47393867400001</v>
      </c>
      <c r="DE73" cm="1">
        <f t="array" aca="1" ref="DE73" ca="1">IF(ISNA(G73),,OFFSET(INDIRECT("'"&amp;DV$67&amp;"'!f1"),G73-1,))*1</f>
        <v>0.208793090999989</v>
      </c>
      <c r="DF73" cm="1">
        <f t="array" aca="1" ref="DF73" ca="1">IF(ISNA(H73),,OFFSET(INDIRECT("'"&amp;DW$67&amp;"'!f1"),H73-1,))*1</f>
        <v>5.0963901000017103E-2</v>
      </c>
      <c r="DG73" cm="1">
        <f t="array" aca="1" ref="DG73" ca="1">IF(ISNA(I73),,OFFSET(INDIRECT("'"&amp;DX$67&amp;"'!f1"),I73-1,))*1</f>
        <v>0.13686404202599001</v>
      </c>
      <c r="DH73" cm="1">
        <f t="array" aca="1" ref="DH73" ca="1">IF(ISNA(J73),,OFFSET(INDIRECT("'"&amp;DY$67&amp;"'!f1"),J73-1,))*1</f>
        <v>0.30276896800000902</v>
      </c>
      <c r="DI73" cm="1">
        <f t="array" aca="1" ref="DI73" ca="1">IF(ISNA(K73),,OFFSET(INDIRECT("'"&amp;DZ$67&amp;"'!f1"),K73-1,))*1</f>
        <v>3.78560858778655</v>
      </c>
      <c r="DJ73" cm="1">
        <f t="array" aca="1" ref="DJ73" ca="1">IF(ISNA(L73),,OFFSET(INDIRECT("'"&amp;EA$67&amp;"'!f1"),L73-1,))*1</f>
        <v>5.5740961711853698</v>
      </c>
      <c r="DK73" cm="1">
        <f t="array" aca="1" ref="DK73" ca="1">IF(ISNA(M73),,OFFSET(INDIRECT("'"&amp;EB$67&amp;"'!f1"),M73-1,))*1</f>
        <v>34.925642746999898</v>
      </c>
      <c r="DL73" cm="1">
        <f t="array" aca="1" ref="DL73" ca="1">IF(ISNA(N73),,OFFSET(INDIRECT("'"&amp;EC$67&amp;"'!f1"),N73-1,))*1</f>
        <v>1.5376677000006099E-2</v>
      </c>
      <c r="DM73" cm="1">
        <f t="array" aca="1" ref="DM73" ca="1">IF(ISNA(O73),,OFFSET(INDIRECT("'"&amp;ED$67&amp;"'!f1"),O73-1,))*1</f>
        <v>1.5499822000009499E-2</v>
      </c>
      <c r="DN73" cm="1">
        <f t="array" aca="1" ref="DN73" ca="1">IF(ISNA(P73),,OFFSET(INDIRECT("'"&amp;EE$67&amp;"'!f1"),P73-1,))*1</f>
        <v>1.7264983000018198E-2</v>
      </c>
      <c r="DT73">
        <f t="shared" ca="1" si="71"/>
        <v>1</v>
      </c>
      <c r="DU73">
        <f t="shared" ca="1" si="49"/>
        <v>1</v>
      </c>
      <c r="DV73">
        <f t="shared" ca="1" si="49"/>
        <v>1</v>
      </c>
      <c r="DW73">
        <f t="shared" ca="1" si="49"/>
        <v>1</v>
      </c>
      <c r="DX73">
        <f t="shared" ca="1" si="49"/>
        <v>1</v>
      </c>
      <c r="DY73">
        <f t="shared" ca="1" si="49"/>
        <v>1</v>
      </c>
      <c r="DZ73">
        <f t="shared" ca="1" si="49"/>
        <v>9995</v>
      </c>
      <c r="EA73">
        <f t="shared" ca="1" si="49"/>
        <v>10000</v>
      </c>
      <c r="EB73">
        <f t="shared" ca="1" si="49"/>
        <v>9930</v>
      </c>
      <c r="EC73">
        <f t="shared" ca="1" si="49"/>
        <v>1</v>
      </c>
      <c r="ED73">
        <f t="shared" ca="1" si="49"/>
        <v>1</v>
      </c>
      <c r="EE73">
        <f t="shared" ca="1" si="49"/>
        <v>2</v>
      </c>
      <c r="EK73" cm="1">
        <f t="array" aca="1" ref="EK73" ca="1">IF(ISNA(E73),0,OFFSET(INDIRECT("'"&amp;EK$67&amp;"'!g1"),E73-1,)*CL73)</f>
        <v>1</v>
      </c>
      <c r="EL73" cm="1">
        <f t="array" aca="1" ref="EL73" ca="1">IF(ISNA(F73),0,OFFSET(INDIRECT("'"&amp;EL$67&amp;"'!g1"),F73-1,)*CM73)</f>
        <v>1</v>
      </c>
      <c r="EM73" cm="1">
        <f t="array" aca="1" ref="EM73" ca="1">IF(ISNA(G73),0,OFFSET(INDIRECT("'"&amp;EM$67&amp;"'!g1"),G73-1,)*CN73)</f>
        <v>1</v>
      </c>
      <c r="EN73" cm="1">
        <f t="array" aca="1" ref="EN73" ca="1">IF(ISNA(H73),0,OFFSET(INDIRECT("'"&amp;EN$67&amp;"'!g1"),H73-1,)*CO73)</f>
        <v>1</v>
      </c>
      <c r="EO73" cm="1">
        <f t="array" aca="1" ref="EO73" ca="1">IF(ISNA(I73),0,OFFSET(INDIRECT("'"&amp;EO$67&amp;"'!g1"),I73-1,)*CP73)</f>
        <v>1</v>
      </c>
      <c r="EP73" cm="1">
        <f t="array" aca="1" ref="EP73" ca="1">IF(ISNA(J73),0,OFFSET(INDIRECT("'"&amp;EP$67&amp;"'!g1"),J73-1,)*CQ73)</f>
        <v>1</v>
      </c>
      <c r="EQ73" cm="1">
        <f t="array" aca="1" ref="EQ73" ca="1">IF(ISNA(K73),0,OFFSET(INDIRECT("'"&amp;EQ$67&amp;"'!g1"),K73-1,)*CR73)</f>
        <v>9995</v>
      </c>
      <c r="ER73" cm="1">
        <f t="array" aca="1" ref="ER73" ca="1">IF(ISNA(L73),0,OFFSET(INDIRECT("'"&amp;ER$67&amp;"'!g1"),L73-1,)*CS73)</f>
        <v>10000</v>
      </c>
      <c r="ES73" cm="1">
        <f t="array" aca="1" ref="ES73" ca="1">IF(ISNA(M73),0,OFFSET(INDIRECT("'"&amp;ES$67&amp;"'!g1"),M73-1,)*CT73)</f>
        <v>9930</v>
      </c>
      <c r="ET73" cm="1">
        <f t="array" aca="1" ref="ET73" ca="1">IF(ISNA(N73),0,OFFSET(INDIRECT("'"&amp;ET$67&amp;"'!g1"),N73-1,)*CU73)</f>
        <v>1</v>
      </c>
      <c r="EU73" cm="1">
        <f t="array" aca="1" ref="EU73" ca="1">IF(ISNA(O73),0,OFFSET(INDIRECT("'"&amp;EU$67&amp;"'!g1"),O73-1,)*CV73)</f>
        <v>1</v>
      </c>
      <c r="EV73" cm="1">
        <f t="array" aca="1" ref="EV73" ca="1">IF(ISNA(P73),0,OFFSET(INDIRECT("'"&amp;EV$67&amp;"'!g1"),P73-1,)*CW73)</f>
        <v>2</v>
      </c>
      <c r="FB73" s="10" cm="1">
        <f t="array" aca="1" ref="FB73" ca="1">IF(ISNA(E73),0,OFFSET(INDIRECT("'"&amp;EK$67&amp;"'!h1"),E73-1,))</f>
        <v>1</v>
      </c>
      <c r="FC73" s="10" cm="1">
        <f t="array" aca="1" ref="FC73" ca="1">IF(ISNA(F73),0,OFFSET(INDIRECT("'"&amp;EL$67&amp;"'!h1"),F73-1,))</f>
        <v>1</v>
      </c>
      <c r="FD73" s="10" cm="1">
        <f t="array" aca="1" ref="FD73" ca="1">IF(ISNA(G73),0,OFFSET(INDIRECT("'"&amp;EM$67&amp;"'!h1"),G73-1,))</f>
        <v>1</v>
      </c>
      <c r="FE73" s="10" cm="1">
        <f t="array" aca="1" ref="FE73" ca="1">IF(ISNA(H73),0,OFFSET(INDIRECT("'"&amp;EN$67&amp;"'!h1"),H73-1,))</f>
        <v>1</v>
      </c>
      <c r="FF73" s="10" cm="1">
        <f t="array" aca="1" ref="FF73" ca="1">IF(ISNA(I73),0,OFFSET(INDIRECT("'"&amp;EO$67&amp;"'!h1"),I73-1,))</f>
        <v>1</v>
      </c>
      <c r="FG73" s="10" cm="1">
        <f t="array" aca="1" ref="FG73" ca="1">IF(ISNA(J73),0,OFFSET(INDIRECT("'"&amp;EP$67&amp;"'!h1"),J73-1,))</f>
        <v>1</v>
      </c>
      <c r="FH73" s="10" cm="1">
        <f t="array" aca="1" ref="FH73" ca="1">IF(ISNA(K73),0,OFFSET(INDIRECT("'"&amp;EQ$67&amp;"'!h1"),K73-1,))</f>
        <v>10000</v>
      </c>
      <c r="FI73" s="10" cm="1">
        <f t="array" aca="1" ref="FI73" ca="1">IF(ISNA(L73),0,OFFSET(INDIRECT("'"&amp;ER$67&amp;"'!h1"),L73-1,))</f>
        <v>10000</v>
      </c>
      <c r="FJ73" s="10" cm="1">
        <f t="array" aca="1" ref="FJ73" ca="1">IF(ISNA(M73),0,OFFSET(INDIRECT("'"&amp;ES$67&amp;"'!h1"),M73-1,))</f>
        <v>10000</v>
      </c>
      <c r="FK73" s="10" cm="1">
        <f t="array" aca="1" ref="FK73" ca="1">IF(ISNA(N73),0,OFFSET(INDIRECT("'"&amp;ET$67&amp;"'!h1"),N73-1,))</f>
        <v>1</v>
      </c>
      <c r="FL73" s="10" cm="1">
        <f t="array" aca="1" ref="FL73" ca="1">IF(ISNA(O73),0,OFFSET(INDIRECT("'"&amp;EU$67&amp;"'!h1"),O73-1,))</f>
        <v>1</v>
      </c>
      <c r="FM73" s="10" cm="1">
        <f t="array" aca="1" ref="FM73" ca="1">IF(ISNA(P73),0,OFFSET(INDIRECT("'"&amp;EV$67&amp;"'!h1"),P73-1,))</f>
        <v>2</v>
      </c>
      <c r="FN73" s="10"/>
      <c r="FO73" s="10"/>
      <c r="FP73" s="10"/>
      <c r="FQ73" s="10"/>
      <c r="FS73">
        <f t="shared" ca="1" si="72"/>
        <v>96</v>
      </c>
      <c r="FT73">
        <f t="shared" ca="1" si="73"/>
        <v>3.78560858778655</v>
      </c>
      <c r="FU73">
        <f t="shared" ca="1" si="74"/>
        <v>9995</v>
      </c>
      <c r="FV73">
        <f t="shared" ca="1" si="75"/>
        <v>10000</v>
      </c>
      <c r="FW73" s="4">
        <f t="shared" ca="1" si="76"/>
        <v>0.99950000000000006</v>
      </c>
      <c r="FX73" s="5">
        <f t="shared" ca="1" si="77"/>
        <v>3.7875023389560277E-4</v>
      </c>
      <c r="FZ73" s="13">
        <f t="shared" ca="1" si="50"/>
        <v>96</v>
      </c>
      <c r="GA73" s="23">
        <f t="shared" ca="1" si="78"/>
        <v>0</v>
      </c>
      <c r="GB73" s="23">
        <f t="shared" ca="1" si="51"/>
        <v>0</v>
      </c>
      <c r="GC73" s="23">
        <f t="shared" ca="1" si="51"/>
        <v>0</v>
      </c>
      <c r="GD73" s="23">
        <f t="shared" ca="1" si="51"/>
        <v>0</v>
      </c>
      <c r="GE73" s="23">
        <f t="shared" ca="1" si="51"/>
        <v>0</v>
      </c>
      <c r="GF73" s="23">
        <f t="shared" ca="1" si="51"/>
        <v>0</v>
      </c>
      <c r="GG73" s="23">
        <f t="shared" ca="1" si="51"/>
        <v>0</v>
      </c>
      <c r="GH73" s="23">
        <f t="shared" ca="1" si="51"/>
        <v>0</v>
      </c>
      <c r="GI73" s="23">
        <f t="shared" ca="1" si="51"/>
        <v>0</v>
      </c>
      <c r="GJ73" s="23">
        <f t="shared" ca="1" si="51"/>
        <v>0</v>
      </c>
      <c r="GK73" s="23">
        <f t="shared" ca="1" si="51"/>
        <v>0</v>
      </c>
      <c r="GL73" s="23">
        <f t="shared" ca="1" si="51"/>
        <v>0</v>
      </c>
      <c r="GM73" s="23"/>
      <c r="GN73">
        <f t="shared" ca="1" si="79"/>
        <v>96</v>
      </c>
      <c r="GO73" s="5">
        <f t="shared" ca="1" si="80"/>
        <v>0.11192677600001801</v>
      </c>
      <c r="GP73" s="5">
        <f t="shared" ca="1" si="52"/>
        <v>0.47393867400001</v>
      </c>
      <c r="GQ73" s="5">
        <f t="shared" ca="1" si="52"/>
        <v>0.208793090999989</v>
      </c>
      <c r="GR73" s="5">
        <f t="shared" ca="1" si="52"/>
        <v>5.0963901000017103E-2</v>
      </c>
      <c r="GS73" s="5">
        <f t="shared" ca="1" si="52"/>
        <v>0.13686404202599001</v>
      </c>
      <c r="GT73" s="5">
        <f t="shared" ca="1" si="81"/>
        <v>0.30276896800000902</v>
      </c>
      <c r="GU73" s="5">
        <f t="shared" ca="1" si="53"/>
        <v>3.7875023389560277E-4</v>
      </c>
      <c r="GV73" s="5">
        <f t="shared" ca="1" si="53"/>
        <v>5.5740961711853697E-4</v>
      </c>
      <c r="GW73" s="5">
        <f t="shared" ca="1" si="53"/>
        <v>3.5171845666666563E-3</v>
      </c>
      <c r="GX73" s="5">
        <f t="shared" ca="1" si="53"/>
        <v>1.5376677000006099E-2</v>
      </c>
      <c r="GY73" s="5">
        <f t="shared" ca="1" si="53"/>
        <v>1.5499822000009499E-2</v>
      </c>
      <c r="GZ73" s="5">
        <f t="shared" ca="1" si="53"/>
        <v>8.6324915000090992E-3</v>
      </c>
      <c r="HB73" s="13">
        <f t="shared" ca="1" si="54"/>
        <v>96</v>
      </c>
      <c r="HC73" s="4">
        <f t="shared" ca="1" si="82"/>
        <v>1</v>
      </c>
      <c r="HD73" s="4">
        <f t="shared" ca="1" si="55"/>
        <v>1</v>
      </c>
      <c r="HE73" s="4">
        <f t="shared" ca="1" si="55"/>
        <v>1</v>
      </c>
      <c r="HF73" s="4">
        <f t="shared" ca="1" si="55"/>
        <v>1</v>
      </c>
      <c r="HG73" s="4">
        <f t="shared" ca="1" si="55"/>
        <v>1</v>
      </c>
      <c r="HH73" s="4">
        <f t="shared" ca="1" si="55"/>
        <v>1</v>
      </c>
      <c r="HI73" s="4">
        <f t="shared" ca="1" si="55"/>
        <v>0.99950000000000006</v>
      </c>
      <c r="HJ73" s="4">
        <f t="shared" ca="1" si="55"/>
        <v>1</v>
      </c>
      <c r="HK73" s="4">
        <f t="shared" ca="1" si="55"/>
        <v>0.99299999999999999</v>
      </c>
      <c r="HL73" s="4">
        <f t="shared" ca="1" si="55"/>
        <v>1</v>
      </c>
      <c r="HM73" s="4">
        <f t="shared" ca="1" si="55"/>
        <v>1</v>
      </c>
      <c r="HN73" s="4">
        <f t="shared" ca="1" si="55"/>
        <v>1</v>
      </c>
    </row>
    <row r="74" spans="1:222" x14ac:dyDescent="0.2">
      <c r="A74" t="str" cm="1">
        <f t="array" aca="1" ref="A74" ca="1">INDIRECT($A$67&amp;"!A"&amp;ROW(C7)+$B$64)</f>
        <v>[[168,16,0]]</v>
      </c>
      <c r="B74" cm="1">
        <f t="array" aca="1" ref="B74" ca="1">INDIRECT($A$67&amp;"!b"&amp;ROW(D7)+$B$64)</f>
        <v>168</v>
      </c>
      <c r="C74">
        <f t="shared" ca="1" si="56"/>
        <v>4</v>
      </c>
      <c r="E74">
        <f t="shared" ca="1" si="83"/>
        <v>31</v>
      </c>
      <c r="F74">
        <f t="shared" ca="1" si="57"/>
        <v>32</v>
      </c>
      <c r="G74">
        <f t="shared" ca="1" si="58"/>
        <v>31</v>
      </c>
      <c r="H74">
        <f t="shared" ca="1" si="59"/>
        <v>31</v>
      </c>
      <c r="I74">
        <f t="shared" ca="1" si="60"/>
        <v>34</v>
      </c>
      <c r="J74">
        <f t="shared" ca="1" si="61"/>
        <v>31</v>
      </c>
      <c r="K74">
        <f t="shared" ca="1" si="62"/>
        <v>38</v>
      </c>
      <c r="L74">
        <f t="shared" ca="1" si="63"/>
        <v>40</v>
      </c>
      <c r="M74">
        <f t="shared" ca="1" si="64"/>
        <v>37</v>
      </c>
      <c r="N74">
        <f t="shared" ca="1" si="65"/>
        <v>31</v>
      </c>
      <c r="O74">
        <f t="shared" ca="1" si="66"/>
        <v>31</v>
      </c>
      <c r="P74">
        <f t="shared" ca="1" si="67"/>
        <v>31</v>
      </c>
      <c r="V74" cm="1">
        <f t="array" aca="1" ref="V74" ca="1">IF(ISNA(E74),,OFFSET(INDIRECT("'"&amp;V$67&amp;"'!d1"),E74-1,))</f>
        <v>4</v>
      </c>
      <c r="W74" cm="1">
        <f t="array" aca="1" ref="W74" ca="1">IF(ISNA(F74),,OFFSET(INDIRECT("'"&amp;W$67&amp;"'!d1"),F74-1,))</f>
        <v>4</v>
      </c>
      <c r="X74" cm="1">
        <f t="array" aca="1" ref="X74" ca="1">IF(ISNA(G74),,OFFSET(INDIRECT("'"&amp;X$67&amp;"'!d1"),G74-1,))</f>
        <v>4</v>
      </c>
      <c r="Y74" cm="1">
        <f t="array" aca="1" ref="Y74" ca="1">IF(ISNA(H74),,OFFSET(INDIRECT("'"&amp;Y$67&amp;"'!d1"),H74-1,))</f>
        <v>4</v>
      </c>
      <c r="Z74" cm="1">
        <f t="array" aca="1" ref="Z74" ca="1">IF(ISNA(I74),,OFFSET(INDIRECT("'"&amp;Z$67&amp;"'!d1"),I74-1,))</f>
        <v>4</v>
      </c>
      <c r="AA74" cm="1">
        <f t="array" aca="1" ref="AA74" ca="1">IF(ISNA(J74),,OFFSET(INDIRECT("'"&amp;AA$67&amp;"'!d1"),J74-1,))</f>
        <v>4</v>
      </c>
      <c r="AB74" cm="1">
        <f t="array" aca="1" ref="AB74" ca="1">IF(ISNA(K74),,OFFSET(INDIRECT("'"&amp;AB$67&amp;"'!d1"),K74-1,))</f>
        <v>4</v>
      </c>
      <c r="AC74" cm="1">
        <f t="array" aca="1" ref="AC74" ca="1">IF(ISNA(L74),,OFFSET(INDIRECT("'"&amp;AC$67&amp;"'!d1"),L74-1,))</f>
        <v>4</v>
      </c>
      <c r="AD74" cm="1">
        <f t="array" aca="1" ref="AD74" ca="1">IF(ISNA(M74),,OFFSET(INDIRECT("'"&amp;AD$67&amp;"'!d1"),M74-1,))</f>
        <v>4</v>
      </c>
      <c r="AE74" cm="1">
        <f t="array" aca="1" ref="AE74" ca="1">IF(ISNA(N74),,OFFSET(INDIRECT("'"&amp;AE$67&amp;"'!d1"),N74-1,))</f>
        <v>4</v>
      </c>
      <c r="AF74" cm="1">
        <f t="array" aca="1" ref="AF74" ca="1">IF(ISNA(O74),,OFFSET(INDIRECT("'"&amp;AF$67&amp;"'!d1"),O74-1,))</f>
        <v>4</v>
      </c>
      <c r="AG74" cm="1">
        <f t="array" aca="1" ref="AG74" ca="1">IF(ISNA(P74),,OFFSET(INDIRECT("'"&amp;AG$67&amp;"'!d1"),P74-1,))</f>
        <v>4</v>
      </c>
      <c r="AM74">
        <f t="shared" ca="1" si="68"/>
        <v>1</v>
      </c>
      <c r="AN74">
        <f t="shared" ca="1" si="44"/>
        <v>1</v>
      </c>
      <c r="AO74">
        <f t="shared" ca="1" si="44"/>
        <v>1</v>
      </c>
      <c r="AP74">
        <f t="shared" ca="1" si="44"/>
        <v>1</v>
      </c>
      <c r="AQ74">
        <f t="shared" ca="1" si="69"/>
        <v>1</v>
      </c>
      <c r="AV74" t="b">
        <f t="shared" ca="1" si="70"/>
        <v>1</v>
      </c>
      <c r="AW74" t="b">
        <f t="shared" ca="1" si="45"/>
        <v>1</v>
      </c>
      <c r="AX74" t="b">
        <f t="shared" ca="1" si="45"/>
        <v>1</v>
      </c>
      <c r="AY74" t="b">
        <f t="shared" ca="1" si="45"/>
        <v>1</v>
      </c>
      <c r="AZ74" t="b">
        <f t="shared" ca="1" si="45"/>
        <v>1</v>
      </c>
      <c r="BD74">
        <f t="shared" ca="1" si="46"/>
        <v>1</v>
      </c>
      <c r="BE74">
        <f t="shared" ca="1" si="46"/>
        <v>1</v>
      </c>
      <c r="BF74">
        <f t="shared" ca="1" si="46"/>
        <v>1</v>
      </c>
      <c r="BG74">
        <f t="shared" ca="1" si="46"/>
        <v>1</v>
      </c>
      <c r="BH74">
        <f t="shared" ca="1" si="46"/>
        <v>1</v>
      </c>
      <c r="BI74">
        <f t="shared" ca="1" si="46"/>
        <v>1</v>
      </c>
      <c r="BJ74">
        <f t="shared" ca="1" si="46"/>
        <v>1</v>
      </c>
      <c r="BK74">
        <f t="shared" ca="1" si="46"/>
        <v>1</v>
      </c>
      <c r="BL74">
        <f t="shared" ca="1" si="46"/>
        <v>1</v>
      </c>
      <c r="BM74">
        <f t="shared" ca="1" si="46"/>
        <v>1</v>
      </c>
      <c r="BN74">
        <f t="shared" ca="1" si="46"/>
        <v>1</v>
      </c>
      <c r="BO74">
        <f t="shared" ca="1" si="46"/>
        <v>1</v>
      </c>
      <c r="BU74">
        <f t="shared" ca="1" si="47"/>
        <v>4</v>
      </c>
      <c r="BV74">
        <f t="shared" ca="1" si="47"/>
        <v>4</v>
      </c>
      <c r="BW74">
        <f t="shared" ca="1" si="47"/>
        <v>4</v>
      </c>
      <c r="BX74">
        <f t="shared" ca="1" si="47"/>
        <v>4</v>
      </c>
      <c r="BY74">
        <f t="shared" ca="1" si="47"/>
        <v>4</v>
      </c>
      <c r="BZ74">
        <f t="shared" ca="1" si="47"/>
        <v>4</v>
      </c>
      <c r="CA74">
        <f t="shared" ca="1" si="47"/>
        <v>4</v>
      </c>
      <c r="CB74">
        <f t="shared" ca="1" si="47"/>
        <v>4</v>
      </c>
      <c r="CC74">
        <f t="shared" ca="1" si="47"/>
        <v>4</v>
      </c>
      <c r="CD74">
        <f t="shared" ca="1" si="47"/>
        <v>4</v>
      </c>
      <c r="CE74">
        <f t="shared" ca="1" si="47"/>
        <v>4</v>
      </c>
      <c r="CF74">
        <f t="shared" ca="1" si="47"/>
        <v>4</v>
      </c>
      <c r="CL74">
        <f t="shared" ca="1" si="48"/>
        <v>1</v>
      </c>
      <c r="CM74">
        <f t="shared" ca="1" si="48"/>
        <v>1</v>
      </c>
      <c r="CN74">
        <f t="shared" ca="1" si="48"/>
        <v>1</v>
      </c>
      <c r="CO74">
        <f t="shared" ca="1" si="48"/>
        <v>1</v>
      </c>
      <c r="CP74">
        <f t="shared" ca="1" si="48"/>
        <v>1</v>
      </c>
      <c r="CQ74">
        <f t="shared" ca="1" si="48"/>
        <v>1</v>
      </c>
      <c r="CR74">
        <f t="shared" ca="1" si="48"/>
        <v>1</v>
      </c>
      <c r="CS74">
        <f t="shared" ca="1" si="48"/>
        <v>1</v>
      </c>
      <c r="CT74">
        <f t="shared" ca="1" si="48"/>
        <v>1</v>
      </c>
      <c r="CU74">
        <f t="shared" ca="1" si="48"/>
        <v>1</v>
      </c>
      <c r="CV74">
        <f t="shared" ca="1" si="48"/>
        <v>1</v>
      </c>
      <c r="CW74">
        <f t="shared" ca="1" si="48"/>
        <v>1</v>
      </c>
      <c r="DC74" cm="1">
        <f t="array" aca="1" ref="DC74" ca="1">IF(ISNA(E74),,OFFSET(INDIRECT("'"&amp;DT$67&amp;"'!f1"),E74-1,))*1</f>
        <v>0.15171580300000101</v>
      </c>
      <c r="DD74" cm="1">
        <f t="array" aca="1" ref="DD74" ca="1">IF(ISNA(F74),,OFFSET(INDIRECT("'"&amp;DU$67&amp;"'!f1"),F74-1,))*1</f>
        <v>1.0122901849999799</v>
      </c>
      <c r="DE74" cm="1">
        <f t="array" aca="1" ref="DE74" ca="1">IF(ISNA(G74),,OFFSET(INDIRECT("'"&amp;DV$67&amp;"'!f1"),G74-1,))*1</f>
        <v>0.51462716800000396</v>
      </c>
      <c r="DF74" cm="1">
        <f t="array" aca="1" ref="DF74" ca="1">IF(ISNA(H74),,OFFSET(INDIRECT("'"&amp;DW$67&amp;"'!f1"),H74-1,))*1</f>
        <v>5.4005230999990703E-2</v>
      </c>
      <c r="DG74" cm="1">
        <f t="array" aca="1" ref="DG74" ca="1">IF(ISNA(I74),,OFFSET(INDIRECT("'"&amp;DX$67&amp;"'!f1"),I74-1,))*1</f>
        <v>0.27104474999941802</v>
      </c>
      <c r="DH74" cm="1">
        <f t="array" aca="1" ref="DH74" ca="1">IF(ISNA(J74),,OFFSET(INDIRECT("'"&amp;DY$67&amp;"'!f1"),J74-1,))*1</f>
        <v>0.32114244800001701</v>
      </c>
      <c r="DI74" cm="1">
        <f t="array" aca="1" ref="DI74" ca="1">IF(ISNA(K74),,OFFSET(INDIRECT("'"&amp;DZ$67&amp;"'!f1"),K74-1,))*1</f>
        <v>8.9902948280796409</v>
      </c>
      <c r="DJ74" cm="1">
        <f t="array" aca="1" ref="DJ74" ca="1">IF(ISNA(L74),,OFFSET(INDIRECT("'"&amp;EA$67&amp;"'!f1"),L74-1,))*1</f>
        <v>9.8347646137699396</v>
      </c>
      <c r="DK74" cm="1">
        <f t="array" aca="1" ref="DK74" ca="1">IF(ISNA(M74),,OFFSET(INDIRECT("'"&amp;EB$67&amp;"'!f1"),M74-1,))*1</f>
        <v>58.511440266000001</v>
      </c>
      <c r="DL74" cm="1">
        <f t="array" aca="1" ref="DL74" ca="1">IF(ISNA(N74),,OFFSET(INDIRECT("'"&amp;EC$67&amp;"'!f1"),N74-1,))*1</f>
        <v>2.58613809999985E-2</v>
      </c>
      <c r="DM74" cm="1">
        <f t="array" aca="1" ref="DM74" ca="1">IF(ISNA(O74),,OFFSET(INDIRECT("'"&amp;ED$67&amp;"'!f1"),O74-1,))*1</f>
        <v>2.6139405000009198E-2</v>
      </c>
      <c r="DN74" cm="1">
        <f t="array" aca="1" ref="DN74" ca="1">IF(ISNA(P74),,OFFSET(INDIRECT("'"&amp;EE$67&amp;"'!f1"),P74-1,))*1</f>
        <v>2.6725437999999699E-2</v>
      </c>
      <c r="DT74">
        <f t="shared" ca="1" si="71"/>
        <v>1</v>
      </c>
      <c r="DU74">
        <f t="shared" ca="1" si="49"/>
        <v>1</v>
      </c>
      <c r="DV74">
        <f t="shared" ca="1" si="49"/>
        <v>1</v>
      </c>
      <c r="DW74">
        <f t="shared" ca="1" si="49"/>
        <v>1</v>
      </c>
      <c r="DX74">
        <f t="shared" ca="1" si="49"/>
        <v>1</v>
      </c>
      <c r="DY74">
        <f t="shared" ca="1" si="49"/>
        <v>1</v>
      </c>
      <c r="DZ74">
        <f t="shared" ca="1" si="49"/>
        <v>9710</v>
      </c>
      <c r="EA74">
        <f t="shared" ca="1" si="49"/>
        <v>9956</v>
      </c>
      <c r="EB74">
        <f t="shared" ca="1" si="49"/>
        <v>9304</v>
      </c>
      <c r="EC74">
        <f t="shared" ca="1" si="49"/>
        <v>1</v>
      </c>
      <c r="ED74">
        <f t="shared" ca="1" si="49"/>
        <v>1</v>
      </c>
      <c r="EE74">
        <f t="shared" ca="1" si="49"/>
        <v>2</v>
      </c>
      <c r="EK74" cm="1">
        <f t="array" aca="1" ref="EK74" ca="1">IF(ISNA(E74),0,OFFSET(INDIRECT("'"&amp;EK$67&amp;"'!g1"),E74-1,)*CL74)</f>
        <v>1</v>
      </c>
      <c r="EL74" cm="1">
        <f t="array" aca="1" ref="EL74" ca="1">IF(ISNA(F74),0,OFFSET(INDIRECT("'"&amp;EL$67&amp;"'!g1"),F74-1,)*CM74)</f>
        <v>1</v>
      </c>
      <c r="EM74" cm="1">
        <f t="array" aca="1" ref="EM74" ca="1">IF(ISNA(G74),0,OFFSET(INDIRECT("'"&amp;EM$67&amp;"'!g1"),G74-1,)*CN74)</f>
        <v>1</v>
      </c>
      <c r="EN74" cm="1">
        <f t="array" aca="1" ref="EN74" ca="1">IF(ISNA(H74),0,OFFSET(INDIRECT("'"&amp;EN$67&amp;"'!g1"),H74-1,)*CO74)</f>
        <v>1</v>
      </c>
      <c r="EO74" cm="1">
        <f t="array" aca="1" ref="EO74" ca="1">IF(ISNA(I74),0,OFFSET(INDIRECT("'"&amp;EO$67&amp;"'!g1"),I74-1,)*CP74)</f>
        <v>1</v>
      </c>
      <c r="EP74" cm="1">
        <f t="array" aca="1" ref="EP74" ca="1">IF(ISNA(J74),0,OFFSET(INDIRECT("'"&amp;EP$67&amp;"'!g1"),J74-1,)*CQ74)</f>
        <v>1</v>
      </c>
      <c r="EQ74" cm="1">
        <f t="array" aca="1" ref="EQ74" ca="1">IF(ISNA(K74),0,OFFSET(INDIRECT("'"&amp;EQ$67&amp;"'!g1"),K74-1,)*CR74)</f>
        <v>9710</v>
      </c>
      <c r="ER74" cm="1">
        <f t="array" aca="1" ref="ER74" ca="1">IF(ISNA(L74),0,OFFSET(INDIRECT("'"&amp;ER$67&amp;"'!g1"),L74-1,)*CS74)</f>
        <v>9956</v>
      </c>
      <c r="ES74" cm="1">
        <f t="array" aca="1" ref="ES74" ca="1">IF(ISNA(M74),0,OFFSET(INDIRECT("'"&amp;ES$67&amp;"'!g1"),M74-1,)*CT74)</f>
        <v>9304</v>
      </c>
      <c r="ET74" cm="1">
        <f t="array" aca="1" ref="ET74" ca="1">IF(ISNA(N74),0,OFFSET(INDIRECT("'"&amp;ET$67&amp;"'!g1"),N74-1,)*CU74)</f>
        <v>1</v>
      </c>
      <c r="EU74" cm="1">
        <f t="array" aca="1" ref="EU74" ca="1">IF(ISNA(O74),0,OFFSET(INDIRECT("'"&amp;EU$67&amp;"'!g1"),O74-1,)*CV74)</f>
        <v>1</v>
      </c>
      <c r="EV74" cm="1">
        <f t="array" aca="1" ref="EV74" ca="1">IF(ISNA(P74),0,OFFSET(INDIRECT("'"&amp;EV$67&amp;"'!g1"),P74-1,)*CW74)</f>
        <v>2</v>
      </c>
      <c r="FB74" s="10" cm="1">
        <f t="array" aca="1" ref="FB74" ca="1">IF(ISNA(E74),0,OFFSET(INDIRECT("'"&amp;EK$67&amp;"'!h1"),E74-1,))</f>
        <v>1</v>
      </c>
      <c r="FC74" s="10" cm="1">
        <f t="array" aca="1" ref="FC74" ca="1">IF(ISNA(F74),0,OFFSET(INDIRECT("'"&amp;EL$67&amp;"'!h1"),F74-1,))</f>
        <v>1</v>
      </c>
      <c r="FD74" s="10" cm="1">
        <f t="array" aca="1" ref="FD74" ca="1">IF(ISNA(G74),0,OFFSET(INDIRECT("'"&amp;EM$67&amp;"'!h1"),G74-1,))</f>
        <v>1</v>
      </c>
      <c r="FE74" s="10" cm="1">
        <f t="array" aca="1" ref="FE74" ca="1">IF(ISNA(H74),0,OFFSET(INDIRECT("'"&amp;EN$67&amp;"'!h1"),H74-1,))</f>
        <v>1</v>
      </c>
      <c r="FF74" s="10" cm="1">
        <f t="array" aca="1" ref="FF74" ca="1">IF(ISNA(I74),0,OFFSET(INDIRECT("'"&amp;EO$67&amp;"'!h1"),I74-1,))</f>
        <v>1</v>
      </c>
      <c r="FG74" s="10" cm="1">
        <f t="array" aca="1" ref="FG74" ca="1">IF(ISNA(J74),0,OFFSET(INDIRECT("'"&amp;EP$67&amp;"'!h1"),J74-1,))</f>
        <v>1</v>
      </c>
      <c r="FH74" s="10" cm="1">
        <f t="array" aca="1" ref="FH74" ca="1">IF(ISNA(K74),0,OFFSET(INDIRECT("'"&amp;EQ$67&amp;"'!h1"),K74-1,))</f>
        <v>10000</v>
      </c>
      <c r="FI74" s="10" cm="1">
        <f t="array" aca="1" ref="FI74" ca="1">IF(ISNA(L74),0,OFFSET(INDIRECT("'"&amp;ER$67&amp;"'!h1"),L74-1,))</f>
        <v>10000</v>
      </c>
      <c r="FJ74" s="10" cm="1">
        <f t="array" aca="1" ref="FJ74" ca="1">IF(ISNA(M74),0,OFFSET(INDIRECT("'"&amp;ES$67&amp;"'!h1"),M74-1,))</f>
        <v>10000</v>
      </c>
      <c r="FK74" s="10" cm="1">
        <f t="array" aca="1" ref="FK74" ca="1">IF(ISNA(N74),0,OFFSET(INDIRECT("'"&amp;ET$67&amp;"'!h1"),N74-1,))</f>
        <v>1</v>
      </c>
      <c r="FL74" s="10" cm="1">
        <f t="array" aca="1" ref="FL74" ca="1">IF(ISNA(O74),0,OFFSET(INDIRECT("'"&amp;EU$67&amp;"'!h1"),O74-1,))</f>
        <v>1</v>
      </c>
      <c r="FM74" s="10" cm="1">
        <f t="array" aca="1" ref="FM74" ca="1">IF(ISNA(P74),0,OFFSET(INDIRECT("'"&amp;EV$67&amp;"'!h1"),P74-1,))</f>
        <v>2</v>
      </c>
      <c r="FN74" s="10"/>
      <c r="FO74" s="10"/>
      <c r="FP74" s="10"/>
      <c r="FQ74" s="10"/>
      <c r="FS74">
        <f t="shared" ca="1" si="72"/>
        <v>168</v>
      </c>
      <c r="FT74">
        <f t="shared" ca="1" si="73"/>
        <v>8.9902948280796409</v>
      </c>
      <c r="FU74">
        <f t="shared" ca="1" si="74"/>
        <v>9710</v>
      </c>
      <c r="FV74">
        <f t="shared" ca="1" si="75"/>
        <v>10000</v>
      </c>
      <c r="FW74" s="4">
        <f t="shared" ca="1" si="76"/>
        <v>0.97099999999999997</v>
      </c>
      <c r="FX74" s="5">
        <f t="shared" ca="1" si="77"/>
        <v>9.258800028918271E-4</v>
      </c>
      <c r="FZ74" s="13">
        <f t="shared" ca="1" si="50"/>
        <v>168</v>
      </c>
      <c r="GA74" s="23">
        <f t="shared" ca="1" si="78"/>
        <v>0</v>
      </c>
      <c r="GB74" s="23">
        <f t="shared" ca="1" si="51"/>
        <v>0</v>
      </c>
      <c r="GC74" s="23">
        <f t="shared" ca="1" si="51"/>
        <v>0</v>
      </c>
      <c r="GD74" s="23">
        <f t="shared" ca="1" si="51"/>
        <v>0</v>
      </c>
      <c r="GE74" s="23">
        <f t="shared" ca="1" si="51"/>
        <v>0</v>
      </c>
      <c r="GF74" s="23">
        <f t="shared" ca="1" si="51"/>
        <v>0</v>
      </c>
      <c r="GG74" s="23">
        <f t="shared" ca="1" si="51"/>
        <v>0</v>
      </c>
      <c r="GH74" s="23">
        <f t="shared" ca="1" si="51"/>
        <v>0</v>
      </c>
      <c r="GI74" s="23">
        <f t="shared" ca="1" si="51"/>
        <v>0</v>
      </c>
      <c r="GJ74" s="23">
        <f t="shared" ca="1" si="51"/>
        <v>0</v>
      </c>
      <c r="GK74" s="23">
        <f t="shared" ca="1" si="51"/>
        <v>0</v>
      </c>
      <c r="GL74" s="23">
        <f t="shared" ca="1" si="51"/>
        <v>0</v>
      </c>
      <c r="GM74" s="23"/>
      <c r="GN74">
        <f t="shared" ca="1" si="79"/>
        <v>168</v>
      </c>
      <c r="GO74" s="5">
        <f t="shared" ca="1" si="80"/>
        <v>0.15171580300000101</v>
      </c>
      <c r="GP74" s="5">
        <f t="shared" ca="1" si="52"/>
        <v>1.0122901849999799</v>
      </c>
      <c r="GQ74" s="5">
        <f t="shared" ca="1" si="52"/>
        <v>0.51462716800000396</v>
      </c>
      <c r="GR74" s="5">
        <f t="shared" ca="1" si="52"/>
        <v>5.4005230999990703E-2</v>
      </c>
      <c r="GS74" s="5">
        <f t="shared" ca="1" si="52"/>
        <v>0.27104474999941802</v>
      </c>
      <c r="GT74" s="5">
        <f t="shared" ca="1" si="81"/>
        <v>0.32114244800001701</v>
      </c>
      <c r="GU74" s="5">
        <f t="shared" ca="1" si="53"/>
        <v>9.258800028918271E-4</v>
      </c>
      <c r="GV74" s="5">
        <f t="shared" ca="1" si="53"/>
        <v>9.8782288205804939E-4</v>
      </c>
      <c r="GW74" s="5">
        <f t="shared" ca="1" si="53"/>
        <v>6.2888478359845231E-3</v>
      </c>
      <c r="GX74" s="5">
        <f t="shared" ca="1" si="53"/>
        <v>2.58613809999985E-2</v>
      </c>
      <c r="GY74" s="5">
        <f t="shared" ca="1" si="53"/>
        <v>2.6139405000009198E-2</v>
      </c>
      <c r="GZ74" s="5">
        <f t="shared" ca="1" si="53"/>
        <v>1.3362718999999849E-2</v>
      </c>
      <c r="HB74" s="13">
        <f t="shared" ca="1" si="54"/>
        <v>168</v>
      </c>
      <c r="HC74" s="4">
        <f t="shared" ca="1" si="82"/>
        <v>1</v>
      </c>
      <c r="HD74" s="4">
        <f t="shared" ca="1" si="55"/>
        <v>1</v>
      </c>
      <c r="HE74" s="4">
        <f t="shared" ca="1" si="55"/>
        <v>1</v>
      </c>
      <c r="HF74" s="4">
        <f t="shared" ca="1" si="55"/>
        <v>1</v>
      </c>
      <c r="HG74" s="4">
        <f t="shared" ca="1" si="55"/>
        <v>1</v>
      </c>
      <c r="HH74" s="4">
        <f t="shared" ca="1" si="55"/>
        <v>1</v>
      </c>
      <c r="HI74" s="4">
        <f t="shared" ca="1" si="55"/>
        <v>0.97099999999999997</v>
      </c>
      <c r="HJ74" s="4">
        <f t="shared" ca="1" si="55"/>
        <v>0.99560000000000004</v>
      </c>
      <c r="HK74" s="4">
        <f t="shared" ca="1" si="55"/>
        <v>0.9304</v>
      </c>
      <c r="HL74" s="4">
        <f t="shared" ca="1" si="55"/>
        <v>1</v>
      </c>
      <c r="HM74" s="4">
        <f t="shared" ca="1" si="55"/>
        <v>1</v>
      </c>
      <c r="HN74" s="4">
        <f t="shared" ca="1" si="55"/>
        <v>1</v>
      </c>
    </row>
    <row r="75" spans="1:222" x14ac:dyDescent="0.2">
      <c r="A75" t="str" cm="1">
        <f t="array" aca="1" ref="A75" ca="1">INDIRECT($A$67&amp;"!A"&amp;ROW(C8)+$B$64)</f>
        <v>[[168,16,0]]</v>
      </c>
      <c r="B75" cm="1">
        <f t="array" aca="1" ref="B75" ca="1">INDIRECT($A$67&amp;"!b"&amp;ROW(D8)+$B$64)</f>
        <v>168</v>
      </c>
      <c r="C75">
        <f t="shared" ca="1" si="56"/>
        <v>4</v>
      </c>
      <c r="E75">
        <f t="shared" ca="1" si="83"/>
        <v>32</v>
      </c>
      <c r="F75">
        <f t="shared" ca="1" si="57"/>
        <v>33</v>
      </c>
      <c r="G75">
        <f t="shared" ca="1" si="58"/>
        <v>32</v>
      </c>
      <c r="H75">
        <f t="shared" ca="1" si="59"/>
        <v>32</v>
      </c>
      <c r="I75">
        <f t="shared" ca="1" si="60"/>
        <v>35</v>
      </c>
      <c r="J75">
        <f t="shared" ca="1" si="61"/>
        <v>32</v>
      </c>
      <c r="K75">
        <f t="shared" ca="1" si="62"/>
        <v>39</v>
      </c>
      <c r="L75">
        <f t="shared" ca="1" si="63"/>
        <v>41</v>
      </c>
      <c r="M75">
        <f t="shared" ca="1" si="64"/>
        <v>38</v>
      </c>
      <c r="N75">
        <f t="shared" ca="1" si="65"/>
        <v>32</v>
      </c>
      <c r="O75">
        <f t="shared" ca="1" si="66"/>
        <v>32</v>
      </c>
      <c r="P75">
        <f t="shared" ca="1" si="67"/>
        <v>32</v>
      </c>
      <c r="V75" cm="1">
        <f t="array" aca="1" ref="V75" ca="1">IF(ISNA(E75),,OFFSET(INDIRECT("'"&amp;V$67&amp;"'!d1"),E75-1,))</f>
        <v>4</v>
      </c>
      <c r="W75" cm="1">
        <f t="array" aca="1" ref="W75" ca="1">IF(ISNA(F75),,OFFSET(INDIRECT("'"&amp;W$67&amp;"'!d1"),F75-1,))</f>
        <v>4</v>
      </c>
      <c r="X75" cm="1">
        <f t="array" aca="1" ref="X75" ca="1">IF(ISNA(G75),,OFFSET(INDIRECT("'"&amp;X$67&amp;"'!d1"),G75-1,))</f>
        <v>4</v>
      </c>
      <c r="Y75" cm="1">
        <f t="array" aca="1" ref="Y75" ca="1">IF(ISNA(H75),,OFFSET(INDIRECT("'"&amp;Y$67&amp;"'!d1"),H75-1,))</f>
        <v>4</v>
      </c>
      <c r="Z75" cm="1">
        <f t="array" aca="1" ref="Z75" ca="1">IF(ISNA(I75),,OFFSET(INDIRECT("'"&amp;Z$67&amp;"'!d1"),I75-1,))</f>
        <v>4</v>
      </c>
      <c r="AA75" cm="1">
        <f t="array" aca="1" ref="AA75" ca="1">IF(ISNA(J75),,OFFSET(INDIRECT("'"&amp;AA$67&amp;"'!d1"),J75-1,))</f>
        <v>4</v>
      </c>
      <c r="AB75" cm="1">
        <f t="array" aca="1" ref="AB75" ca="1">IF(ISNA(K75),,OFFSET(INDIRECT("'"&amp;AB$67&amp;"'!d1"),K75-1,))</f>
        <v>4</v>
      </c>
      <c r="AC75" cm="1">
        <f t="array" aca="1" ref="AC75" ca="1">IF(ISNA(L75),,OFFSET(INDIRECT("'"&amp;AC$67&amp;"'!d1"),L75-1,))</f>
        <v>4</v>
      </c>
      <c r="AD75" cm="1">
        <f t="array" aca="1" ref="AD75" ca="1">IF(ISNA(M75),,OFFSET(INDIRECT("'"&amp;AD$67&amp;"'!d1"),M75-1,))</f>
        <v>4</v>
      </c>
      <c r="AE75" cm="1">
        <f t="array" aca="1" ref="AE75" ca="1">IF(ISNA(N75),,OFFSET(INDIRECT("'"&amp;AE$67&amp;"'!d1"),N75-1,))</f>
        <v>4</v>
      </c>
      <c r="AF75" cm="1">
        <f t="array" aca="1" ref="AF75" ca="1">IF(ISNA(O75),,OFFSET(INDIRECT("'"&amp;AF$67&amp;"'!d1"),O75-1,))</f>
        <v>4</v>
      </c>
      <c r="AG75" cm="1">
        <f t="array" aca="1" ref="AG75" ca="1">IF(ISNA(P75),,OFFSET(INDIRECT("'"&amp;AG$67&amp;"'!d1"),P75-1,))</f>
        <v>4</v>
      </c>
      <c r="AM75">
        <f t="shared" ca="1" si="68"/>
        <v>1</v>
      </c>
      <c r="AN75">
        <f t="shared" ca="1" si="44"/>
        <v>1</v>
      </c>
      <c r="AO75">
        <f t="shared" ca="1" si="44"/>
        <v>1</v>
      </c>
      <c r="AP75">
        <f t="shared" ca="1" si="44"/>
        <v>1</v>
      </c>
      <c r="AQ75">
        <f t="shared" ca="1" si="69"/>
        <v>1</v>
      </c>
      <c r="AV75" t="b">
        <f t="shared" ca="1" si="70"/>
        <v>1</v>
      </c>
      <c r="AW75" t="b">
        <f t="shared" ca="1" si="45"/>
        <v>1</v>
      </c>
      <c r="AX75" t="b">
        <f t="shared" ca="1" si="45"/>
        <v>1</v>
      </c>
      <c r="AY75" t="b">
        <f t="shared" ca="1" si="45"/>
        <v>1</v>
      </c>
      <c r="AZ75" t="b">
        <f t="shared" ca="1" si="45"/>
        <v>1</v>
      </c>
      <c r="BD75">
        <f t="shared" ca="1" si="46"/>
        <v>1</v>
      </c>
      <c r="BE75">
        <f t="shared" ca="1" si="46"/>
        <v>1</v>
      </c>
      <c r="BF75">
        <f t="shared" ca="1" si="46"/>
        <v>1</v>
      </c>
      <c r="BG75">
        <f t="shared" ca="1" si="46"/>
        <v>1</v>
      </c>
      <c r="BH75">
        <f t="shared" ca="1" si="46"/>
        <v>1</v>
      </c>
      <c r="BI75">
        <f t="shared" ca="1" si="46"/>
        <v>1</v>
      </c>
      <c r="BJ75">
        <f t="shared" ca="1" si="46"/>
        <v>1</v>
      </c>
      <c r="BK75">
        <f t="shared" ca="1" si="46"/>
        <v>1</v>
      </c>
      <c r="BL75">
        <f t="shared" ca="1" si="46"/>
        <v>1</v>
      </c>
      <c r="BM75">
        <f t="shared" ca="1" si="46"/>
        <v>1</v>
      </c>
      <c r="BN75">
        <f t="shared" ca="1" si="46"/>
        <v>1</v>
      </c>
      <c r="BO75">
        <f t="shared" ca="1" si="46"/>
        <v>1</v>
      </c>
      <c r="BU75">
        <f t="shared" ca="1" si="47"/>
        <v>4</v>
      </c>
      <c r="BV75">
        <f t="shared" ca="1" si="47"/>
        <v>4</v>
      </c>
      <c r="BW75">
        <f t="shared" ca="1" si="47"/>
        <v>4</v>
      </c>
      <c r="BX75">
        <f t="shared" ca="1" si="47"/>
        <v>4</v>
      </c>
      <c r="BY75">
        <f t="shared" ca="1" si="47"/>
        <v>4</v>
      </c>
      <c r="BZ75">
        <f t="shared" ca="1" si="47"/>
        <v>4</v>
      </c>
      <c r="CA75">
        <f t="shared" ca="1" si="47"/>
        <v>4</v>
      </c>
      <c r="CB75">
        <f t="shared" ca="1" si="47"/>
        <v>4</v>
      </c>
      <c r="CC75">
        <f t="shared" ca="1" si="47"/>
        <v>4</v>
      </c>
      <c r="CD75">
        <f t="shared" ca="1" si="47"/>
        <v>4</v>
      </c>
      <c r="CE75">
        <f t="shared" ca="1" si="47"/>
        <v>4</v>
      </c>
      <c r="CF75">
        <f t="shared" ca="1" si="47"/>
        <v>4</v>
      </c>
      <c r="CL75">
        <f t="shared" ca="1" si="48"/>
        <v>1</v>
      </c>
      <c r="CM75">
        <f t="shared" ca="1" si="48"/>
        <v>1</v>
      </c>
      <c r="CN75">
        <f t="shared" ca="1" si="48"/>
        <v>1</v>
      </c>
      <c r="CO75">
        <f t="shared" ca="1" si="48"/>
        <v>1</v>
      </c>
      <c r="CP75">
        <f t="shared" ca="1" si="48"/>
        <v>1</v>
      </c>
      <c r="CQ75">
        <f t="shared" ca="1" si="48"/>
        <v>1</v>
      </c>
      <c r="CR75">
        <f t="shared" ca="1" si="48"/>
        <v>1</v>
      </c>
      <c r="CS75">
        <f t="shared" ca="1" si="48"/>
        <v>1</v>
      </c>
      <c r="CT75">
        <f t="shared" ca="1" si="48"/>
        <v>1</v>
      </c>
      <c r="CU75">
        <f t="shared" ca="1" si="48"/>
        <v>1</v>
      </c>
      <c r="CV75">
        <f t="shared" ca="1" si="48"/>
        <v>1</v>
      </c>
      <c r="CW75">
        <f t="shared" ca="1" si="48"/>
        <v>1</v>
      </c>
      <c r="DC75" cm="1">
        <f t="array" aca="1" ref="DC75" ca="1">IF(ISNA(E75),,OFFSET(INDIRECT("'"&amp;DT$67&amp;"'!f1"),E75-1,))*1</f>
        <v>0.16301514399998401</v>
      </c>
      <c r="DD75" cm="1">
        <f t="array" aca="1" ref="DD75" ca="1">IF(ISNA(F75),,OFFSET(INDIRECT("'"&amp;DU$67&amp;"'!f1"),F75-1,))*1</f>
        <v>0.76202639100000602</v>
      </c>
      <c r="DE75" cm="1">
        <f t="array" aca="1" ref="DE75" ca="1">IF(ISNA(G75),,OFFSET(INDIRECT("'"&amp;DV$67&amp;"'!f1"),G75-1,))*1</f>
        <v>0.63707401499999605</v>
      </c>
      <c r="DF75" cm="1">
        <f t="array" aca="1" ref="DF75" ca="1">IF(ISNA(H75),,OFFSET(INDIRECT("'"&amp;DW$67&amp;"'!f1"),H75-1,))*1</f>
        <v>5.0963958000011099E-2</v>
      </c>
      <c r="DG75" cm="1">
        <f t="array" aca="1" ref="DG75" ca="1">IF(ISNA(I75),,OFFSET(INDIRECT("'"&amp;DX$67&amp;"'!f1"),I75-1,))*1</f>
        <v>0.23162658297223901</v>
      </c>
      <c r="DH75" cm="1">
        <f t="array" aca="1" ref="DH75" ca="1">IF(ISNA(J75),,OFFSET(INDIRECT("'"&amp;DY$67&amp;"'!f1"),J75-1,))*1</f>
        <v>0.31108095799999003</v>
      </c>
      <c r="DI75" cm="1">
        <f t="array" aca="1" ref="DI75" ca="1">IF(ISNA(K75),,OFFSET(INDIRECT("'"&amp;DZ$67&amp;"'!f1"),K75-1,))*1</f>
        <v>8.9975996483117306</v>
      </c>
      <c r="DJ75" cm="1">
        <f t="array" aca="1" ref="DJ75" ca="1">IF(ISNA(L75),,OFFSET(INDIRECT("'"&amp;EA$67&amp;"'!f1"),L75-1,))*1</f>
        <v>10.0203861072659</v>
      </c>
      <c r="DK75" cm="1">
        <f t="array" aca="1" ref="DK75" ca="1">IF(ISNA(M75),,OFFSET(INDIRECT("'"&amp;EB$67&amp;"'!f1"),M75-1,))*1</f>
        <v>59.008067671999903</v>
      </c>
      <c r="DL75" cm="1">
        <f t="array" aca="1" ref="DL75" ca="1">IF(ISNA(N75),,OFFSET(INDIRECT("'"&amp;EC$67&amp;"'!f1"),N75-1,))*1</f>
        <v>2.4847744999988201E-2</v>
      </c>
      <c r="DM75" cm="1">
        <f t="array" aca="1" ref="DM75" ca="1">IF(ISNA(O75),,OFFSET(INDIRECT("'"&amp;ED$67&amp;"'!f1"),O75-1,))*1</f>
        <v>2.4081865999988801E-2</v>
      </c>
      <c r="DN75" cm="1">
        <f t="array" aca="1" ref="DN75" ca="1">IF(ISNA(P75),,OFFSET(INDIRECT("'"&amp;EE$67&amp;"'!f1"),P75-1,))*1</f>
        <v>2.5544149999973301E-2</v>
      </c>
      <c r="DT75">
        <f t="shared" ca="1" si="71"/>
        <v>1</v>
      </c>
      <c r="DU75">
        <f t="shared" ca="1" si="49"/>
        <v>1</v>
      </c>
      <c r="DV75">
        <f t="shared" ca="1" si="49"/>
        <v>1</v>
      </c>
      <c r="DW75">
        <f t="shared" ca="1" si="49"/>
        <v>1</v>
      </c>
      <c r="DX75">
        <f t="shared" ca="1" si="49"/>
        <v>1</v>
      </c>
      <c r="DY75">
        <f t="shared" ca="1" si="49"/>
        <v>1</v>
      </c>
      <c r="DZ75">
        <f t="shared" ca="1" si="49"/>
        <v>9690</v>
      </c>
      <c r="EA75">
        <f t="shared" ca="1" si="49"/>
        <v>9988</v>
      </c>
      <c r="EB75">
        <f t="shared" ca="1" si="49"/>
        <v>9280</v>
      </c>
      <c r="EC75">
        <f t="shared" ca="1" si="49"/>
        <v>1</v>
      </c>
      <c r="ED75">
        <f t="shared" ca="1" si="49"/>
        <v>1</v>
      </c>
      <c r="EE75">
        <f t="shared" ca="1" si="49"/>
        <v>2</v>
      </c>
      <c r="EK75" cm="1">
        <f t="array" aca="1" ref="EK75" ca="1">IF(ISNA(E75),0,OFFSET(INDIRECT("'"&amp;EK$67&amp;"'!g1"),E75-1,)*CL75)</f>
        <v>1</v>
      </c>
      <c r="EL75" cm="1">
        <f t="array" aca="1" ref="EL75" ca="1">IF(ISNA(F75),0,OFFSET(INDIRECT("'"&amp;EL$67&amp;"'!g1"),F75-1,)*CM75)</f>
        <v>1</v>
      </c>
      <c r="EM75" cm="1">
        <f t="array" aca="1" ref="EM75" ca="1">IF(ISNA(G75),0,OFFSET(INDIRECT("'"&amp;EM$67&amp;"'!g1"),G75-1,)*CN75)</f>
        <v>1</v>
      </c>
      <c r="EN75" cm="1">
        <f t="array" aca="1" ref="EN75" ca="1">IF(ISNA(H75),0,OFFSET(INDIRECT("'"&amp;EN$67&amp;"'!g1"),H75-1,)*CO75)</f>
        <v>1</v>
      </c>
      <c r="EO75" cm="1">
        <f t="array" aca="1" ref="EO75" ca="1">IF(ISNA(I75),0,OFFSET(INDIRECT("'"&amp;EO$67&amp;"'!g1"),I75-1,)*CP75)</f>
        <v>1</v>
      </c>
      <c r="EP75" cm="1">
        <f t="array" aca="1" ref="EP75" ca="1">IF(ISNA(J75),0,OFFSET(INDIRECT("'"&amp;EP$67&amp;"'!g1"),J75-1,)*CQ75)</f>
        <v>1</v>
      </c>
      <c r="EQ75" cm="1">
        <f t="array" aca="1" ref="EQ75" ca="1">IF(ISNA(K75),0,OFFSET(INDIRECT("'"&amp;EQ$67&amp;"'!g1"),K75-1,)*CR75)</f>
        <v>9690</v>
      </c>
      <c r="ER75" cm="1">
        <f t="array" aca="1" ref="ER75" ca="1">IF(ISNA(L75),0,OFFSET(INDIRECT("'"&amp;ER$67&amp;"'!g1"),L75-1,)*CS75)</f>
        <v>9988</v>
      </c>
      <c r="ES75" cm="1">
        <f t="array" aca="1" ref="ES75" ca="1">IF(ISNA(M75),0,OFFSET(INDIRECT("'"&amp;ES$67&amp;"'!g1"),M75-1,)*CT75)</f>
        <v>9280</v>
      </c>
      <c r="ET75" cm="1">
        <f t="array" aca="1" ref="ET75" ca="1">IF(ISNA(N75),0,OFFSET(INDIRECT("'"&amp;ET$67&amp;"'!g1"),N75-1,)*CU75)</f>
        <v>1</v>
      </c>
      <c r="EU75" cm="1">
        <f t="array" aca="1" ref="EU75" ca="1">IF(ISNA(O75),0,OFFSET(INDIRECT("'"&amp;EU$67&amp;"'!g1"),O75-1,)*CV75)</f>
        <v>1</v>
      </c>
      <c r="EV75" cm="1">
        <f t="array" aca="1" ref="EV75" ca="1">IF(ISNA(P75),0,OFFSET(INDIRECT("'"&amp;EV$67&amp;"'!g1"),P75-1,)*CW75)</f>
        <v>2</v>
      </c>
      <c r="FB75" s="10" cm="1">
        <f t="array" aca="1" ref="FB75" ca="1">IF(ISNA(E75),0,OFFSET(INDIRECT("'"&amp;EK$67&amp;"'!h1"),E75-1,))</f>
        <v>1</v>
      </c>
      <c r="FC75" s="10" cm="1">
        <f t="array" aca="1" ref="FC75" ca="1">IF(ISNA(F75),0,OFFSET(INDIRECT("'"&amp;EL$67&amp;"'!h1"),F75-1,))</f>
        <v>1</v>
      </c>
      <c r="FD75" s="10" cm="1">
        <f t="array" aca="1" ref="FD75" ca="1">IF(ISNA(G75),0,OFFSET(INDIRECT("'"&amp;EM$67&amp;"'!h1"),G75-1,))</f>
        <v>1</v>
      </c>
      <c r="FE75" s="10" cm="1">
        <f t="array" aca="1" ref="FE75" ca="1">IF(ISNA(H75),0,OFFSET(INDIRECT("'"&amp;EN$67&amp;"'!h1"),H75-1,))</f>
        <v>1</v>
      </c>
      <c r="FF75" s="10" cm="1">
        <f t="array" aca="1" ref="FF75" ca="1">IF(ISNA(I75),0,OFFSET(INDIRECT("'"&amp;EO$67&amp;"'!h1"),I75-1,))</f>
        <v>1</v>
      </c>
      <c r="FG75" s="10" cm="1">
        <f t="array" aca="1" ref="FG75" ca="1">IF(ISNA(J75),0,OFFSET(INDIRECT("'"&amp;EP$67&amp;"'!h1"),J75-1,))</f>
        <v>1</v>
      </c>
      <c r="FH75" s="10" cm="1">
        <f t="array" aca="1" ref="FH75" ca="1">IF(ISNA(K75),0,OFFSET(INDIRECT("'"&amp;EQ$67&amp;"'!h1"),K75-1,))</f>
        <v>10000</v>
      </c>
      <c r="FI75" s="10" cm="1">
        <f t="array" aca="1" ref="FI75" ca="1">IF(ISNA(L75),0,OFFSET(INDIRECT("'"&amp;ER$67&amp;"'!h1"),L75-1,))</f>
        <v>10000</v>
      </c>
      <c r="FJ75" s="10" cm="1">
        <f t="array" aca="1" ref="FJ75" ca="1">IF(ISNA(M75),0,OFFSET(INDIRECT("'"&amp;ES$67&amp;"'!h1"),M75-1,))</f>
        <v>10000</v>
      </c>
      <c r="FK75" s="10" cm="1">
        <f t="array" aca="1" ref="FK75" ca="1">IF(ISNA(N75),0,OFFSET(INDIRECT("'"&amp;ET$67&amp;"'!h1"),N75-1,))</f>
        <v>1</v>
      </c>
      <c r="FL75" s="10" cm="1">
        <f t="array" aca="1" ref="FL75" ca="1">IF(ISNA(O75),0,OFFSET(INDIRECT("'"&amp;EU$67&amp;"'!h1"),O75-1,))</f>
        <v>1</v>
      </c>
      <c r="FM75" s="10" cm="1">
        <f t="array" aca="1" ref="FM75" ca="1">IF(ISNA(P75),0,OFFSET(INDIRECT("'"&amp;EV$67&amp;"'!h1"),P75-1,))</f>
        <v>2</v>
      </c>
      <c r="FN75" s="10"/>
      <c r="FO75" s="10"/>
      <c r="FP75" s="10"/>
      <c r="FQ75" s="10"/>
      <c r="FS75">
        <f t="shared" ca="1" si="72"/>
        <v>168</v>
      </c>
      <c r="FT75">
        <f t="shared" ca="1" si="73"/>
        <v>8.9975996483117306</v>
      </c>
      <c r="FU75">
        <f t="shared" ca="1" si="74"/>
        <v>9690</v>
      </c>
      <c r="FV75">
        <f t="shared" ca="1" si="75"/>
        <v>10000</v>
      </c>
      <c r="FW75" s="4">
        <f t="shared" ca="1" si="76"/>
        <v>0.96899999999999997</v>
      </c>
      <c r="FX75" s="5">
        <f t="shared" ca="1" si="77"/>
        <v>9.2854485534692784E-4</v>
      </c>
      <c r="FZ75" s="13">
        <f t="shared" ca="1" si="50"/>
        <v>168</v>
      </c>
      <c r="GA75" s="23">
        <f t="shared" ca="1" si="78"/>
        <v>0</v>
      </c>
      <c r="GB75" s="23">
        <f t="shared" ca="1" si="51"/>
        <v>0</v>
      </c>
      <c r="GC75" s="23">
        <f t="shared" ca="1" si="51"/>
        <v>0</v>
      </c>
      <c r="GD75" s="23">
        <f t="shared" ca="1" si="51"/>
        <v>0</v>
      </c>
      <c r="GE75" s="23">
        <f t="shared" ca="1" si="51"/>
        <v>0</v>
      </c>
      <c r="GF75" s="23">
        <f t="shared" ca="1" si="51"/>
        <v>0</v>
      </c>
      <c r="GG75" s="23">
        <f t="shared" ca="1" si="51"/>
        <v>0</v>
      </c>
      <c r="GH75" s="23">
        <f t="shared" ca="1" si="51"/>
        <v>0</v>
      </c>
      <c r="GI75" s="23">
        <f t="shared" ca="1" si="51"/>
        <v>0</v>
      </c>
      <c r="GJ75" s="23">
        <f t="shared" ca="1" si="51"/>
        <v>0</v>
      </c>
      <c r="GK75" s="23">
        <f t="shared" ca="1" si="51"/>
        <v>0</v>
      </c>
      <c r="GL75" s="23">
        <f t="shared" ca="1" si="51"/>
        <v>0</v>
      </c>
      <c r="GM75" s="23"/>
      <c r="GN75">
        <f t="shared" ca="1" si="79"/>
        <v>168</v>
      </c>
      <c r="GO75" s="5">
        <f t="shared" ca="1" si="80"/>
        <v>0.16301514399998401</v>
      </c>
      <c r="GP75" s="5">
        <f t="shared" ca="1" si="52"/>
        <v>0.76202639100000602</v>
      </c>
      <c r="GQ75" s="5">
        <f t="shared" ca="1" si="52"/>
        <v>0.63707401499999605</v>
      </c>
      <c r="GR75" s="5">
        <f t="shared" ca="1" si="52"/>
        <v>5.0963958000011099E-2</v>
      </c>
      <c r="GS75" s="5">
        <f t="shared" ca="1" si="52"/>
        <v>0.23162658297223901</v>
      </c>
      <c r="GT75" s="5">
        <f t="shared" ca="1" si="81"/>
        <v>0.31108095799999003</v>
      </c>
      <c r="GU75" s="5">
        <f t="shared" ca="1" si="53"/>
        <v>9.2854485534692784E-4</v>
      </c>
      <c r="GV75" s="5">
        <f t="shared" ca="1" si="53"/>
        <v>1.0032425017286644E-3</v>
      </c>
      <c r="GW75" s="5">
        <f t="shared" ca="1" si="53"/>
        <v>6.358627981896541E-3</v>
      </c>
      <c r="GX75" s="5">
        <f t="shared" ca="1" si="53"/>
        <v>2.4847744999988201E-2</v>
      </c>
      <c r="GY75" s="5">
        <f t="shared" ca="1" si="53"/>
        <v>2.4081865999988801E-2</v>
      </c>
      <c r="GZ75" s="5">
        <f t="shared" ca="1" si="53"/>
        <v>1.277207499998665E-2</v>
      </c>
      <c r="HB75" s="13">
        <f t="shared" ca="1" si="54"/>
        <v>168</v>
      </c>
      <c r="HC75" s="4">
        <f t="shared" ca="1" si="82"/>
        <v>1</v>
      </c>
      <c r="HD75" s="4">
        <f t="shared" ca="1" si="55"/>
        <v>1</v>
      </c>
      <c r="HE75" s="4">
        <f t="shared" ca="1" si="55"/>
        <v>1</v>
      </c>
      <c r="HF75" s="4">
        <f t="shared" ca="1" si="55"/>
        <v>1</v>
      </c>
      <c r="HG75" s="4">
        <f t="shared" ca="1" si="55"/>
        <v>1</v>
      </c>
      <c r="HH75" s="4">
        <f t="shared" ca="1" si="55"/>
        <v>1</v>
      </c>
      <c r="HI75" s="4">
        <f t="shared" ca="1" si="55"/>
        <v>0.96899999999999997</v>
      </c>
      <c r="HJ75" s="4">
        <f t="shared" ca="1" si="55"/>
        <v>0.99880000000000002</v>
      </c>
      <c r="HK75" s="4">
        <f t="shared" ca="1" si="55"/>
        <v>0.92800000000000005</v>
      </c>
      <c r="HL75" s="4">
        <f t="shared" ca="1" si="55"/>
        <v>1</v>
      </c>
      <c r="HM75" s="4">
        <f t="shared" ca="1" si="55"/>
        <v>1</v>
      </c>
      <c r="HN75" s="4">
        <f t="shared" ca="1" si="55"/>
        <v>1</v>
      </c>
    </row>
    <row r="76" spans="1:222" x14ac:dyDescent="0.2">
      <c r="A76" t="str" cm="1">
        <f t="array" aca="1" ref="A76" ca="1">INDIRECT($A$67&amp;"!A"&amp;ROW(C9)+$B$64)</f>
        <v>[[180,17,0]]</v>
      </c>
      <c r="B76" cm="1">
        <f t="array" aca="1" ref="B76" ca="1">INDIRECT($A$67&amp;"!b"&amp;ROW(D9)+$B$64)</f>
        <v>180</v>
      </c>
      <c r="C76">
        <f t="shared" ca="1" si="56"/>
        <v>5</v>
      </c>
      <c r="E76">
        <f t="shared" ca="1" si="83"/>
        <v>33</v>
      </c>
      <c r="F76">
        <f t="shared" ca="1" si="57"/>
        <v>34</v>
      </c>
      <c r="G76">
        <f t="shared" ca="1" si="58"/>
        <v>33</v>
      </c>
      <c r="H76">
        <f t="shared" ca="1" si="59"/>
        <v>33</v>
      </c>
      <c r="I76">
        <f t="shared" ca="1" si="60"/>
        <v>36</v>
      </c>
      <c r="J76">
        <f t="shared" ca="1" si="61"/>
        <v>33</v>
      </c>
      <c r="K76">
        <f t="shared" ca="1" si="62"/>
        <v>40</v>
      </c>
      <c r="L76">
        <f t="shared" ca="1" si="63"/>
        <v>42</v>
      </c>
      <c r="M76">
        <f t="shared" ca="1" si="64"/>
        <v>39</v>
      </c>
      <c r="N76">
        <f t="shared" ca="1" si="65"/>
        <v>33</v>
      </c>
      <c r="O76">
        <f t="shared" ca="1" si="66"/>
        <v>33</v>
      </c>
      <c r="P76">
        <f t="shared" ca="1" si="67"/>
        <v>33</v>
      </c>
      <c r="V76" cm="1">
        <f t="array" aca="1" ref="V76" ca="1">IF(ISNA(E76),,OFFSET(INDIRECT("'"&amp;V$67&amp;"'!d1"),E76-1,))</f>
        <v>5</v>
      </c>
      <c r="W76" cm="1">
        <f t="array" aca="1" ref="W76" ca="1">IF(ISNA(F76),,OFFSET(INDIRECT("'"&amp;W$67&amp;"'!d1"),F76-1,))</f>
        <v>5</v>
      </c>
      <c r="X76" cm="1">
        <f t="array" aca="1" ref="X76" ca="1">IF(ISNA(G76),,OFFSET(INDIRECT("'"&amp;X$67&amp;"'!d1"),G76-1,))</f>
        <v>5</v>
      </c>
      <c r="Y76" cm="1">
        <f t="array" aca="1" ref="Y76" ca="1">IF(ISNA(H76),,OFFSET(INDIRECT("'"&amp;Y$67&amp;"'!d1"),H76-1,))</f>
        <v>5</v>
      </c>
      <c r="Z76" cm="1">
        <f t="array" aca="1" ref="Z76" ca="1">IF(ISNA(I76),,OFFSET(INDIRECT("'"&amp;Z$67&amp;"'!d1"),I76-1,))</f>
        <v>5</v>
      </c>
      <c r="AA76" cm="1">
        <f t="array" aca="1" ref="AA76" ca="1">IF(ISNA(J76),,OFFSET(INDIRECT("'"&amp;AA$67&amp;"'!d1"),J76-1,))</f>
        <v>5</v>
      </c>
      <c r="AB76" cm="1">
        <f t="array" aca="1" ref="AB76" ca="1">IF(ISNA(K76),,OFFSET(INDIRECT("'"&amp;AB$67&amp;"'!d1"),K76-1,))</f>
        <v>5</v>
      </c>
      <c r="AC76" cm="1">
        <f t="array" aca="1" ref="AC76" ca="1">IF(ISNA(L76),,OFFSET(INDIRECT("'"&amp;AC$67&amp;"'!d1"),L76-1,))</f>
        <v>5</v>
      </c>
      <c r="AD76" cm="1">
        <f t="array" aca="1" ref="AD76" ca="1">IF(ISNA(M76),,OFFSET(INDIRECT("'"&amp;AD$67&amp;"'!d1"),M76-1,))</f>
        <v>5</v>
      </c>
      <c r="AE76" cm="1">
        <f t="array" aca="1" ref="AE76" ca="1">IF(ISNA(N76),,OFFSET(INDIRECT("'"&amp;AE$67&amp;"'!d1"),N76-1,))</f>
        <v>5</v>
      </c>
      <c r="AF76" cm="1">
        <f t="array" aca="1" ref="AF76" ca="1">IF(ISNA(O76),,OFFSET(INDIRECT("'"&amp;AF$67&amp;"'!d1"),O76-1,))</f>
        <v>5</v>
      </c>
      <c r="AG76" cm="1">
        <f t="array" aca="1" ref="AG76" ca="1">IF(ISNA(P76),,OFFSET(INDIRECT("'"&amp;AG$67&amp;"'!d1"),P76-1,))</f>
        <v>5</v>
      </c>
      <c r="AM76">
        <f t="shared" ca="1" si="68"/>
        <v>1</v>
      </c>
      <c r="AN76">
        <f t="shared" ca="1" si="44"/>
        <v>1</v>
      </c>
      <c r="AO76">
        <f t="shared" ca="1" si="44"/>
        <v>1</v>
      </c>
      <c r="AP76">
        <f t="shared" ca="1" si="44"/>
        <v>1</v>
      </c>
      <c r="AQ76">
        <f t="shared" ca="1" si="69"/>
        <v>1</v>
      </c>
      <c r="AV76" t="b">
        <f t="shared" ca="1" si="70"/>
        <v>1</v>
      </c>
      <c r="AW76" t="b">
        <f t="shared" ca="1" si="45"/>
        <v>1</v>
      </c>
      <c r="AX76" t="b">
        <f t="shared" ca="1" si="45"/>
        <v>1</v>
      </c>
      <c r="AY76" t="b">
        <f t="shared" ca="1" si="45"/>
        <v>1</v>
      </c>
      <c r="AZ76" t="b">
        <f t="shared" ca="1" si="45"/>
        <v>1</v>
      </c>
      <c r="BD76">
        <f t="shared" ca="1" si="46"/>
        <v>1</v>
      </c>
      <c r="BE76">
        <f t="shared" ca="1" si="46"/>
        <v>1</v>
      </c>
      <c r="BF76">
        <f t="shared" ca="1" si="46"/>
        <v>1</v>
      </c>
      <c r="BG76">
        <f t="shared" ca="1" si="46"/>
        <v>1</v>
      </c>
      <c r="BH76">
        <f t="shared" ca="1" si="46"/>
        <v>1</v>
      </c>
      <c r="BI76">
        <f t="shared" ca="1" si="46"/>
        <v>1</v>
      </c>
      <c r="BJ76">
        <f t="shared" ca="1" si="46"/>
        <v>1</v>
      </c>
      <c r="BK76">
        <f t="shared" ca="1" si="46"/>
        <v>1</v>
      </c>
      <c r="BL76">
        <f t="shared" ca="1" si="46"/>
        <v>1</v>
      </c>
      <c r="BM76">
        <f t="shared" ca="1" si="46"/>
        <v>1</v>
      </c>
      <c r="BN76">
        <f t="shared" ca="1" si="46"/>
        <v>1</v>
      </c>
      <c r="BO76">
        <f t="shared" ca="1" si="46"/>
        <v>1</v>
      </c>
      <c r="BU76">
        <f t="shared" ca="1" si="47"/>
        <v>5</v>
      </c>
      <c r="BV76">
        <f t="shared" ca="1" si="47"/>
        <v>5</v>
      </c>
      <c r="BW76">
        <f t="shared" ca="1" si="47"/>
        <v>5</v>
      </c>
      <c r="BX76">
        <f t="shared" ca="1" si="47"/>
        <v>5</v>
      </c>
      <c r="BY76">
        <f t="shared" ca="1" si="47"/>
        <v>5</v>
      </c>
      <c r="BZ76">
        <f t="shared" ca="1" si="47"/>
        <v>5</v>
      </c>
      <c r="CA76">
        <f t="shared" ca="1" si="47"/>
        <v>5</v>
      </c>
      <c r="CB76">
        <f t="shared" ca="1" si="47"/>
        <v>5</v>
      </c>
      <c r="CC76">
        <f t="shared" ca="1" si="47"/>
        <v>5</v>
      </c>
      <c r="CD76">
        <f t="shared" ca="1" si="47"/>
        <v>5</v>
      </c>
      <c r="CE76">
        <f t="shared" ca="1" si="47"/>
        <v>5</v>
      </c>
      <c r="CF76">
        <f t="shared" ca="1" si="47"/>
        <v>5</v>
      </c>
      <c r="CL76">
        <f t="shared" ca="1" si="48"/>
        <v>1</v>
      </c>
      <c r="CM76">
        <f t="shared" ca="1" si="48"/>
        <v>1</v>
      </c>
      <c r="CN76">
        <f t="shared" ca="1" si="48"/>
        <v>1</v>
      </c>
      <c r="CO76">
        <f t="shared" ca="1" si="48"/>
        <v>1</v>
      </c>
      <c r="CP76">
        <f t="shared" ca="1" si="48"/>
        <v>1</v>
      </c>
      <c r="CQ76">
        <f t="shared" ca="1" si="48"/>
        <v>1</v>
      </c>
      <c r="CR76">
        <f t="shared" ca="1" si="48"/>
        <v>1</v>
      </c>
      <c r="CS76">
        <f t="shared" ca="1" si="48"/>
        <v>1</v>
      </c>
      <c r="CT76">
        <f t="shared" ca="1" si="48"/>
        <v>1</v>
      </c>
      <c r="CU76">
        <f t="shared" ca="1" si="48"/>
        <v>1</v>
      </c>
      <c r="CV76">
        <f t="shared" ca="1" si="48"/>
        <v>1</v>
      </c>
      <c r="CW76">
        <f t="shared" ca="1" si="48"/>
        <v>1</v>
      </c>
      <c r="DC76" cm="1">
        <f t="array" aca="1" ref="DC76" ca="1">IF(ISNA(E76),,OFFSET(INDIRECT("'"&amp;DT$67&amp;"'!f1"),E76-1,))*1</f>
        <v>0.844972967000018</v>
      </c>
      <c r="DD76" cm="1">
        <f t="array" aca="1" ref="DD76" ca="1">IF(ISNA(F76),,OFFSET(INDIRECT("'"&amp;DU$67&amp;"'!f1"),F76-1,))*1</f>
        <v>10.124023284</v>
      </c>
      <c r="DE76" cm="1">
        <f t="array" aca="1" ref="DE76" ca="1">IF(ISNA(G76),,OFFSET(INDIRECT("'"&amp;DV$67&amp;"'!f1"),G76-1,))*1</f>
        <v>1.717359987</v>
      </c>
      <c r="DF76" cm="1">
        <f t="array" aca="1" ref="DF76" ca="1">IF(ISNA(H76),,OFFSET(INDIRECT("'"&amp;DW$67&amp;"'!f1"),H76-1,))*1</f>
        <v>3.3827711999975897E-2</v>
      </c>
      <c r="DG76" cm="1">
        <f t="array" aca="1" ref="DG76" ca="1">IF(ISNA(I76),,OFFSET(INDIRECT("'"&amp;DX$67&amp;"'!f1"),I76-1,))*1</f>
        <v>2.3924055420211499</v>
      </c>
      <c r="DH76" cm="1">
        <f t="array" aca="1" ref="DH76" ca="1">IF(ISNA(J76),,OFFSET(INDIRECT("'"&amp;DY$67&amp;"'!f1"),J76-1,))*1</f>
        <v>0.447264197999999</v>
      </c>
      <c r="DI76" cm="1">
        <f t="array" aca="1" ref="DI76" ca="1">IF(ISNA(K76),,OFFSET(INDIRECT("'"&amp;DZ$67&amp;"'!f1"),K76-1,))*1</f>
        <v>11.3659241972491</v>
      </c>
      <c r="DJ76" cm="1">
        <f t="array" aca="1" ref="DJ76" ca="1">IF(ISNA(L76),,OFFSET(INDIRECT("'"&amp;EA$67&amp;"'!f1"),L76-1,))*1</f>
        <v>14.553080238401799</v>
      </c>
      <c r="DK76" cm="1">
        <f t="array" aca="1" ref="DK76" ca="1">IF(ISNA(M76),,OFFSET(INDIRECT("'"&amp;EB$67&amp;"'!f1"),M76-1,))*1</f>
        <v>62.266185338</v>
      </c>
      <c r="DL76" cm="1">
        <f t="array" aca="1" ref="DL76" ca="1">IF(ISNA(N76),,OFFSET(INDIRECT("'"&amp;EC$67&amp;"'!f1"),N76-1,))*1</f>
        <v>4.6398414000009297E-2</v>
      </c>
      <c r="DM76" cm="1">
        <f t="array" aca="1" ref="DM76" ca="1">IF(ISNA(O76),,OFFSET(INDIRECT("'"&amp;ED$67&amp;"'!f1"),O76-1,))*1</f>
        <v>3.4590987000001398E-2</v>
      </c>
      <c r="DN76" cm="1">
        <f t="array" aca="1" ref="DN76" ca="1">IF(ISNA(P76),,OFFSET(INDIRECT("'"&amp;EE$67&amp;"'!f1"),P76-1,))*1</f>
        <v>4.6565043000015197E-2</v>
      </c>
      <c r="DT76">
        <f t="shared" ca="1" si="71"/>
        <v>1</v>
      </c>
      <c r="DU76">
        <f t="shared" ca="1" si="49"/>
        <v>1</v>
      </c>
      <c r="DV76">
        <f t="shared" ca="1" si="49"/>
        <v>1</v>
      </c>
      <c r="DW76">
        <f t="shared" ca="1" si="49"/>
        <v>1</v>
      </c>
      <c r="DX76">
        <f t="shared" ca="1" si="49"/>
        <v>1</v>
      </c>
      <c r="DY76">
        <f t="shared" ca="1" si="49"/>
        <v>1</v>
      </c>
      <c r="DZ76">
        <f t="shared" ca="1" si="49"/>
        <v>9991</v>
      </c>
      <c r="EA76">
        <f t="shared" ca="1" si="49"/>
        <v>10000</v>
      </c>
      <c r="EB76">
        <f t="shared" ca="1" si="49"/>
        <v>9297</v>
      </c>
      <c r="EC76">
        <f t="shared" ca="1" si="49"/>
        <v>1</v>
      </c>
      <c r="ED76">
        <f t="shared" ca="1" si="49"/>
        <v>1</v>
      </c>
      <c r="EE76">
        <f t="shared" ca="1" si="49"/>
        <v>2</v>
      </c>
      <c r="EK76" cm="1">
        <f t="array" aca="1" ref="EK76" ca="1">IF(ISNA(E76),0,OFFSET(INDIRECT("'"&amp;EK$67&amp;"'!g1"),E76-1,)*CL76)</f>
        <v>1</v>
      </c>
      <c r="EL76" cm="1">
        <f t="array" aca="1" ref="EL76" ca="1">IF(ISNA(F76),0,OFFSET(INDIRECT("'"&amp;EL$67&amp;"'!g1"),F76-1,)*CM76)</f>
        <v>1</v>
      </c>
      <c r="EM76" cm="1">
        <f t="array" aca="1" ref="EM76" ca="1">IF(ISNA(G76),0,OFFSET(INDIRECT("'"&amp;EM$67&amp;"'!g1"),G76-1,)*CN76)</f>
        <v>1</v>
      </c>
      <c r="EN76" cm="1">
        <f t="array" aca="1" ref="EN76" ca="1">IF(ISNA(H76),0,OFFSET(INDIRECT("'"&amp;EN$67&amp;"'!g1"),H76-1,)*CO76)</f>
        <v>1</v>
      </c>
      <c r="EO76" cm="1">
        <f t="array" aca="1" ref="EO76" ca="1">IF(ISNA(I76),0,OFFSET(INDIRECT("'"&amp;EO$67&amp;"'!g1"),I76-1,)*CP76)</f>
        <v>1</v>
      </c>
      <c r="EP76" cm="1">
        <f t="array" aca="1" ref="EP76" ca="1">IF(ISNA(J76),0,OFFSET(INDIRECT("'"&amp;EP$67&amp;"'!g1"),J76-1,)*CQ76)</f>
        <v>1</v>
      </c>
      <c r="EQ76" cm="1">
        <f t="array" aca="1" ref="EQ76" ca="1">IF(ISNA(K76),0,OFFSET(INDIRECT("'"&amp;EQ$67&amp;"'!g1"),K76-1,)*CR76)</f>
        <v>9991</v>
      </c>
      <c r="ER76" cm="1">
        <f t="array" aca="1" ref="ER76" ca="1">IF(ISNA(L76),0,OFFSET(INDIRECT("'"&amp;ER$67&amp;"'!g1"),L76-1,)*CS76)</f>
        <v>10000</v>
      </c>
      <c r="ES76" cm="1">
        <f t="array" aca="1" ref="ES76" ca="1">IF(ISNA(M76),0,OFFSET(INDIRECT("'"&amp;ES$67&amp;"'!g1"),M76-1,)*CT76)</f>
        <v>9297</v>
      </c>
      <c r="ET76" cm="1">
        <f t="array" aca="1" ref="ET76" ca="1">IF(ISNA(N76),0,OFFSET(INDIRECT("'"&amp;ET$67&amp;"'!g1"),N76-1,)*CU76)</f>
        <v>1</v>
      </c>
      <c r="EU76" cm="1">
        <f t="array" aca="1" ref="EU76" ca="1">IF(ISNA(O76),0,OFFSET(INDIRECT("'"&amp;EU$67&amp;"'!g1"),O76-1,)*CV76)</f>
        <v>1</v>
      </c>
      <c r="EV76" cm="1">
        <f t="array" aca="1" ref="EV76" ca="1">IF(ISNA(P76),0,OFFSET(INDIRECT("'"&amp;EV$67&amp;"'!g1"),P76-1,)*CW76)</f>
        <v>2</v>
      </c>
      <c r="FB76" s="10" cm="1">
        <f t="array" aca="1" ref="FB76" ca="1">IF(ISNA(E76),0,OFFSET(INDIRECT("'"&amp;EK$67&amp;"'!h1"),E76-1,))</f>
        <v>1</v>
      </c>
      <c r="FC76" s="10" cm="1">
        <f t="array" aca="1" ref="FC76" ca="1">IF(ISNA(F76),0,OFFSET(INDIRECT("'"&amp;EL$67&amp;"'!h1"),F76-1,))</f>
        <v>1</v>
      </c>
      <c r="FD76" s="10" cm="1">
        <f t="array" aca="1" ref="FD76" ca="1">IF(ISNA(G76),0,OFFSET(INDIRECT("'"&amp;EM$67&amp;"'!h1"),G76-1,))</f>
        <v>1</v>
      </c>
      <c r="FE76" s="10" cm="1">
        <f t="array" aca="1" ref="FE76" ca="1">IF(ISNA(H76),0,OFFSET(INDIRECT("'"&amp;EN$67&amp;"'!h1"),H76-1,))</f>
        <v>1</v>
      </c>
      <c r="FF76" s="10" cm="1">
        <f t="array" aca="1" ref="FF76" ca="1">IF(ISNA(I76),0,OFFSET(INDIRECT("'"&amp;EO$67&amp;"'!h1"),I76-1,))</f>
        <v>1</v>
      </c>
      <c r="FG76" s="10" cm="1">
        <f t="array" aca="1" ref="FG76" ca="1">IF(ISNA(J76),0,OFFSET(INDIRECT("'"&amp;EP$67&amp;"'!h1"),J76-1,))</f>
        <v>1</v>
      </c>
      <c r="FH76" s="10" cm="1">
        <f t="array" aca="1" ref="FH76" ca="1">IF(ISNA(K76),0,OFFSET(INDIRECT("'"&amp;EQ$67&amp;"'!h1"),K76-1,))</f>
        <v>10000</v>
      </c>
      <c r="FI76" s="10" cm="1">
        <f t="array" aca="1" ref="FI76" ca="1">IF(ISNA(L76),0,OFFSET(INDIRECT("'"&amp;ER$67&amp;"'!h1"),L76-1,))</f>
        <v>10000</v>
      </c>
      <c r="FJ76" s="10" cm="1">
        <f t="array" aca="1" ref="FJ76" ca="1">IF(ISNA(M76),0,OFFSET(INDIRECT("'"&amp;ES$67&amp;"'!h1"),M76-1,))</f>
        <v>10000</v>
      </c>
      <c r="FK76" s="10" cm="1">
        <f t="array" aca="1" ref="FK76" ca="1">IF(ISNA(N76),0,OFFSET(INDIRECT("'"&amp;ET$67&amp;"'!h1"),N76-1,))</f>
        <v>1</v>
      </c>
      <c r="FL76" s="10" cm="1">
        <f t="array" aca="1" ref="FL76" ca="1">IF(ISNA(O76),0,OFFSET(INDIRECT("'"&amp;EU$67&amp;"'!h1"),O76-1,))</f>
        <v>1</v>
      </c>
      <c r="FM76" s="10" cm="1">
        <f t="array" aca="1" ref="FM76" ca="1">IF(ISNA(P76),0,OFFSET(INDIRECT("'"&amp;EV$67&amp;"'!h1"),P76-1,))</f>
        <v>2</v>
      </c>
      <c r="FN76" s="10"/>
      <c r="FO76" s="10"/>
      <c r="FP76" s="10"/>
      <c r="FQ76" s="10"/>
      <c r="FS76">
        <f t="shared" ca="1" si="72"/>
        <v>180</v>
      </c>
      <c r="FT76">
        <f t="shared" ca="1" si="73"/>
        <v>11.3659241972491</v>
      </c>
      <c r="FU76">
        <f t="shared" ca="1" si="74"/>
        <v>9991</v>
      </c>
      <c r="FV76">
        <f t="shared" ca="1" si="75"/>
        <v>10000</v>
      </c>
      <c r="FW76" s="4">
        <f t="shared" ca="1" si="76"/>
        <v>0.99909999999999999</v>
      </c>
      <c r="FX76" s="5">
        <f t="shared" ca="1" si="77"/>
        <v>1.1376162743718446E-3</v>
      </c>
      <c r="FZ76" s="13">
        <f t="shared" ca="1" si="50"/>
        <v>180</v>
      </c>
      <c r="GA76" s="23">
        <f t="shared" ca="1" si="78"/>
        <v>0</v>
      </c>
      <c r="GB76" s="23">
        <f t="shared" ca="1" si="51"/>
        <v>0</v>
      </c>
      <c r="GC76" s="23">
        <f t="shared" ca="1" si="51"/>
        <v>0</v>
      </c>
      <c r="GD76" s="23">
        <f t="shared" ca="1" si="51"/>
        <v>0</v>
      </c>
      <c r="GE76" s="23">
        <f t="shared" ca="1" si="51"/>
        <v>0</v>
      </c>
      <c r="GF76" s="23">
        <f t="shared" ca="1" si="51"/>
        <v>0</v>
      </c>
      <c r="GG76" s="23">
        <f t="shared" ca="1" si="51"/>
        <v>0</v>
      </c>
      <c r="GH76" s="23">
        <f t="shared" ca="1" si="51"/>
        <v>0</v>
      </c>
      <c r="GI76" s="23">
        <f t="shared" ca="1" si="51"/>
        <v>0</v>
      </c>
      <c r="GJ76" s="23">
        <f t="shared" ca="1" si="51"/>
        <v>0</v>
      </c>
      <c r="GK76" s="23">
        <f t="shared" ca="1" si="51"/>
        <v>0</v>
      </c>
      <c r="GL76" s="23">
        <f t="shared" ca="1" si="51"/>
        <v>0</v>
      </c>
      <c r="GM76" s="23"/>
      <c r="GN76">
        <f t="shared" ca="1" si="79"/>
        <v>180</v>
      </c>
      <c r="GO76" s="5">
        <f t="shared" ca="1" si="80"/>
        <v>0.844972967000018</v>
      </c>
      <c r="GP76" s="5">
        <f t="shared" ca="1" si="52"/>
        <v>10.124023284</v>
      </c>
      <c r="GQ76" s="5">
        <f t="shared" ca="1" si="52"/>
        <v>1.717359987</v>
      </c>
      <c r="GR76" s="5">
        <f t="shared" ca="1" si="52"/>
        <v>3.3827711999975897E-2</v>
      </c>
      <c r="GS76" s="5">
        <f t="shared" ca="1" si="52"/>
        <v>2.3924055420211499</v>
      </c>
      <c r="GT76" s="5">
        <f t="shared" ca="1" si="81"/>
        <v>0.447264197999999</v>
      </c>
      <c r="GU76" s="5">
        <f t="shared" ca="1" si="53"/>
        <v>1.1376162743718446E-3</v>
      </c>
      <c r="GV76" s="5">
        <f t="shared" ca="1" si="53"/>
        <v>1.4553080238401798E-3</v>
      </c>
      <c r="GW76" s="5">
        <f t="shared" ca="1" si="53"/>
        <v>6.6974492135097345E-3</v>
      </c>
      <c r="GX76" s="5">
        <f t="shared" ca="1" si="53"/>
        <v>4.6398414000009297E-2</v>
      </c>
      <c r="GY76" s="5">
        <f t="shared" ca="1" si="53"/>
        <v>3.4590987000001398E-2</v>
      </c>
      <c r="GZ76" s="5">
        <f t="shared" ca="1" si="53"/>
        <v>2.3282521500007598E-2</v>
      </c>
      <c r="HB76" s="13">
        <f t="shared" ca="1" si="54"/>
        <v>180</v>
      </c>
      <c r="HC76" s="4">
        <f t="shared" ca="1" si="82"/>
        <v>1</v>
      </c>
      <c r="HD76" s="4">
        <f t="shared" ca="1" si="55"/>
        <v>1</v>
      </c>
      <c r="HE76" s="4">
        <f t="shared" ca="1" si="55"/>
        <v>1</v>
      </c>
      <c r="HF76" s="4">
        <f t="shared" ca="1" si="55"/>
        <v>1</v>
      </c>
      <c r="HG76" s="4">
        <f t="shared" ca="1" si="55"/>
        <v>1</v>
      </c>
      <c r="HH76" s="4">
        <f t="shared" ca="1" si="55"/>
        <v>1</v>
      </c>
      <c r="HI76" s="4">
        <f t="shared" ca="1" si="55"/>
        <v>0.99909999999999999</v>
      </c>
      <c r="HJ76" s="4">
        <f t="shared" ca="1" si="55"/>
        <v>1</v>
      </c>
      <c r="HK76" s="4">
        <f t="shared" ca="1" si="55"/>
        <v>0.92969999999999997</v>
      </c>
      <c r="HL76" s="4">
        <f t="shared" ca="1" si="55"/>
        <v>1</v>
      </c>
      <c r="HM76" s="4">
        <f t="shared" ca="1" si="55"/>
        <v>1</v>
      </c>
      <c r="HN76" s="4">
        <f t="shared" ca="1" si="55"/>
        <v>1</v>
      </c>
    </row>
    <row r="77" spans="1:222" x14ac:dyDescent="0.2">
      <c r="A77" t="str" cm="1">
        <f t="array" aca="1" ref="A77" ca="1">INDIRECT($A$67&amp;"!A"&amp;ROW(C10)+$B$64)</f>
        <v>[[252,23,0]]</v>
      </c>
      <c r="B77" cm="1">
        <f t="array" aca="1" ref="B77" ca="1">INDIRECT($A$67&amp;"!b"&amp;ROW(D10)+$B$64)</f>
        <v>252</v>
      </c>
      <c r="C77">
        <f t="shared" ca="1" si="56"/>
        <v>4</v>
      </c>
      <c r="E77">
        <f t="shared" ca="1" si="83"/>
        <v>34</v>
      </c>
      <c r="F77">
        <f t="shared" ca="1" si="57"/>
        <v>35</v>
      </c>
      <c r="G77">
        <f t="shared" ca="1" si="58"/>
        <v>34</v>
      </c>
      <c r="H77">
        <f t="shared" ca="1" si="59"/>
        <v>34</v>
      </c>
      <c r="I77">
        <f t="shared" ca="1" si="60"/>
        <v>37</v>
      </c>
      <c r="J77">
        <f t="shared" ca="1" si="61"/>
        <v>34</v>
      </c>
      <c r="K77">
        <f t="shared" ca="1" si="62"/>
        <v>41</v>
      </c>
      <c r="L77">
        <f t="shared" ca="1" si="63"/>
        <v>43</v>
      </c>
      <c r="M77">
        <f t="shared" ca="1" si="64"/>
        <v>40</v>
      </c>
      <c r="N77">
        <f t="shared" ca="1" si="65"/>
        <v>34</v>
      </c>
      <c r="O77">
        <f t="shared" ca="1" si="66"/>
        <v>34</v>
      </c>
      <c r="P77">
        <f t="shared" ca="1" si="67"/>
        <v>34</v>
      </c>
      <c r="V77" cm="1">
        <f t="array" aca="1" ref="V77" ca="1">IF(ISNA(E77),,OFFSET(INDIRECT("'"&amp;V$67&amp;"'!d1"),E77-1,))</f>
        <v>4</v>
      </c>
      <c r="W77" cm="1">
        <f t="array" aca="1" ref="W77" ca="1">IF(ISNA(F77),,OFFSET(INDIRECT("'"&amp;W$67&amp;"'!d1"),F77-1,))</f>
        <v>4</v>
      </c>
      <c r="X77" cm="1">
        <f t="array" aca="1" ref="X77" ca="1">IF(ISNA(G77),,OFFSET(INDIRECT("'"&amp;X$67&amp;"'!d1"),G77-1,))</f>
        <v>4</v>
      </c>
      <c r="Y77" cm="1">
        <f t="array" aca="1" ref="Y77" ca="1">IF(ISNA(H77),,OFFSET(INDIRECT("'"&amp;Y$67&amp;"'!d1"),H77-1,))</f>
        <v>4</v>
      </c>
      <c r="Z77" cm="1">
        <f t="array" aca="1" ref="Z77" ca="1">IF(ISNA(I77),,OFFSET(INDIRECT("'"&amp;Z$67&amp;"'!d1"),I77-1,))</f>
        <v>4</v>
      </c>
      <c r="AA77" cm="1">
        <f t="array" aca="1" ref="AA77" ca="1">IF(ISNA(J77),,OFFSET(INDIRECT("'"&amp;AA$67&amp;"'!d1"),J77-1,))</f>
        <v>4</v>
      </c>
      <c r="AB77" cm="1">
        <f t="array" aca="1" ref="AB77" ca="1">IF(ISNA(K77),,OFFSET(INDIRECT("'"&amp;AB$67&amp;"'!d1"),K77-1,))</f>
        <v>4</v>
      </c>
      <c r="AC77" cm="1">
        <f t="array" aca="1" ref="AC77" ca="1">IF(ISNA(L77),,OFFSET(INDIRECT("'"&amp;AC$67&amp;"'!d1"),L77-1,))</f>
        <v>4</v>
      </c>
      <c r="AD77" cm="1">
        <f t="array" aca="1" ref="AD77" ca="1">IF(ISNA(M77),,OFFSET(INDIRECT("'"&amp;AD$67&amp;"'!d1"),M77-1,))</f>
        <v>4</v>
      </c>
      <c r="AE77" cm="1">
        <f t="array" aca="1" ref="AE77" ca="1">IF(ISNA(N77),,OFFSET(INDIRECT("'"&amp;AE$67&amp;"'!d1"),N77-1,))</f>
        <v>4</v>
      </c>
      <c r="AF77" cm="1">
        <f t="array" aca="1" ref="AF77" ca="1">IF(ISNA(O77),,OFFSET(INDIRECT("'"&amp;AF$67&amp;"'!d1"),O77-1,))</f>
        <v>4</v>
      </c>
      <c r="AG77" cm="1">
        <f t="array" aca="1" ref="AG77" ca="1">IF(ISNA(P77),,OFFSET(INDIRECT("'"&amp;AG$67&amp;"'!d1"),P77-1,))</f>
        <v>4</v>
      </c>
      <c r="AM77">
        <f t="shared" ca="1" si="68"/>
        <v>1</v>
      </c>
      <c r="AN77">
        <f t="shared" ca="1" si="44"/>
        <v>1</v>
      </c>
      <c r="AO77">
        <f t="shared" ca="1" si="44"/>
        <v>1</v>
      </c>
      <c r="AP77">
        <f t="shared" ca="1" si="44"/>
        <v>1</v>
      </c>
      <c r="AQ77">
        <f t="shared" ca="1" si="69"/>
        <v>1</v>
      </c>
      <c r="AV77" t="b">
        <f t="shared" ca="1" si="70"/>
        <v>1</v>
      </c>
      <c r="AW77" t="b">
        <f t="shared" ca="1" si="45"/>
        <v>1</v>
      </c>
      <c r="AX77" t="b">
        <f t="shared" ca="1" si="45"/>
        <v>1</v>
      </c>
      <c r="AY77" t="b">
        <f t="shared" ca="1" si="45"/>
        <v>1</v>
      </c>
      <c r="AZ77" t="b">
        <f t="shared" ca="1" si="45"/>
        <v>1</v>
      </c>
      <c r="BD77">
        <f t="shared" ca="1" si="46"/>
        <v>1</v>
      </c>
      <c r="BE77">
        <f t="shared" ca="1" si="46"/>
        <v>1</v>
      </c>
      <c r="BF77">
        <f t="shared" ca="1" si="46"/>
        <v>1</v>
      </c>
      <c r="BG77">
        <f t="shared" ca="1" si="46"/>
        <v>1</v>
      </c>
      <c r="BH77">
        <f t="shared" ca="1" si="46"/>
        <v>1</v>
      </c>
      <c r="BI77">
        <f t="shared" ca="1" si="46"/>
        <v>1</v>
      </c>
      <c r="BJ77">
        <f t="shared" ca="1" si="46"/>
        <v>1</v>
      </c>
      <c r="BK77">
        <f t="shared" ca="1" si="46"/>
        <v>1</v>
      </c>
      <c r="BL77">
        <f t="shared" ca="1" si="46"/>
        <v>1</v>
      </c>
      <c r="BM77">
        <f t="shared" ca="1" si="46"/>
        <v>1</v>
      </c>
      <c r="BN77">
        <f t="shared" ca="1" si="46"/>
        <v>1</v>
      </c>
      <c r="BO77">
        <f t="shared" ca="1" si="46"/>
        <v>1</v>
      </c>
      <c r="BU77">
        <f t="shared" ca="1" si="47"/>
        <v>4</v>
      </c>
      <c r="BV77">
        <f t="shared" ca="1" si="47"/>
        <v>4</v>
      </c>
      <c r="BW77">
        <f t="shared" ca="1" si="47"/>
        <v>4</v>
      </c>
      <c r="BX77">
        <f t="shared" ca="1" si="47"/>
        <v>4</v>
      </c>
      <c r="BY77">
        <f t="shared" ca="1" si="47"/>
        <v>4</v>
      </c>
      <c r="BZ77">
        <f t="shared" ca="1" si="47"/>
        <v>4</v>
      </c>
      <c r="CA77">
        <f t="shared" ca="1" si="47"/>
        <v>4</v>
      </c>
      <c r="CB77">
        <f t="shared" ca="1" si="47"/>
        <v>4</v>
      </c>
      <c r="CC77">
        <f t="shared" ca="1" si="47"/>
        <v>4</v>
      </c>
      <c r="CD77">
        <f t="shared" ca="1" si="47"/>
        <v>4</v>
      </c>
      <c r="CE77">
        <f t="shared" ca="1" si="47"/>
        <v>4</v>
      </c>
      <c r="CF77">
        <f t="shared" ca="1" si="47"/>
        <v>4</v>
      </c>
      <c r="CL77">
        <f t="shared" ca="1" si="48"/>
        <v>1</v>
      </c>
      <c r="CM77">
        <f t="shared" ca="1" si="48"/>
        <v>1</v>
      </c>
      <c r="CN77">
        <f t="shared" ca="1" si="48"/>
        <v>1</v>
      </c>
      <c r="CO77">
        <f t="shared" ca="1" si="48"/>
        <v>1</v>
      </c>
      <c r="CP77">
        <f t="shared" ca="1" si="48"/>
        <v>1</v>
      </c>
      <c r="CQ77">
        <f t="shared" ca="1" si="48"/>
        <v>1</v>
      </c>
      <c r="CR77">
        <f t="shared" ca="1" si="48"/>
        <v>1</v>
      </c>
      <c r="CS77">
        <f t="shared" ca="1" si="48"/>
        <v>1</v>
      </c>
      <c r="CT77">
        <f t="shared" ca="1" si="48"/>
        <v>1</v>
      </c>
      <c r="CU77">
        <f t="shared" ca="1" si="48"/>
        <v>1</v>
      </c>
      <c r="CV77">
        <f t="shared" ca="1" si="48"/>
        <v>1</v>
      </c>
      <c r="CW77">
        <f t="shared" ca="1" si="48"/>
        <v>1</v>
      </c>
      <c r="DC77" cm="1">
        <f t="array" aca="1" ref="DC77" ca="1">IF(ISNA(E77),,OFFSET(INDIRECT("'"&amp;DT$67&amp;"'!f1"),E77-1,))*1</f>
        <v>0.26669667199999397</v>
      </c>
      <c r="DD77" cm="1">
        <f t="array" aca="1" ref="DD77" ca="1">IF(ISNA(F77),,OFFSET(INDIRECT("'"&amp;DU$67&amp;"'!f1"),F77-1,))*1</f>
        <v>2.1146252409999899</v>
      </c>
      <c r="DE77" cm="1">
        <f t="array" aca="1" ref="DE77" ca="1">IF(ISNA(G77),,OFFSET(INDIRECT("'"&amp;DV$67&amp;"'!f1"),G77-1,))*1</f>
        <v>1.69015955099999</v>
      </c>
      <c r="DF77" cm="1">
        <f t="array" aca="1" ref="DF77" ca="1">IF(ISNA(H77),,OFFSET(INDIRECT("'"&amp;DW$67&amp;"'!f1"),H77-1,))*1</f>
        <v>1.6204288000011498E-2</v>
      </c>
      <c r="DG77" cm="1">
        <f t="array" aca="1" ref="DG77" ca="1">IF(ISNA(I77),,OFFSET(INDIRECT("'"&amp;DX$67&amp;"'!f1"),I77-1,))*1</f>
        <v>0.51486283302074298</v>
      </c>
      <c r="DH77" cm="1">
        <f t="array" aca="1" ref="DH77" ca="1">IF(ISNA(J77),,OFFSET(INDIRECT("'"&amp;DY$67&amp;"'!f1"),J77-1,))*1</f>
        <v>0.591771319999992</v>
      </c>
      <c r="DI77" cm="1">
        <f t="array" aca="1" ref="DI77" ca="1">IF(ISNA(K77),,OFFSET(INDIRECT("'"&amp;DZ$67&amp;"'!f1"),K77-1,))*1</f>
        <v>22.576406178064602</v>
      </c>
      <c r="DJ77" cm="1">
        <f t="array" aca="1" ref="DJ77" ca="1">IF(ISNA(L77),,OFFSET(INDIRECT("'"&amp;EA$67&amp;"'!f1"),L77-1,))*1</f>
        <v>23.245266930200099</v>
      </c>
      <c r="DK77" cm="1">
        <f t="array" aca="1" ref="DK77" ca="1">IF(ISNA(M77),,OFFSET(INDIRECT("'"&amp;EB$67&amp;"'!f1"),M77-1,))*1</f>
        <v>86.240610256999901</v>
      </c>
      <c r="DL77" cm="1">
        <f t="array" aca="1" ref="DL77" ca="1">IF(ISNA(N77),,OFFSET(INDIRECT("'"&amp;EC$67&amp;"'!f1"),N77-1,))*1</f>
        <v>4.4623967999996197E-2</v>
      </c>
      <c r="DM77" cm="1">
        <f t="array" aca="1" ref="DM77" ca="1">IF(ISNA(O77),,OFFSET(INDIRECT("'"&amp;ED$67&amp;"'!f1"),O77-1,))*1</f>
        <v>3.7128872000010901E-2</v>
      </c>
      <c r="DN77" cm="1">
        <f t="array" aca="1" ref="DN77" ca="1">IF(ISNA(P77),,OFFSET(INDIRECT("'"&amp;EE$67&amp;"'!f1"),P77-1,))*1</f>
        <v>4.2829439999991302E-2</v>
      </c>
      <c r="DT77">
        <f t="shared" ca="1" si="71"/>
        <v>1</v>
      </c>
      <c r="DU77">
        <f t="shared" ca="1" si="49"/>
        <v>1</v>
      </c>
      <c r="DV77">
        <f t="shared" ca="1" si="49"/>
        <v>1</v>
      </c>
      <c r="DW77">
        <f t="shared" ca="1" si="49"/>
        <v>1</v>
      </c>
      <c r="DX77">
        <f t="shared" ca="1" si="49"/>
        <v>1</v>
      </c>
      <c r="DY77">
        <f t="shared" ca="1" si="49"/>
        <v>1</v>
      </c>
      <c r="DZ77">
        <f t="shared" ca="1" si="49"/>
        <v>9315</v>
      </c>
      <c r="EA77">
        <f t="shared" ca="1" si="49"/>
        <v>9867</v>
      </c>
      <c r="EB77">
        <f t="shared" ca="1" si="49"/>
        <v>7124</v>
      </c>
      <c r="EC77">
        <f t="shared" ca="1" si="49"/>
        <v>1</v>
      </c>
      <c r="ED77">
        <f t="shared" ca="1" si="49"/>
        <v>1</v>
      </c>
      <c r="EE77">
        <f t="shared" ca="1" si="49"/>
        <v>2</v>
      </c>
      <c r="EK77" cm="1">
        <f t="array" aca="1" ref="EK77" ca="1">IF(ISNA(E77),0,OFFSET(INDIRECT("'"&amp;EK$67&amp;"'!g1"),E77-1,)*CL77)</f>
        <v>1</v>
      </c>
      <c r="EL77" cm="1">
        <f t="array" aca="1" ref="EL77" ca="1">IF(ISNA(F77),0,OFFSET(INDIRECT("'"&amp;EL$67&amp;"'!g1"),F77-1,)*CM77)</f>
        <v>1</v>
      </c>
      <c r="EM77" cm="1">
        <f t="array" aca="1" ref="EM77" ca="1">IF(ISNA(G77),0,OFFSET(INDIRECT("'"&amp;EM$67&amp;"'!g1"),G77-1,)*CN77)</f>
        <v>1</v>
      </c>
      <c r="EN77" cm="1">
        <f t="array" aca="1" ref="EN77" ca="1">IF(ISNA(H77),0,OFFSET(INDIRECT("'"&amp;EN$67&amp;"'!g1"),H77-1,)*CO77)</f>
        <v>1</v>
      </c>
      <c r="EO77" cm="1">
        <f t="array" aca="1" ref="EO77" ca="1">IF(ISNA(I77),0,OFFSET(INDIRECT("'"&amp;EO$67&amp;"'!g1"),I77-1,)*CP77)</f>
        <v>1</v>
      </c>
      <c r="EP77" cm="1">
        <f t="array" aca="1" ref="EP77" ca="1">IF(ISNA(J77),0,OFFSET(INDIRECT("'"&amp;EP$67&amp;"'!g1"),J77-1,)*CQ77)</f>
        <v>1</v>
      </c>
      <c r="EQ77" cm="1">
        <f t="array" aca="1" ref="EQ77" ca="1">IF(ISNA(K77),0,OFFSET(INDIRECT("'"&amp;EQ$67&amp;"'!g1"),K77-1,)*CR77)</f>
        <v>9315</v>
      </c>
      <c r="ER77" cm="1">
        <f t="array" aca="1" ref="ER77" ca="1">IF(ISNA(L77),0,OFFSET(INDIRECT("'"&amp;ER$67&amp;"'!g1"),L77-1,)*CS77)</f>
        <v>9867</v>
      </c>
      <c r="ES77" cm="1">
        <f t="array" aca="1" ref="ES77" ca="1">IF(ISNA(M77),0,OFFSET(INDIRECT("'"&amp;ES$67&amp;"'!g1"),M77-1,)*CT77)</f>
        <v>7124</v>
      </c>
      <c r="ET77" cm="1">
        <f t="array" aca="1" ref="ET77" ca="1">IF(ISNA(N77),0,OFFSET(INDIRECT("'"&amp;ET$67&amp;"'!g1"),N77-1,)*CU77)</f>
        <v>1</v>
      </c>
      <c r="EU77" cm="1">
        <f t="array" aca="1" ref="EU77" ca="1">IF(ISNA(O77),0,OFFSET(INDIRECT("'"&amp;EU$67&amp;"'!g1"),O77-1,)*CV77)</f>
        <v>1</v>
      </c>
      <c r="EV77" cm="1">
        <f t="array" aca="1" ref="EV77" ca="1">IF(ISNA(P77),0,OFFSET(INDIRECT("'"&amp;EV$67&amp;"'!g1"),P77-1,)*CW77)</f>
        <v>2</v>
      </c>
      <c r="FB77" s="10" cm="1">
        <f t="array" aca="1" ref="FB77" ca="1">IF(ISNA(E77),0,OFFSET(INDIRECT("'"&amp;EK$67&amp;"'!h1"),E77-1,))</f>
        <v>1</v>
      </c>
      <c r="FC77" s="10" cm="1">
        <f t="array" aca="1" ref="FC77" ca="1">IF(ISNA(F77),0,OFFSET(INDIRECT("'"&amp;EL$67&amp;"'!h1"),F77-1,))</f>
        <v>1</v>
      </c>
      <c r="FD77" s="10" cm="1">
        <f t="array" aca="1" ref="FD77" ca="1">IF(ISNA(G77),0,OFFSET(INDIRECT("'"&amp;EM$67&amp;"'!h1"),G77-1,))</f>
        <v>1</v>
      </c>
      <c r="FE77" s="10" cm="1">
        <f t="array" aca="1" ref="FE77" ca="1">IF(ISNA(H77),0,OFFSET(INDIRECT("'"&amp;EN$67&amp;"'!h1"),H77-1,))</f>
        <v>1</v>
      </c>
      <c r="FF77" s="10" cm="1">
        <f t="array" aca="1" ref="FF77" ca="1">IF(ISNA(I77),0,OFFSET(INDIRECT("'"&amp;EO$67&amp;"'!h1"),I77-1,))</f>
        <v>1</v>
      </c>
      <c r="FG77" s="10" cm="1">
        <f t="array" aca="1" ref="FG77" ca="1">IF(ISNA(J77),0,OFFSET(INDIRECT("'"&amp;EP$67&amp;"'!h1"),J77-1,))</f>
        <v>1</v>
      </c>
      <c r="FH77" s="10" cm="1">
        <f t="array" aca="1" ref="FH77" ca="1">IF(ISNA(K77),0,OFFSET(INDIRECT("'"&amp;EQ$67&amp;"'!h1"),K77-1,))</f>
        <v>10000</v>
      </c>
      <c r="FI77" s="10" cm="1">
        <f t="array" aca="1" ref="FI77" ca="1">IF(ISNA(L77),0,OFFSET(INDIRECT("'"&amp;ER$67&amp;"'!h1"),L77-1,))</f>
        <v>10000</v>
      </c>
      <c r="FJ77" s="10" cm="1">
        <f t="array" aca="1" ref="FJ77" ca="1">IF(ISNA(M77),0,OFFSET(INDIRECT("'"&amp;ES$67&amp;"'!h1"),M77-1,))</f>
        <v>10000</v>
      </c>
      <c r="FK77" s="10" cm="1">
        <f t="array" aca="1" ref="FK77" ca="1">IF(ISNA(N77),0,OFFSET(INDIRECT("'"&amp;ET$67&amp;"'!h1"),N77-1,))</f>
        <v>1</v>
      </c>
      <c r="FL77" s="10" cm="1">
        <f t="array" aca="1" ref="FL77" ca="1">IF(ISNA(O77),0,OFFSET(INDIRECT("'"&amp;EU$67&amp;"'!h1"),O77-1,))</f>
        <v>1</v>
      </c>
      <c r="FM77" s="10" cm="1">
        <f t="array" aca="1" ref="FM77" ca="1">IF(ISNA(P77),0,OFFSET(INDIRECT("'"&amp;EV$67&amp;"'!h1"),P77-1,))</f>
        <v>2</v>
      </c>
      <c r="FN77" s="10"/>
      <c r="FO77" s="10"/>
      <c r="FP77" s="10"/>
      <c r="FQ77" s="10"/>
      <c r="FS77">
        <f t="shared" ca="1" si="72"/>
        <v>252</v>
      </c>
      <c r="FT77">
        <f t="shared" ca="1" si="73"/>
        <v>22.576406178064602</v>
      </c>
      <c r="FU77">
        <f t="shared" ca="1" si="74"/>
        <v>9315</v>
      </c>
      <c r="FV77">
        <f t="shared" ca="1" si="75"/>
        <v>10000</v>
      </c>
      <c r="FW77" s="4">
        <f t="shared" ca="1" si="76"/>
        <v>0.93149999999999999</v>
      </c>
      <c r="FX77" s="5">
        <f t="shared" ca="1" si="77"/>
        <v>2.4236614254497693E-3</v>
      </c>
      <c r="FZ77" s="13">
        <f t="shared" ca="1" si="50"/>
        <v>252</v>
      </c>
      <c r="GA77" s="23">
        <f t="shared" ca="1" si="78"/>
        <v>0</v>
      </c>
      <c r="GB77" s="23">
        <f t="shared" ca="1" si="51"/>
        <v>0</v>
      </c>
      <c r="GC77" s="23">
        <f t="shared" ca="1" si="51"/>
        <v>0</v>
      </c>
      <c r="GD77" s="23">
        <f t="shared" ca="1" si="51"/>
        <v>0</v>
      </c>
      <c r="GE77" s="23">
        <f t="shared" ca="1" si="51"/>
        <v>0</v>
      </c>
      <c r="GF77" s="23">
        <f t="shared" ca="1" si="51"/>
        <v>0</v>
      </c>
      <c r="GG77" s="23">
        <f t="shared" ca="1" si="51"/>
        <v>0</v>
      </c>
      <c r="GH77" s="23">
        <f t="shared" ca="1" si="51"/>
        <v>0</v>
      </c>
      <c r="GI77" s="23">
        <f t="shared" ca="1" si="51"/>
        <v>0</v>
      </c>
      <c r="GJ77" s="23">
        <f t="shared" ca="1" si="51"/>
        <v>0</v>
      </c>
      <c r="GK77" s="23">
        <f t="shared" ca="1" si="51"/>
        <v>0</v>
      </c>
      <c r="GL77" s="23">
        <f t="shared" ca="1" si="51"/>
        <v>0</v>
      </c>
      <c r="GM77" s="23"/>
      <c r="GN77">
        <f t="shared" ca="1" si="79"/>
        <v>252</v>
      </c>
      <c r="GO77" s="5">
        <f t="shared" ca="1" si="80"/>
        <v>0.26669667199999397</v>
      </c>
      <c r="GP77" s="5">
        <f t="shared" ca="1" si="52"/>
        <v>2.1146252409999899</v>
      </c>
      <c r="GQ77" s="5">
        <f t="shared" ca="1" si="52"/>
        <v>1.69015955099999</v>
      </c>
      <c r="GR77" s="5">
        <f t="shared" ca="1" si="52"/>
        <v>1.6204288000011498E-2</v>
      </c>
      <c r="GS77" s="5">
        <f t="shared" ca="1" si="52"/>
        <v>0.51486283302074298</v>
      </c>
      <c r="GT77" s="5">
        <f t="shared" ca="1" si="81"/>
        <v>0.591771319999992</v>
      </c>
      <c r="GU77" s="5">
        <f t="shared" ca="1" si="53"/>
        <v>2.4236614254497693E-3</v>
      </c>
      <c r="GV77" s="5">
        <f t="shared" ca="1" si="53"/>
        <v>2.3558596260464275E-3</v>
      </c>
      <c r="GW77" s="5">
        <f t="shared" ca="1" si="53"/>
        <v>1.2105644337029745E-2</v>
      </c>
      <c r="GX77" s="5">
        <f t="shared" ca="1" si="53"/>
        <v>4.4623967999996197E-2</v>
      </c>
      <c r="GY77" s="5">
        <f t="shared" ca="1" si="53"/>
        <v>3.7128872000010901E-2</v>
      </c>
      <c r="GZ77" s="5">
        <f t="shared" ca="1" si="53"/>
        <v>2.1414719999995651E-2</v>
      </c>
      <c r="HB77" s="13">
        <f t="shared" ca="1" si="54"/>
        <v>252</v>
      </c>
      <c r="HC77" s="4">
        <f t="shared" ca="1" si="82"/>
        <v>1</v>
      </c>
      <c r="HD77" s="4">
        <f t="shared" ca="1" si="55"/>
        <v>1</v>
      </c>
      <c r="HE77" s="4">
        <f t="shared" ca="1" si="55"/>
        <v>1</v>
      </c>
      <c r="HF77" s="4">
        <f t="shared" ca="1" si="55"/>
        <v>1</v>
      </c>
      <c r="HG77" s="4">
        <f t="shared" ca="1" si="55"/>
        <v>1</v>
      </c>
      <c r="HH77" s="4">
        <f t="shared" ca="1" si="55"/>
        <v>1</v>
      </c>
      <c r="HI77" s="4">
        <f t="shared" ca="1" si="55"/>
        <v>0.93149999999999999</v>
      </c>
      <c r="HJ77" s="4">
        <f t="shared" ca="1" si="55"/>
        <v>0.98670000000000002</v>
      </c>
      <c r="HK77" s="4">
        <f t="shared" ca="1" si="55"/>
        <v>0.71240000000000003</v>
      </c>
      <c r="HL77" s="4">
        <f t="shared" ca="1" si="55"/>
        <v>1</v>
      </c>
      <c r="HM77" s="4">
        <f t="shared" ca="1" si="55"/>
        <v>1</v>
      </c>
      <c r="HN77" s="4">
        <f t="shared" ca="1" si="55"/>
        <v>1</v>
      </c>
    </row>
    <row r="78" spans="1:222" x14ac:dyDescent="0.2">
      <c r="A78" t="str" cm="1">
        <f t="array" aca="1" ref="A78" ca="1">INDIRECT($A$67&amp;"!A"&amp;ROW(C11)+$B$64)</f>
        <v>[[360,32,0]]</v>
      </c>
      <c r="B78" cm="1">
        <f t="array" aca="1" ref="B78" ca="1">INDIRECT($A$67&amp;"!b"&amp;ROW(D11)+$B$64)</f>
        <v>360</v>
      </c>
      <c r="C78">
        <f t="shared" ca="1" si="56"/>
        <v>5</v>
      </c>
      <c r="E78">
        <f t="shared" ca="1" si="83"/>
        <v>35</v>
      </c>
      <c r="F78">
        <f t="shared" ca="1" si="57"/>
        <v>36</v>
      </c>
      <c r="G78">
        <f t="shared" ca="1" si="58"/>
        <v>35</v>
      </c>
      <c r="H78">
        <f t="shared" ca="1" si="59"/>
        <v>35</v>
      </c>
      <c r="I78">
        <f t="shared" ca="1" si="60"/>
        <v>38</v>
      </c>
      <c r="J78">
        <f t="shared" ca="1" si="61"/>
        <v>35</v>
      </c>
      <c r="K78">
        <f t="shared" ca="1" si="62"/>
        <v>42</v>
      </c>
      <c r="L78">
        <f t="shared" ca="1" si="63"/>
        <v>44</v>
      </c>
      <c r="M78">
        <f t="shared" ca="1" si="64"/>
        <v>41</v>
      </c>
      <c r="N78">
        <f t="shared" ca="1" si="65"/>
        <v>35</v>
      </c>
      <c r="O78">
        <f t="shared" ca="1" si="66"/>
        <v>35</v>
      </c>
      <c r="P78">
        <f t="shared" ca="1" si="67"/>
        <v>35</v>
      </c>
      <c r="V78" cm="1">
        <f t="array" aca="1" ref="V78" ca="1">IF(ISNA(E78),,OFFSET(INDIRECT("'"&amp;V$67&amp;"'!d1"),E78-1,))</f>
        <v>5</v>
      </c>
      <c r="W78" cm="1">
        <f t="array" aca="1" ref="W78" ca="1">IF(ISNA(F78),,OFFSET(INDIRECT("'"&amp;W$67&amp;"'!d1"),F78-1,))</f>
        <v>5</v>
      </c>
      <c r="X78" cm="1">
        <f t="array" aca="1" ref="X78" ca="1">IF(ISNA(G78),,OFFSET(INDIRECT("'"&amp;X$67&amp;"'!d1"),G78-1,))</f>
        <v>5</v>
      </c>
      <c r="Y78" cm="1">
        <f t="array" aca="1" ref="Y78" ca="1">IF(ISNA(H78),,OFFSET(INDIRECT("'"&amp;Y$67&amp;"'!d1"),H78-1,))</f>
        <v>5</v>
      </c>
      <c r="Z78" cm="1">
        <f t="array" aca="1" ref="Z78" ca="1">IF(ISNA(I78),,OFFSET(INDIRECT("'"&amp;Z$67&amp;"'!d1"),I78-1,))</f>
        <v>5</v>
      </c>
      <c r="AA78" cm="1">
        <f t="array" aca="1" ref="AA78" ca="1">IF(ISNA(J78),,OFFSET(INDIRECT("'"&amp;AA$67&amp;"'!d1"),J78-1,))</f>
        <v>5</v>
      </c>
      <c r="AB78" cm="1">
        <f t="array" aca="1" ref="AB78" ca="1">IF(ISNA(K78),,OFFSET(INDIRECT("'"&amp;AB$67&amp;"'!d1"),K78-1,))</f>
        <v>5</v>
      </c>
      <c r="AC78" cm="1">
        <f t="array" aca="1" ref="AC78" ca="1">IF(ISNA(L78),,OFFSET(INDIRECT("'"&amp;AC$67&amp;"'!d1"),L78-1,))</f>
        <v>5</v>
      </c>
      <c r="AD78" cm="1">
        <f t="array" aca="1" ref="AD78" ca="1">IF(ISNA(M78),,OFFSET(INDIRECT("'"&amp;AD$67&amp;"'!d1"),M78-1,))</f>
        <v>5</v>
      </c>
      <c r="AE78" cm="1">
        <f t="array" aca="1" ref="AE78" ca="1">IF(ISNA(N78),,OFFSET(INDIRECT("'"&amp;AE$67&amp;"'!d1"),N78-1,))</f>
        <v>5</v>
      </c>
      <c r="AF78" cm="1">
        <f t="array" aca="1" ref="AF78" ca="1">IF(ISNA(O78),,OFFSET(INDIRECT("'"&amp;AF$67&amp;"'!d1"),O78-1,))</f>
        <v>5</v>
      </c>
      <c r="AG78" cm="1">
        <f t="array" aca="1" ref="AG78" ca="1">IF(ISNA(P78),,OFFSET(INDIRECT("'"&amp;AG$67&amp;"'!d1"),P78-1,))</f>
        <v>5</v>
      </c>
      <c r="AM78">
        <f t="shared" ca="1" si="68"/>
        <v>1</v>
      </c>
      <c r="AN78">
        <f t="shared" ca="1" si="44"/>
        <v>1</v>
      </c>
      <c r="AO78">
        <f t="shared" ca="1" si="44"/>
        <v>1</v>
      </c>
      <c r="AP78">
        <f t="shared" ca="1" si="44"/>
        <v>1</v>
      </c>
      <c r="AQ78">
        <f t="shared" ca="1" si="69"/>
        <v>1</v>
      </c>
      <c r="AV78" t="b">
        <f t="shared" ca="1" si="70"/>
        <v>1</v>
      </c>
      <c r="AW78" t="b">
        <f t="shared" ca="1" si="45"/>
        <v>1</v>
      </c>
      <c r="AX78" t="b">
        <f t="shared" ca="1" si="45"/>
        <v>1</v>
      </c>
      <c r="AY78" t="b">
        <f t="shared" ca="1" si="45"/>
        <v>1</v>
      </c>
      <c r="AZ78" t="b">
        <f t="shared" ca="1" si="45"/>
        <v>1</v>
      </c>
      <c r="BD78">
        <f t="shared" ca="1" si="46"/>
        <v>1</v>
      </c>
      <c r="BE78">
        <f t="shared" ca="1" si="46"/>
        <v>1</v>
      </c>
      <c r="BF78">
        <f t="shared" ca="1" si="46"/>
        <v>1</v>
      </c>
      <c r="BG78">
        <f t="shared" ca="1" si="46"/>
        <v>1</v>
      </c>
      <c r="BH78">
        <f t="shared" ca="1" si="46"/>
        <v>1</v>
      </c>
      <c r="BI78">
        <f t="shared" ca="1" si="46"/>
        <v>1</v>
      </c>
      <c r="BJ78">
        <f t="shared" ca="1" si="46"/>
        <v>1</v>
      </c>
      <c r="BK78">
        <f t="shared" ca="1" si="46"/>
        <v>1</v>
      </c>
      <c r="BL78">
        <f t="shared" ca="1" si="46"/>
        <v>1</v>
      </c>
      <c r="BM78">
        <f t="shared" ca="1" si="46"/>
        <v>1</v>
      </c>
      <c r="BN78">
        <f t="shared" ca="1" si="46"/>
        <v>1</v>
      </c>
      <c r="BO78">
        <f t="shared" ca="1" si="46"/>
        <v>1</v>
      </c>
      <c r="BU78">
        <f t="shared" ca="1" si="47"/>
        <v>5</v>
      </c>
      <c r="BV78">
        <f t="shared" ca="1" si="47"/>
        <v>5</v>
      </c>
      <c r="BW78">
        <f t="shared" ca="1" si="47"/>
        <v>5</v>
      </c>
      <c r="BX78">
        <f t="shared" ca="1" si="47"/>
        <v>5</v>
      </c>
      <c r="BY78">
        <f t="shared" ca="1" si="47"/>
        <v>5</v>
      </c>
      <c r="BZ78">
        <f t="shared" ca="1" si="47"/>
        <v>5</v>
      </c>
      <c r="CA78">
        <f t="shared" ca="1" si="47"/>
        <v>5</v>
      </c>
      <c r="CB78">
        <f t="shared" ca="1" si="47"/>
        <v>5</v>
      </c>
      <c r="CC78">
        <f t="shared" ca="1" si="47"/>
        <v>5</v>
      </c>
      <c r="CD78">
        <f t="shared" ca="1" si="47"/>
        <v>5</v>
      </c>
      <c r="CE78">
        <f t="shared" ca="1" si="47"/>
        <v>5</v>
      </c>
      <c r="CF78">
        <f t="shared" ca="1" si="47"/>
        <v>5</v>
      </c>
      <c r="CL78">
        <f t="shared" ca="1" si="48"/>
        <v>1</v>
      </c>
      <c r="CM78">
        <f t="shared" ca="1" si="48"/>
        <v>1</v>
      </c>
      <c r="CN78">
        <f t="shared" ca="1" si="48"/>
        <v>1</v>
      </c>
      <c r="CO78">
        <f t="shared" ca="1" si="48"/>
        <v>1</v>
      </c>
      <c r="CP78">
        <f t="shared" ca="1" si="48"/>
        <v>1</v>
      </c>
      <c r="CQ78">
        <f t="shared" ca="1" si="48"/>
        <v>1</v>
      </c>
      <c r="CR78">
        <f t="shared" ca="1" si="48"/>
        <v>1</v>
      </c>
      <c r="CS78">
        <f t="shared" ca="1" si="48"/>
        <v>1</v>
      </c>
      <c r="CT78">
        <f t="shared" ca="1" si="48"/>
        <v>1</v>
      </c>
      <c r="CU78">
        <f t="shared" ca="1" si="48"/>
        <v>1</v>
      </c>
      <c r="CV78">
        <f t="shared" ca="1" si="48"/>
        <v>1</v>
      </c>
      <c r="CW78">
        <f t="shared" ca="1" si="48"/>
        <v>1</v>
      </c>
      <c r="DC78" cm="1">
        <f t="array" aca="1" ref="DC78" ca="1">IF(ISNA(E78),,OFFSET(INDIRECT("'"&amp;DT$67&amp;"'!f1"),E78-1,))*1</f>
        <v>2.7897537229999898</v>
      </c>
      <c r="DD78" cm="1">
        <f t="array" aca="1" ref="DD78" ca="1">IF(ISNA(F78),,OFFSET(INDIRECT("'"&amp;DU$67&amp;"'!f1"),F78-1,))*1</f>
        <v>27.542506889999999</v>
      </c>
      <c r="DE78" cm="1">
        <f t="array" aca="1" ref="DE78" ca="1">IF(ISNA(G78),,OFFSET(INDIRECT("'"&amp;DV$67&amp;"'!f1"),G78-1,))*1</f>
        <v>4.45061076300001</v>
      </c>
      <c r="DF78" cm="1">
        <f t="array" aca="1" ref="DF78" ca="1">IF(ISNA(H78),,OFFSET(INDIRECT("'"&amp;DW$67&amp;"'!f1"),H78-1,))*1</f>
        <v>1.95556639999949E-2</v>
      </c>
      <c r="DG78" cm="1">
        <f t="array" aca="1" ref="DG78" ca="1">IF(ISNA(I78),,OFFSET(INDIRECT("'"&amp;DX$67&amp;"'!f1"),I78-1,))*1</f>
        <v>58.119924457976502</v>
      </c>
      <c r="DH78" cm="1">
        <f t="array" aca="1" ref="DH78" ca="1">IF(ISNA(J78),,OFFSET(INDIRECT("'"&amp;DY$67&amp;"'!f1"),J78-1,))*1</f>
        <v>1.3576629899999899</v>
      </c>
      <c r="DI78" cm="1">
        <f t="array" aca="1" ref="DI78" ca="1">IF(ISNA(K78),,OFFSET(INDIRECT("'"&amp;DZ$67&amp;"'!f1"),K78-1,))*1</f>
        <v>57.2412102585658</v>
      </c>
      <c r="DJ78" cm="1">
        <f t="array" aca="1" ref="DJ78" ca="1">IF(ISNA(L78),,OFFSET(INDIRECT("'"&amp;EA$67&amp;"'!f1"),L78-1,))*1</f>
        <v>57.761488088406601</v>
      </c>
      <c r="DK78" cm="1">
        <f t="array" aca="1" ref="DK78" ca="1">IF(ISNA(M78),,OFFSET(INDIRECT("'"&amp;EB$67&amp;"'!f1"),M78-1,))*1</f>
        <v>123.926896842</v>
      </c>
      <c r="DL78" cm="1">
        <f t="array" aca="1" ref="DL78" ca="1">IF(ISNA(N78),,OFFSET(INDIRECT("'"&amp;EC$67&amp;"'!f1"),N78-1,))*1</f>
        <v>9.6175316999989394E-2</v>
      </c>
      <c r="DM78" cm="1">
        <f t="array" aca="1" ref="DM78" ca="1">IF(ISNA(O78),,OFFSET(INDIRECT("'"&amp;ED$67&amp;"'!f1"),O78-1,))*1</f>
        <v>7.0446294999982201E-2</v>
      </c>
      <c r="DN78" cm="1">
        <f t="array" aca="1" ref="DN78" ca="1">IF(ISNA(P78),,OFFSET(INDIRECT("'"&amp;EE$67&amp;"'!f1"),P78-1,))*1</f>
        <v>9.63967450000211E-2</v>
      </c>
      <c r="DT78">
        <f t="shared" ca="1" si="71"/>
        <v>1</v>
      </c>
      <c r="DU78">
        <f t="shared" ca="1" si="49"/>
        <v>1</v>
      </c>
      <c r="DV78">
        <f t="shared" ca="1" si="49"/>
        <v>1</v>
      </c>
      <c r="DW78">
        <f t="shared" ca="1" si="49"/>
        <v>1</v>
      </c>
      <c r="DX78">
        <f t="shared" ca="1" si="49"/>
        <v>1</v>
      </c>
      <c r="DY78">
        <f t="shared" ca="1" si="49"/>
        <v>1</v>
      </c>
      <c r="DZ78">
        <f t="shared" ca="1" si="49"/>
        <v>7347</v>
      </c>
      <c r="EA78">
        <f t="shared" ca="1" si="49"/>
        <v>9379</v>
      </c>
      <c r="EB78">
        <f t="shared" ca="1" si="49"/>
        <v>3750</v>
      </c>
      <c r="EC78">
        <f t="shared" ca="1" si="49"/>
        <v>1</v>
      </c>
      <c r="ED78">
        <f t="shared" ca="1" si="49"/>
        <v>1</v>
      </c>
      <c r="EE78">
        <f t="shared" ca="1" si="49"/>
        <v>2</v>
      </c>
      <c r="EK78" cm="1">
        <f t="array" aca="1" ref="EK78" ca="1">IF(ISNA(E78),0,OFFSET(INDIRECT("'"&amp;EK$67&amp;"'!g1"),E78-1,)*CL78)</f>
        <v>1</v>
      </c>
      <c r="EL78" cm="1">
        <f t="array" aca="1" ref="EL78" ca="1">IF(ISNA(F78),0,OFFSET(INDIRECT("'"&amp;EL$67&amp;"'!g1"),F78-1,)*CM78)</f>
        <v>1</v>
      </c>
      <c r="EM78" cm="1">
        <f t="array" aca="1" ref="EM78" ca="1">IF(ISNA(G78),0,OFFSET(INDIRECT("'"&amp;EM$67&amp;"'!g1"),G78-1,)*CN78)</f>
        <v>1</v>
      </c>
      <c r="EN78" cm="1">
        <f t="array" aca="1" ref="EN78" ca="1">IF(ISNA(H78),0,OFFSET(INDIRECT("'"&amp;EN$67&amp;"'!g1"),H78-1,)*CO78)</f>
        <v>1</v>
      </c>
      <c r="EO78" cm="1">
        <f t="array" aca="1" ref="EO78" ca="1">IF(ISNA(I78),0,OFFSET(INDIRECT("'"&amp;EO$67&amp;"'!g1"),I78-1,)*CP78)</f>
        <v>1</v>
      </c>
      <c r="EP78" cm="1">
        <f t="array" aca="1" ref="EP78" ca="1">IF(ISNA(J78),0,OFFSET(INDIRECT("'"&amp;EP$67&amp;"'!g1"),J78-1,)*CQ78)</f>
        <v>1</v>
      </c>
      <c r="EQ78" cm="1">
        <f t="array" aca="1" ref="EQ78" ca="1">IF(ISNA(K78),0,OFFSET(INDIRECT("'"&amp;EQ$67&amp;"'!g1"),K78-1,)*CR78)</f>
        <v>7347</v>
      </c>
      <c r="ER78" cm="1">
        <f t="array" aca="1" ref="ER78" ca="1">IF(ISNA(L78),0,OFFSET(INDIRECT("'"&amp;ER$67&amp;"'!g1"),L78-1,)*CS78)</f>
        <v>9379</v>
      </c>
      <c r="ES78" cm="1">
        <f t="array" aca="1" ref="ES78" ca="1">IF(ISNA(M78),0,OFFSET(INDIRECT("'"&amp;ES$67&amp;"'!g1"),M78-1,)*CT78)</f>
        <v>3750</v>
      </c>
      <c r="ET78" cm="1">
        <f t="array" aca="1" ref="ET78" ca="1">IF(ISNA(N78),0,OFFSET(INDIRECT("'"&amp;ET$67&amp;"'!g1"),N78-1,)*CU78)</f>
        <v>1</v>
      </c>
      <c r="EU78" cm="1">
        <f t="array" aca="1" ref="EU78" ca="1">IF(ISNA(O78),0,OFFSET(INDIRECT("'"&amp;EU$67&amp;"'!g1"),O78-1,)*CV78)</f>
        <v>1</v>
      </c>
      <c r="EV78" cm="1">
        <f t="array" aca="1" ref="EV78" ca="1">IF(ISNA(P78),0,OFFSET(INDIRECT("'"&amp;EV$67&amp;"'!g1"),P78-1,)*CW78)</f>
        <v>2</v>
      </c>
      <c r="FB78" s="10" cm="1">
        <f t="array" aca="1" ref="FB78" ca="1">IF(ISNA(E78),0,OFFSET(INDIRECT("'"&amp;EK$67&amp;"'!h1"),E78-1,))</f>
        <v>1</v>
      </c>
      <c r="FC78" s="10" cm="1">
        <f t="array" aca="1" ref="FC78" ca="1">IF(ISNA(F78),0,OFFSET(INDIRECT("'"&amp;EL$67&amp;"'!h1"),F78-1,))</f>
        <v>1</v>
      </c>
      <c r="FD78" s="10" cm="1">
        <f t="array" aca="1" ref="FD78" ca="1">IF(ISNA(G78),0,OFFSET(INDIRECT("'"&amp;EM$67&amp;"'!h1"),G78-1,))</f>
        <v>1</v>
      </c>
      <c r="FE78" s="10" cm="1">
        <f t="array" aca="1" ref="FE78" ca="1">IF(ISNA(H78),0,OFFSET(INDIRECT("'"&amp;EN$67&amp;"'!h1"),H78-1,))</f>
        <v>1</v>
      </c>
      <c r="FF78" s="10" cm="1">
        <f t="array" aca="1" ref="FF78" ca="1">IF(ISNA(I78),0,OFFSET(INDIRECT("'"&amp;EO$67&amp;"'!h1"),I78-1,))</f>
        <v>1</v>
      </c>
      <c r="FG78" s="10" cm="1">
        <f t="array" aca="1" ref="FG78" ca="1">IF(ISNA(J78),0,OFFSET(INDIRECT("'"&amp;EP$67&amp;"'!h1"),J78-1,))</f>
        <v>1</v>
      </c>
      <c r="FH78" s="10" cm="1">
        <f t="array" aca="1" ref="FH78" ca="1">IF(ISNA(K78),0,OFFSET(INDIRECT("'"&amp;EQ$67&amp;"'!h1"),K78-1,))</f>
        <v>10000</v>
      </c>
      <c r="FI78" s="10" cm="1">
        <f t="array" aca="1" ref="FI78" ca="1">IF(ISNA(L78),0,OFFSET(INDIRECT("'"&amp;ER$67&amp;"'!h1"),L78-1,))</f>
        <v>10000</v>
      </c>
      <c r="FJ78" s="10" cm="1">
        <f t="array" aca="1" ref="FJ78" ca="1">IF(ISNA(M78),0,OFFSET(INDIRECT("'"&amp;ES$67&amp;"'!h1"),M78-1,))</f>
        <v>10000</v>
      </c>
      <c r="FK78" s="10" cm="1">
        <f t="array" aca="1" ref="FK78" ca="1">IF(ISNA(N78),0,OFFSET(INDIRECT("'"&amp;ET$67&amp;"'!h1"),N78-1,))</f>
        <v>1</v>
      </c>
      <c r="FL78" s="10" cm="1">
        <f t="array" aca="1" ref="FL78" ca="1">IF(ISNA(O78),0,OFFSET(INDIRECT("'"&amp;EU$67&amp;"'!h1"),O78-1,))</f>
        <v>1</v>
      </c>
      <c r="FM78" s="10" cm="1">
        <f t="array" aca="1" ref="FM78" ca="1">IF(ISNA(P78),0,OFFSET(INDIRECT("'"&amp;EV$67&amp;"'!h1"),P78-1,))</f>
        <v>2</v>
      </c>
      <c r="FN78" s="10"/>
      <c r="FO78" s="10"/>
      <c r="FP78" s="10"/>
      <c r="FQ78" s="10"/>
      <c r="FS78">
        <f t="shared" ca="1" si="72"/>
        <v>360</v>
      </c>
      <c r="FT78">
        <f t="shared" ca="1" si="73"/>
        <v>57.2412102585658</v>
      </c>
      <c r="FU78">
        <f t="shared" ca="1" si="74"/>
        <v>7347</v>
      </c>
      <c r="FV78">
        <f t="shared" ca="1" si="75"/>
        <v>10000</v>
      </c>
      <c r="FW78" s="4">
        <f t="shared" ca="1" si="76"/>
        <v>0.73470000000000002</v>
      </c>
      <c r="FX78" s="5">
        <f t="shared" ca="1" si="77"/>
        <v>7.7910998038064243E-3</v>
      </c>
      <c r="FZ78" s="13">
        <f t="shared" ca="1" si="50"/>
        <v>360</v>
      </c>
      <c r="GA78" s="23">
        <f t="shared" ca="1" si="78"/>
        <v>0</v>
      </c>
      <c r="GB78" s="23">
        <f t="shared" ca="1" si="51"/>
        <v>0</v>
      </c>
      <c r="GC78" s="23">
        <f t="shared" ca="1" si="51"/>
        <v>0</v>
      </c>
      <c r="GD78" s="23">
        <f t="shared" ca="1" si="51"/>
        <v>0</v>
      </c>
      <c r="GE78" s="23">
        <f t="shared" ca="1" si="51"/>
        <v>0</v>
      </c>
      <c r="GF78" s="23">
        <f t="shared" ca="1" si="51"/>
        <v>0</v>
      </c>
      <c r="GG78" s="23">
        <f t="shared" ca="1" si="51"/>
        <v>0</v>
      </c>
      <c r="GH78" s="23">
        <f t="shared" ca="1" si="51"/>
        <v>0</v>
      </c>
      <c r="GI78" s="23">
        <f t="shared" ca="1" si="51"/>
        <v>0</v>
      </c>
      <c r="GJ78" s="23">
        <f t="shared" ca="1" si="51"/>
        <v>0</v>
      </c>
      <c r="GK78" s="23">
        <f t="shared" ca="1" si="51"/>
        <v>0</v>
      </c>
      <c r="GL78" s="23">
        <f t="shared" ca="1" si="51"/>
        <v>0</v>
      </c>
      <c r="GM78" s="23"/>
      <c r="GN78">
        <f t="shared" ca="1" si="79"/>
        <v>360</v>
      </c>
      <c r="GO78" s="5">
        <f t="shared" ca="1" si="80"/>
        <v>2.7897537229999898</v>
      </c>
      <c r="GP78" s="5">
        <f t="shared" ca="1" si="52"/>
        <v>27.542506889999999</v>
      </c>
      <c r="GQ78" s="5">
        <f t="shared" ca="1" si="52"/>
        <v>4.45061076300001</v>
      </c>
      <c r="GR78" s="5">
        <f t="shared" ca="1" si="52"/>
        <v>1.95556639999949E-2</v>
      </c>
      <c r="GS78" s="5">
        <f t="shared" ca="1" si="52"/>
        <v>58.119924457976502</v>
      </c>
      <c r="GT78" s="5">
        <f t="shared" ca="1" si="81"/>
        <v>1.3576629899999899</v>
      </c>
      <c r="GU78" s="5">
        <f t="shared" ca="1" si="53"/>
        <v>7.7910998038064243E-3</v>
      </c>
      <c r="GV78" s="5">
        <f t="shared" ca="1" si="53"/>
        <v>6.1585977277328714E-3</v>
      </c>
      <c r="GW78" s="5">
        <f t="shared" ca="1" si="53"/>
        <v>3.3047172491200004E-2</v>
      </c>
      <c r="GX78" s="5">
        <f t="shared" ca="1" si="53"/>
        <v>9.6175316999989394E-2</v>
      </c>
      <c r="GY78" s="5">
        <f t="shared" ca="1" si="53"/>
        <v>7.0446294999982201E-2</v>
      </c>
      <c r="GZ78" s="5">
        <f t="shared" ca="1" si="53"/>
        <v>4.819837250001055E-2</v>
      </c>
      <c r="HB78" s="13">
        <f t="shared" ca="1" si="54"/>
        <v>360</v>
      </c>
      <c r="HC78" s="4">
        <f t="shared" ca="1" si="82"/>
        <v>1</v>
      </c>
      <c r="HD78" s="4">
        <f t="shared" ca="1" si="55"/>
        <v>1</v>
      </c>
      <c r="HE78" s="4">
        <f t="shared" ca="1" si="55"/>
        <v>1</v>
      </c>
      <c r="HF78" s="4">
        <f t="shared" ca="1" si="55"/>
        <v>1</v>
      </c>
      <c r="HG78" s="4">
        <f t="shared" ca="1" si="55"/>
        <v>1</v>
      </c>
      <c r="HH78" s="4">
        <f t="shared" ca="1" si="55"/>
        <v>1</v>
      </c>
      <c r="HI78" s="4">
        <f t="shared" ca="1" si="55"/>
        <v>0.73470000000000002</v>
      </c>
      <c r="HJ78" s="4">
        <f t="shared" ca="1" si="55"/>
        <v>0.93789999999999996</v>
      </c>
      <c r="HK78" s="4">
        <f t="shared" ca="1" si="55"/>
        <v>0.375</v>
      </c>
      <c r="HL78" s="4">
        <f t="shared" ca="1" si="55"/>
        <v>1</v>
      </c>
      <c r="HM78" s="4">
        <f t="shared" ca="1" si="55"/>
        <v>1</v>
      </c>
      <c r="HN78" s="4">
        <f t="shared" ca="1" si="55"/>
        <v>1</v>
      </c>
    </row>
    <row r="79" spans="1:222" x14ac:dyDescent="0.2">
      <c r="A79" t="str" cm="1">
        <f t="array" aca="1" ref="A79" ca="1">INDIRECT($A$67&amp;"!A"&amp;ROW(C12)+$B$64)</f>
        <v>[[384,34,0]]</v>
      </c>
      <c r="B79" cm="1">
        <f t="array" aca="1" ref="B79" ca="1">INDIRECT($A$67&amp;"!b"&amp;ROW(D12)+$B$64)</f>
        <v>384</v>
      </c>
      <c r="C79">
        <f t="shared" ca="1" si="56"/>
        <v>4</v>
      </c>
      <c r="E79">
        <f t="shared" ca="1" si="83"/>
        <v>36</v>
      </c>
      <c r="F79">
        <f t="shared" ca="1" si="57"/>
        <v>37</v>
      </c>
      <c r="G79">
        <f t="shared" ca="1" si="58"/>
        <v>36</v>
      </c>
      <c r="H79">
        <f t="shared" ca="1" si="59"/>
        <v>36</v>
      </c>
      <c r="I79">
        <f t="shared" ca="1" si="60"/>
        <v>39</v>
      </c>
      <c r="J79">
        <f t="shared" ca="1" si="61"/>
        <v>36</v>
      </c>
      <c r="K79">
        <f t="shared" ca="1" si="62"/>
        <v>43</v>
      </c>
      <c r="L79">
        <f t="shared" ca="1" si="63"/>
        <v>45</v>
      </c>
      <c r="M79">
        <f t="shared" ca="1" si="64"/>
        <v>42</v>
      </c>
      <c r="N79">
        <f t="shared" ca="1" si="65"/>
        <v>36</v>
      </c>
      <c r="O79">
        <f t="shared" ca="1" si="66"/>
        <v>36</v>
      </c>
      <c r="P79">
        <f t="shared" ca="1" si="67"/>
        <v>36</v>
      </c>
      <c r="V79" cm="1">
        <f t="array" aca="1" ref="V79" ca="1">IF(ISNA(E79),,OFFSET(INDIRECT("'"&amp;V$67&amp;"'!d1"),E79-1,))</f>
        <v>4</v>
      </c>
      <c r="W79" cm="1">
        <f t="array" aca="1" ref="W79" ca="1">IF(ISNA(F79),,OFFSET(INDIRECT("'"&amp;W$67&amp;"'!d1"),F79-1,))</f>
        <v>4</v>
      </c>
      <c r="X79" cm="1">
        <f t="array" aca="1" ref="X79" ca="1">IF(ISNA(G79),,OFFSET(INDIRECT("'"&amp;X$67&amp;"'!d1"),G79-1,))</f>
        <v>4</v>
      </c>
      <c r="Y79" cm="1">
        <f t="array" aca="1" ref="Y79" ca="1">IF(ISNA(H79),,OFFSET(INDIRECT("'"&amp;Y$67&amp;"'!d1"),H79-1,))</f>
        <v>4</v>
      </c>
      <c r="Z79" cm="1">
        <f t="array" aca="1" ref="Z79" ca="1">IF(ISNA(I79),,OFFSET(INDIRECT("'"&amp;Z$67&amp;"'!d1"),I79-1,))</f>
        <v>4</v>
      </c>
      <c r="AA79" cm="1">
        <f t="array" aca="1" ref="AA79" ca="1">IF(ISNA(J79),,OFFSET(INDIRECT("'"&amp;AA$67&amp;"'!d1"),J79-1,))</f>
        <v>4</v>
      </c>
      <c r="AB79" cm="1">
        <f t="array" aca="1" ref="AB79" ca="1">IF(ISNA(K79),,OFFSET(INDIRECT("'"&amp;AB$67&amp;"'!d1"),K79-1,))</f>
        <v>4</v>
      </c>
      <c r="AC79" cm="1">
        <f t="array" aca="1" ref="AC79" ca="1">IF(ISNA(L79),,OFFSET(INDIRECT("'"&amp;AC$67&amp;"'!d1"),L79-1,))</f>
        <v>4</v>
      </c>
      <c r="AD79" cm="1">
        <f t="array" aca="1" ref="AD79" ca="1">IF(ISNA(M79),,OFFSET(INDIRECT("'"&amp;AD$67&amp;"'!d1"),M79-1,))</f>
        <v>4</v>
      </c>
      <c r="AE79" cm="1">
        <f t="array" aca="1" ref="AE79" ca="1">IF(ISNA(N79),,OFFSET(INDIRECT("'"&amp;AE$67&amp;"'!d1"),N79-1,))</f>
        <v>4</v>
      </c>
      <c r="AF79" cm="1">
        <f t="array" aca="1" ref="AF79" ca="1">IF(ISNA(O79),,OFFSET(INDIRECT("'"&amp;AF$67&amp;"'!d1"),O79-1,))</f>
        <v>4</v>
      </c>
      <c r="AG79" cm="1">
        <f t="array" aca="1" ref="AG79" ca="1">IF(ISNA(P79),,OFFSET(INDIRECT("'"&amp;AG$67&amp;"'!d1"),P79-1,))</f>
        <v>4</v>
      </c>
      <c r="AM79">
        <f t="shared" ca="1" si="68"/>
        <v>1</v>
      </c>
      <c r="AN79">
        <f t="shared" ca="1" si="44"/>
        <v>1</v>
      </c>
      <c r="AO79">
        <f t="shared" ca="1" si="44"/>
        <v>1</v>
      </c>
      <c r="AP79">
        <f t="shared" ca="1" si="44"/>
        <v>1</v>
      </c>
      <c r="AQ79">
        <f t="shared" ca="1" si="69"/>
        <v>1</v>
      </c>
      <c r="AV79" t="b">
        <f t="shared" ca="1" si="70"/>
        <v>1</v>
      </c>
      <c r="AW79" t="b">
        <f t="shared" ca="1" si="45"/>
        <v>1</v>
      </c>
      <c r="AX79" t="b">
        <f t="shared" ca="1" si="45"/>
        <v>1</v>
      </c>
      <c r="AY79" t="b">
        <f t="shared" ca="1" si="45"/>
        <v>1</v>
      </c>
      <c r="AZ79" t="b">
        <f t="shared" ca="1" si="45"/>
        <v>1</v>
      </c>
      <c r="BD79">
        <f t="shared" ca="1" si="46"/>
        <v>1</v>
      </c>
      <c r="BE79">
        <f t="shared" ca="1" si="46"/>
        <v>1</v>
      </c>
      <c r="BF79">
        <f t="shared" ca="1" si="46"/>
        <v>1</v>
      </c>
      <c r="BG79">
        <f t="shared" ca="1" si="46"/>
        <v>1</v>
      </c>
      <c r="BH79">
        <f t="shared" ca="1" si="46"/>
        <v>1</v>
      </c>
      <c r="BI79">
        <f t="shared" ca="1" si="46"/>
        <v>1</v>
      </c>
      <c r="BJ79">
        <f t="shared" ca="1" si="46"/>
        <v>1</v>
      </c>
      <c r="BK79">
        <f t="shared" ca="1" si="46"/>
        <v>1</v>
      </c>
      <c r="BL79">
        <f t="shared" ca="1" si="46"/>
        <v>1</v>
      </c>
      <c r="BM79">
        <f t="shared" ca="1" si="46"/>
        <v>1</v>
      </c>
      <c r="BN79">
        <f t="shared" ca="1" si="46"/>
        <v>1</v>
      </c>
      <c r="BO79">
        <f t="shared" ca="1" si="46"/>
        <v>1</v>
      </c>
      <c r="BU79">
        <f t="shared" ca="1" si="47"/>
        <v>4</v>
      </c>
      <c r="BV79">
        <f t="shared" ca="1" si="47"/>
        <v>4</v>
      </c>
      <c r="BW79">
        <f t="shared" ca="1" si="47"/>
        <v>4</v>
      </c>
      <c r="BX79">
        <f t="shared" ca="1" si="47"/>
        <v>4</v>
      </c>
      <c r="BY79">
        <f t="shared" ca="1" si="47"/>
        <v>4</v>
      </c>
      <c r="BZ79">
        <f t="shared" ca="1" si="47"/>
        <v>4</v>
      </c>
      <c r="CA79">
        <f t="shared" ca="1" si="47"/>
        <v>4</v>
      </c>
      <c r="CB79">
        <f t="shared" ca="1" si="47"/>
        <v>4</v>
      </c>
      <c r="CC79">
        <f t="shared" ca="1" si="47"/>
        <v>4</v>
      </c>
      <c r="CD79">
        <f t="shared" ca="1" si="47"/>
        <v>4</v>
      </c>
      <c r="CE79">
        <f t="shared" ca="1" si="47"/>
        <v>4</v>
      </c>
      <c r="CF79">
        <f t="shared" ca="1" si="47"/>
        <v>4</v>
      </c>
      <c r="CL79">
        <f t="shared" ca="1" si="48"/>
        <v>1</v>
      </c>
      <c r="CM79">
        <f t="shared" ca="1" si="48"/>
        <v>1</v>
      </c>
      <c r="CN79">
        <f t="shared" ca="1" si="48"/>
        <v>1</v>
      </c>
      <c r="CO79">
        <f t="shared" ca="1" si="48"/>
        <v>1</v>
      </c>
      <c r="CP79">
        <f t="shared" ca="1" si="48"/>
        <v>1</v>
      </c>
      <c r="CQ79">
        <f t="shared" ca="1" si="48"/>
        <v>1</v>
      </c>
      <c r="CR79">
        <f t="shared" ca="1" si="48"/>
        <v>1</v>
      </c>
      <c r="CS79">
        <f t="shared" ca="1" si="48"/>
        <v>1</v>
      </c>
      <c r="CT79">
        <f t="shared" ca="1" si="48"/>
        <v>1</v>
      </c>
      <c r="CU79">
        <f t="shared" ca="1" si="48"/>
        <v>1</v>
      </c>
      <c r="CV79">
        <f t="shared" ca="1" si="48"/>
        <v>1</v>
      </c>
      <c r="CW79">
        <f t="shared" ca="1" si="48"/>
        <v>1</v>
      </c>
      <c r="DC79" cm="1">
        <f t="array" aca="1" ref="DC79" ca="1">IF(ISNA(E79),,OFFSET(INDIRECT("'"&amp;DT$67&amp;"'!f1"),E79-1,))*1</f>
        <v>0.62966321900000799</v>
      </c>
      <c r="DD79" cm="1">
        <f t="array" aca="1" ref="DD79" ca="1">IF(ISNA(F79),,OFFSET(INDIRECT("'"&amp;DU$67&amp;"'!f1"),F79-1,))*1</f>
        <v>3.5109025229999902</v>
      </c>
      <c r="DE79" cm="1">
        <f t="array" aca="1" ref="DE79" ca="1">IF(ISNA(G79),,OFFSET(INDIRECT("'"&amp;DV$67&amp;"'!f1"),G79-1,))*1</f>
        <v>1.91015669299997</v>
      </c>
      <c r="DF79" cm="1">
        <f t="array" aca="1" ref="DF79" ca="1">IF(ISNA(H79),,OFFSET(INDIRECT("'"&amp;DW$67&amp;"'!f1"),H79-1,))*1</f>
        <v>1.89862029999972E-2</v>
      </c>
      <c r="DG79" cm="1">
        <f t="array" aca="1" ref="DG79" ca="1">IF(ISNA(I79),,OFFSET(INDIRECT("'"&amp;DX$67&amp;"'!f1"),I79-1,))*1</f>
        <v>1.83730095898499</v>
      </c>
      <c r="DH79" cm="1">
        <f t="array" aca="1" ref="DH79" ca="1">IF(ISNA(J79),,OFFSET(INDIRECT("'"&amp;DY$67&amp;"'!f1"),J79-1,))*1</f>
        <v>1.18251888900002</v>
      </c>
      <c r="DI79" cm="1">
        <f t="array" aca="1" ref="DI79" ca="1">IF(ISNA(K79),,OFFSET(INDIRECT("'"&amp;DZ$67&amp;"'!f1"),K79-1,))*1</f>
        <v>67.779554600827396</v>
      </c>
      <c r="DJ79" cm="1">
        <f t="array" aca="1" ref="DJ79" ca="1">IF(ISNA(L79),,OFFSET(INDIRECT("'"&amp;EA$67&amp;"'!f1"),L79-1,))*1</f>
        <v>68.668509258888605</v>
      </c>
      <c r="DK79" cm="1">
        <f t="array" aca="1" ref="DK79" ca="1">IF(ISNA(M79),,OFFSET(INDIRECT("'"&amp;EB$67&amp;"'!f1"),M79-1,))*1</f>
        <v>133.90649044099899</v>
      </c>
      <c r="DL79" cm="1">
        <f t="array" aca="1" ref="DL79" ca="1">IF(ISNA(N79),,OFFSET(INDIRECT("'"&amp;EC$67&amp;"'!f1"),N79-1,))*1</f>
        <v>6.5719649000016006E-2</v>
      </c>
      <c r="DM79" cm="1">
        <f t="array" aca="1" ref="DM79" ca="1">IF(ISNA(O79),,OFFSET(INDIRECT("'"&amp;ED$67&amp;"'!f1"),O79-1,))*1</f>
        <v>5.8526432000007803E-2</v>
      </c>
      <c r="DN79" cm="1">
        <f t="array" aca="1" ref="DN79" ca="1">IF(ISNA(P79),,OFFSET(INDIRECT("'"&amp;EE$67&amp;"'!f1"),P79-1,))*1</f>
        <v>6.5892122999997499E-2</v>
      </c>
      <c r="DT79">
        <f t="shared" ca="1" si="71"/>
        <v>1</v>
      </c>
      <c r="DU79">
        <f t="shared" ca="1" si="49"/>
        <v>1</v>
      </c>
      <c r="DV79">
        <f t="shared" ca="1" si="49"/>
        <v>1</v>
      </c>
      <c r="DW79">
        <f t="shared" ca="1" si="49"/>
        <v>1</v>
      </c>
      <c r="DX79">
        <f t="shared" ca="1" si="49"/>
        <v>1</v>
      </c>
      <c r="DY79">
        <f t="shared" ca="1" si="49"/>
        <v>1</v>
      </c>
      <c r="DZ79">
        <f t="shared" ca="1" si="49"/>
        <v>9834</v>
      </c>
      <c r="EA79">
        <f t="shared" ca="1" si="49"/>
        <v>9954</v>
      </c>
      <c r="EB79">
        <f t="shared" ca="1" si="49"/>
        <v>9202</v>
      </c>
      <c r="EC79">
        <f t="shared" ca="1" si="49"/>
        <v>1</v>
      </c>
      <c r="ED79">
        <f t="shared" ca="1" si="49"/>
        <v>1</v>
      </c>
      <c r="EE79">
        <f t="shared" ca="1" si="49"/>
        <v>2</v>
      </c>
      <c r="EK79" cm="1">
        <f t="array" aca="1" ref="EK79" ca="1">IF(ISNA(E79),0,OFFSET(INDIRECT("'"&amp;EK$67&amp;"'!g1"),E79-1,)*CL79)</f>
        <v>1</v>
      </c>
      <c r="EL79" cm="1">
        <f t="array" aca="1" ref="EL79" ca="1">IF(ISNA(F79),0,OFFSET(INDIRECT("'"&amp;EL$67&amp;"'!g1"),F79-1,)*CM79)</f>
        <v>1</v>
      </c>
      <c r="EM79" cm="1">
        <f t="array" aca="1" ref="EM79" ca="1">IF(ISNA(G79),0,OFFSET(INDIRECT("'"&amp;EM$67&amp;"'!g1"),G79-1,)*CN79)</f>
        <v>1</v>
      </c>
      <c r="EN79" cm="1">
        <f t="array" aca="1" ref="EN79" ca="1">IF(ISNA(H79),0,OFFSET(INDIRECT("'"&amp;EN$67&amp;"'!g1"),H79-1,)*CO79)</f>
        <v>1</v>
      </c>
      <c r="EO79" cm="1">
        <f t="array" aca="1" ref="EO79" ca="1">IF(ISNA(I79),0,OFFSET(INDIRECT("'"&amp;EO$67&amp;"'!g1"),I79-1,)*CP79)</f>
        <v>1</v>
      </c>
      <c r="EP79" cm="1">
        <f t="array" aca="1" ref="EP79" ca="1">IF(ISNA(J79),0,OFFSET(INDIRECT("'"&amp;EP$67&amp;"'!g1"),J79-1,)*CQ79)</f>
        <v>1</v>
      </c>
      <c r="EQ79" cm="1">
        <f t="array" aca="1" ref="EQ79" ca="1">IF(ISNA(K79),0,OFFSET(INDIRECT("'"&amp;EQ$67&amp;"'!g1"),K79-1,)*CR79)</f>
        <v>9834</v>
      </c>
      <c r="ER79" cm="1">
        <f t="array" aca="1" ref="ER79" ca="1">IF(ISNA(L79),0,OFFSET(INDIRECT("'"&amp;ER$67&amp;"'!g1"),L79-1,)*CS79)</f>
        <v>9954</v>
      </c>
      <c r="ES79" cm="1">
        <f t="array" aca="1" ref="ES79" ca="1">IF(ISNA(M79),0,OFFSET(INDIRECT("'"&amp;ES$67&amp;"'!g1"),M79-1,)*CT79)</f>
        <v>9202</v>
      </c>
      <c r="ET79" cm="1">
        <f t="array" aca="1" ref="ET79" ca="1">IF(ISNA(N79),0,OFFSET(INDIRECT("'"&amp;ET$67&amp;"'!g1"),N79-1,)*CU79)</f>
        <v>1</v>
      </c>
      <c r="EU79" cm="1">
        <f t="array" aca="1" ref="EU79" ca="1">IF(ISNA(O79),0,OFFSET(INDIRECT("'"&amp;EU$67&amp;"'!g1"),O79-1,)*CV79)</f>
        <v>1</v>
      </c>
      <c r="EV79" cm="1">
        <f t="array" aca="1" ref="EV79" ca="1">IF(ISNA(P79),0,OFFSET(INDIRECT("'"&amp;EV$67&amp;"'!g1"),P79-1,)*CW79)</f>
        <v>2</v>
      </c>
      <c r="FB79" s="10" cm="1">
        <f t="array" aca="1" ref="FB79" ca="1">IF(ISNA(E79),0,OFFSET(INDIRECT("'"&amp;EK$67&amp;"'!h1"),E79-1,))</f>
        <v>1</v>
      </c>
      <c r="FC79" s="10" cm="1">
        <f t="array" aca="1" ref="FC79" ca="1">IF(ISNA(F79),0,OFFSET(INDIRECT("'"&amp;EL$67&amp;"'!h1"),F79-1,))</f>
        <v>1</v>
      </c>
      <c r="FD79" s="10" cm="1">
        <f t="array" aca="1" ref="FD79" ca="1">IF(ISNA(G79),0,OFFSET(INDIRECT("'"&amp;EM$67&amp;"'!h1"),G79-1,))</f>
        <v>1</v>
      </c>
      <c r="FE79" s="10" cm="1">
        <f t="array" aca="1" ref="FE79" ca="1">IF(ISNA(H79),0,OFFSET(INDIRECT("'"&amp;EN$67&amp;"'!h1"),H79-1,))</f>
        <v>1</v>
      </c>
      <c r="FF79" s="10" cm="1">
        <f t="array" aca="1" ref="FF79" ca="1">IF(ISNA(I79),0,OFFSET(INDIRECT("'"&amp;EO$67&amp;"'!h1"),I79-1,))</f>
        <v>1</v>
      </c>
      <c r="FG79" s="10" cm="1">
        <f t="array" aca="1" ref="FG79" ca="1">IF(ISNA(J79),0,OFFSET(INDIRECT("'"&amp;EP$67&amp;"'!h1"),J79-1,))</f>
        <v>1</v>
      </c>
      <c r="FH79" s="10" cm="1">
        <f t="array" aca="1" ref="FH79" ca="1">IF(ISNA(K79),0,OFFSET(INDIRECT("'"&amp;EQ$67&amp;"'!h1"),K79-1,))</f>
        <v>10000</v>
      </c>
      <c r="FI79" s="10" cm="1">
        <f t="array" aca="1" ref="FI79" ca="1">IF(ISNA(L79),0,OFFSET(INDIRECT("'"&amp;ER$67&amp;"'!h1"),L79-1,))</f>
        <v>10000</v>
      </c>
      <c r="FJ79" s="10" cm="1">
        <f t="array" aca="1" ref="FJ79" ca="1">IF(ISNA(M79),0,OFFSET(INDIRECT("'"&amp;ES$67&amp;"'!h1"),M79-1,))</f>
        <v>10000</v>
      </c>
      <c r="FK79" s="10" cm="1">
        <f t="array" aca="1" ref="FK79" ca="1">IF(ISNA(N79),0,OFFSET(INDIRECT("'"&amp;ET$67&amp;"'!h1"),N79-1,))</f>
        <v>1</v>
      </c>
      <c r="FL79" s="10" cm="1">
        <f t="array" aca="1" ref="FL79" ca="1">IF(ISNA(O79),0,OFFSET(INDIRECT("'"&amp;EU$67&amp;"'!h1"),O79-1,))</f>
        <v>1</v>
      </c>
      <c r="FM79" s="10" cm="1">
        <f t="array" aca="1" ref="FM79" ca="1">IF(ISNA(P79),0,OFFSET(INDIRECT("'"&amp;EV$67&amp;"'!h1"),P79-1,))</f>
        <v>2</v>
      </c>
      <c r="FN79" s="10"/>
      <c r="FO79" s="10"/>
      <c r="FP79" s="10"/>
      <c r="FQ79" s="10"/>
      <c r="FS79">
        <f t="shared" ca="1" si="72"/>
        <v>384</v>
      </c>
      <c r="FT79">
        <f t="shared" ca="1" si="73"/>
        <v>67.779554600827396</v>
      </c>
      <c r="FU79">
        <f t="shared" ca="1" si="74"/>
        <v>9834</v>
      </c>
      <c r="FV79">
        <f t="shared" ca="1" si="75"/>
        <v>10000</v>
      </c>
      <c r="FW79" s="4">
        <f t="shared" ca="1" si="76"/>
        <v>0.98340000000000005</v>
      </c>
      <c r="FX79" s="5">
        <f t="shared" ca="1" si="77"/>
        <v>6.8923687818616425E-3</v>
      </c>
      <c r="FZ79" s="13">
        <f t="shared" ca="1" si="50"/>
        <v>384</v>
      </c>
      <c r="GA79" s="23">
        <f t="shared" ca="1" si="78"/>
        <v>0</v>
      </c>
      <c r="GB79" s="23">
        <f t="shared" ca="1" si="51"/>
        <v>0</v>
      </c>
      <c r="GC79" s="23">
        <f t="shared" ca="1" si="51"/>
        <v>0</v>
      </c>
      <c r="GD79" s="23">
        <f t="shared" ca="1" si="51"/>
        <v>0</v>
      </c>
      <c r="GE79" s="23">
        <f t="shared" ca="1" si="51"/>
        <v>0</v>
      </c>
      <c r="GF79" s="23">
        <f t="shared" ca="1" si="51"/>
        <v>0</v>
      </c>
      <c r="GG79" s="23">
        <f t="shared" ca="1" si="51"/>
        <v>0</v>
      </c>
      <c r="GH79" s="23">
        <f t="shared" ca="1" si="51"/>
        <v>0</v>
      </c>
      <c r="GI79" s="23">
        <f t="shared" ca="1" si="51"/>
        <v>0</v>
      </c>
      <c r="GJ79" s="23">
        <f t="shared" ca="1" si="51"/>
        <v>0</v>
      </c>
      <c r="GK79" s="23">
        <f t="shared" ca="1" si="51"/>
        <v>0</v>
      </c>
      <c r="GL79" s="23">
        <f t="shared" ca="1" si="51"/>
        <v>0</v>
      </c>
      <c r="GM79" s="23"/>
      <c r="GN79">
        <f t="shared" ca="1" si="79"/>
        <v>384</v>
      </c>
      <c r="GO79" s="5">
        <f t="shared" ca="1" si="80"/>
        <v>0.62966321900000799</v>
      </c>
      <c r="GP79" s="5">
        <f t="shared" ca="1" si="52"/>
        <v>3.5109025229999902</v>
      </c>
      <c r="GQ79" s="5">
        <f t="shared" ca="1" si="52"/>
        <v>1.91015669299997</v>
      </c>
      <c r="GR79" s="5">
        <f t="shared" ca="1" si="52"/>
        <v>1.89862029999972E-2</v>
      </c>
      <c r="GS79" s="5">
        <f t="shared" ca="1" si="52"/>
        <v>1.83730095898499</v>
      </c>
      <c r="GT79" s="5">
        <f t="shared" ca="1" si="81"/>
        <v>1.18251888900002</v>
      </c>
      <c r="GU79" s="5">
        <f t="shared" ca="1" si="53"/>
        <v>6.8923687818616425E-3</v>
      </c>
      <c r="GV79" s="5">
        <f t="shared" ca="1" si="53"/>
        <v>6.8985844141941539E-3</v>
      </c>
      <c r="GW79" s="5">
        <f t="shared" ca="1" si="53"/>
        <v>1.4551889854488045E-2</v>
      </c>
      <c r="GX79" s="5">
        <f t="shared" ca="1" si="53"/>
        <v>6.5719649000016006E-2</v>
      </c>
      <c r="GY79" s="5">
        <f t="shared" ca="1" si="53"/>
        <v>5.8526432000007803E-2</v>
      </c>
      <c r="GZ79" s="5">
        <f t="shared" ca="1" si="53"/>
        <v>3.2946061499998749E-2</v>
      </c>
      <c r="HB79" s="13">
        <f t="shared" ca="1" si="54"/>
        <v>384</v>
      </c>
      <c r="HC79" s="4">
        <f t="shared" ca="1" si="82"/>
        <v>1</v>
      </c>
      <c r="HD79" s="4">
        <f t="shared" ca="1" si="55"/>
        <v>1</v>
      </c>
      <c r="HE79" s="4">
        <f t="shared" ca="1" si="55"/>
        <v>1</v>
      </c>
      <c r="HF79" s="4">
        <f t="shared" ca="1" si="55"/>
        <v>1</v>
      </c>
      <c r="HG79" s="4">
        <f t="shared" ca="1" si="55"/>
        <v>1</v>
      </c>
      <c r="HH79" s="4">
        <f t="shared" ca="1" si="55"/>
        <v>1</v>
      </c>
      <c r="HI79" s="4">
        <f t="shared" ca="1" si="55"/>
        <v>0.98340000000000005</v>
      </c>
      <c r="HJ79" s="4">
        <f t="shared" ca="1" si="55"/>
        <v>0.99539999999999995</v>
      </c>
      <c r="HK79" s="4">
        <f t="shared" ca="1" si="55"/>
        <v>0.92020000000000002</v>
      </c>
      <c r="HL79" s="4">
        <f t="shared" ca="1" si="55"/>
        <v>1</v>
      </c>
      <c r="HM79" s="4">
        <f t="shared" ca="1" si="55"/>
        <v>1</v>
      </c>
      <c r="HN79" s="4">
        <f t="shared" ca="1" si="55"/>
        <v>1</v>
      </c>
    </row>
    <row r="80" spans="1:222" x14ac:dyDescent="0.2">
      <c r="A80" t="str" cm="1">
        <f t="array" aca="1" ref="A80" ca="1">INDIRECT($A$67&amp;"!A"&amp;ROW(C13)+$B$64)</f>
        <v>[[504,44,0]]</v>
      </c>
      <c r="B80" cm="1">
        <f t="array" aca="1" ref="B80" ca="1">INDIRECT($A$67&amp;"!b"&amp;ROW(D13)+$B$64)</f>
        <v>504</v>
      </c>
      <c r="C80">
        <f t="shared" ca="1" si="56"/>
        <v>6</v>
      </c>
      <c r="E80">
        <f t="shared" ca="1" si="83"/>
        <v>37</v>
      </c>
      <c r="F80">
        <f t="shared" ca="1" si="57"/>
        <v>38</v>
      </c>
      <c r="G80">
        <f t="shared" ca="1" si="58"/>
        <v>37</v>
      </c>
      <c r="H80">
        <f t="shared" ca="1" si="59"/>
        <v>37</v>
      </c>
      <c r="I80">
        <f t="shared" ca="1" si="60"/>
        <v>40</v>
      </c>
      <c r="J80">
        <f t="shared" ca="1" si="61"/>
        <v>37</v>
      </c>
      <c r="K80">
        <f t="shared" ca="1" si="62"/>
        <v>44</v>
      </c>
      <c r="L80">
        <f t="shared" ca="1" si="63"/>
        <v>46</v>
      </c>
      <c r="M80">
        <f t="shared" ca="1" si="64"/>
        <v>43</v>
      </c>
      <c r="N80">
        <f t="shared" ca="1" si="65"/>
        <v>37</v>
      </c>
      <c r="O80">
        <f t="shared" ca="1" si="66"/>
        <v>37</v>
      </c>
      <c r="P80">
        <f t="shared" ca="1" si="67"/>
        <v>37</v>
      </c>
      <c r="V80" cm="1">
        <f t="array" aca="1" ref="V80" ca="1">IF(ISNA(E80),,OFFSET(INDIRECT("'"&amp;V$67&amp;"'!d1"),E80-1,))</f>
        <v>6</v>
      </c>
      <c r="W80" cm="1">
        <f t="array" aca="1" ref="W80" ca="1">IF(ISNA(F80),,OFFSET(INDIRECT("'"&amp;W$67&amp;"'!d1"),F80-1,))</f>
        <v>6</v>
      </c>
      <c r="X80" cm="1">
        <f t="array" aca="1" ref="X80" ca="1">IF(ISNA(G80),,OFFSET(INDIRECT("'"&amp;X$67&amp;"'!d1"),G80-1,))</f>
        <v>6</v>
      </c>
      <c r="Y80" cm="1">
        <f t="array" aca="1" ref="Y80" ca="1">IF(ISNA(H80),,OFFSET(INDIRECT("'"&amp;Y$67&amp;"'!d1"),H80-1,))</f>
        <v>6</v>
      </c>
      <c r="Z80" cm="1">
        <f t="array" aca="1" ref="Z80" ca="1">IF(ISNA(I80),,OFFSET(INDIRECT("'"&amp;Z$67&amp;"'!d1"),I80-1,))</f>
        <v>6</v>
      </c>
      <c r="AA80" cm="1">
        <f t="array" aca="1" ref="AA80" ca="1">IF(ISNA(J80),,OFFSET(INDIRECT("'"&amp;AA$67&amp;"'!d1"),J80-1,))</f>
        <v>6</v>
      </c>
      <c r="AB80" cm="1">
        <f t="array" aca="1" ref="AB80" ca="1">IF(ISNA(K80),,OFFSET(INDIRECT("'"&amp;AB$67&amp;"'!d1"),K80-1,))</f>
        <v>6</v>
      </c>
      <c r="AC80" cm="1">
        <f t="array" aca="1" ref="AC80" ca="1">IF(ISNA(L80),,OFFSET(INDIRECT("'"&amp;AC$67&amp;"'!d1"),L80-1,))</f>
        <v>6</v>
      </c>
      <c r="AD80" cm="1">
        <f t="array" aca="1" ref="AD80" ca="1">IF(ISNA(M80),,OFFSET(INDIRECT("'"&amp;AD$67&amp;"'!d1"),M80-1,))</f>
        <v>6</v>
      </c>
      <c r="AE80" cm="1">
        <f t="array" aca="1" ref="AE80" ca="1">IF(ISNA(N80),,OFFSET(INDIRECT("'"&amp;AE$67&amp;"'!d1"),N80-1,))</f>
        <v>6</v>
      </c>
      <c r="AF80" cm="1">
        <f t="array" aca="1" ref="AF80" ca="1">IF(ISNA(O80),,OFFSET(INDIRECT("'"&amp;AF$67&amp;"'!d1"),O80-1,))</f>
        <v>6</v>
      </c>
      <c r="AG80" cm="1">
        <f t="array" aca="1" ref="AG80" ca="1">IF(ISNA(P80),,OFFSET(INDIRECT("'"&amp;AG$67&amp;"'!d1"),P80-1,))</f>
        <v>6</v>
      </c>
      <c r="AM80">
        <f t="shared" ca="1" si="68"/>
        <v>1</v>
      </c>
      <c r="AN80">
        <f t="shared" ca="1" si="44"/>
        <v>1</v>
      </c>
      <c r="AO80">
        <f t="shared" ca="1" si="44"/>
        <v>1</v>
      </c>
      <c r="AP80">
        <f t="shared" ca="1" si="44"/>
        <v>1</v>
      </c>
      <c r="AQ80">
        <f t="shared" ca="1" si="69"/>
        <v>0</v>
      </c>
      <c r="AV80" t="b">
        <f t="shared" ca="1" si="70"/>
        <v>1</v>
      </c>
      <c r="AW80" t="b">
        <f t="shared" ca="1" si="45"/>
        <v>1</v>
      </c>
      <c r="AX80" t="b">
        <f t="shared" ca="1" si="45"/>
        <v>1</v>
      </c>
      <c r="AY80" t="b">
        <f t="shared" ca="1" si="45"/>
        <v>1</v>
      </c>
      <c r="AZ80" t="str">
        <f t="shared" ca="1" si="45"/>
        <v/>
      </c>
      <c r="BD80">
        <f t="shared" ca="1" si="46"/>
        <v>1</v>
      </c>
      <c r="BE80">
        <f t="shared" ca="1" si="46"/>
        <v>1</v>
      </c>
      <c r="BF80">
        <f t="shared" ca="1" si="46"/>
        <v>1</v>
      </c>
      <c r="BG80">
        <f t="shared" ca="1" si="46"/>
        <v>1</v>
      </c>
      <c r="BH80">
        <f t="shared" ca="1" si="46"/>
        <v>1</v>
      </c>
      <c r="BI80">
        <f t="shared" ca="1" si="46"/>
        <v>1</v>
      </c>
      <c r="BJ80">
        <f t="shared" ca="1" si="46"/>
        <v>1</v>
      </c>
      <c r="BK80">
        <f t="shared" ca="1" si="46"/>
        <v>1</v>
      </c>
      <c r="BL80">
        <f t="shared" ca="1" si="46"/>
        <v>1</v>
      </c>
      <c r="BM80">
        <f t="shared" ca="1" si="46"/>
        <v>1</v>
      </c>
      <c r="BN80">
        <f t="shared" ca="1" si="46"/>
        <v>1</v>
      </c>
      <c r="BO80">
        <f t="shared" ca="1" si="46"/>
        <v>1</v>
      </c>
      <c r="BU80">
        <f t="shared" ca="1" si="47"/>
        <v>6</v>
      </c>
      <c r="BV80">
        <f t="shared" ca="1" si="47"/>
        <v>6</v>
      </c>
      <c r="BW80">
        <f t="shared" ca="1" si="47"/>
        <v>6</v>
      </c>
      <c r="BX80">
        <f t="shared" ca="1" si="47"/>
        <v>6</v>
      </c>
      <c r="BY80">
        <f t="shared" ca="1" si="47"/>
        <v>6</v>
      </c>
      <c r="BZ80">
        <f t="shared" ca="1" si="47"/>
        <v>6</v>
      </c>
      <c r="CA80">
        <f t="shared" ca="1" si="47"/>
        <v>6</v>
      </c>
      <c r="CB80">
        <f t="shared" ca="1" si="47"/>
        <v>6</v>
      </c>
      <c r="CC80">
        <f t="shared" ca="1" si="47"/>
        <v>6</v>
      </c>
      <c r="CD80">
        <f t="shared" ca="1" si="47"/>
        <v>6</v>
      </c>
      <c r="CE80">
        <f t="shared" ca="1" si="47"/>
        <v>6</v>
      </c>
      <c r="CF80">
        <f t="shared" ca="1" si="47"/>
        <v>6</v>
      </c>
      <c r="CL80">
        <f t="shared" ca="1" si="48"/>
        <v>1</v>
      </c>
      <c r="CM80">
        <f t="shared" ca="1" si="48"/>
        <v>1</v>
      </c>
      <c r="CN80">
        <f t="shared" ca="1" si="48"/>
        <v>1</v>
      </c>
      <c r="CO80">
        <f t="shared" ca="1" si="48"/>
        <v>1</v>
      </c>
      <c r="CP80">
        <f t="shared" ca="1" si="48"/>
        <v>1</v>
      </c>
      <c r="CQ80">
        <f t="shared" ca="1" si="48"/>
        <v>1</v>
      </c>
      <c r="CR80">
        <f t="shared" ca="1" si="48"/>
        <v>1</v>
      </c>
      <c r="CS80">
        <f t="shared" ca="1" si="48"/>
        <v>1</v>
      </c>
      <c r="CT80">
        <f t="shared" ca="1" si="48"/>
        <v>1</v>
      </c>
      <c r="CU80">
        <f t="shared" ca="1" si="48"/>
        <v>1</v>
      </c>
      <c r="CV80">
        <f t="shared" ca="1" si="48"/>
        <v>1</v>
      </c>
      <c r="CW80">
        <f t="shared" ca="1" si="48"/>
        <v>1</v>
      </c>
      <c r="DC80" cm="1">
        <f t="array" aca="1" ref="DC80" ca="1">IF(ISNA(E80),,OFFSET(INDIRECT("'"&amp;DT$67&amp;"'!f1"),E80-1,))*1</f>
        <v>42.549868285999899</v>
      </c>
      <c r="DD80" cm="1">
        <f t="array" aca="1" ref="DD80" ca="1">IF(ISNA(F80),,OFFSET(INDIRECT("'"&amp;DU$67&amp;"'!f1"),F80-1,))*1</f>
        <v>293.339920097</v>
      </c>
      <c r="DE80" cm="1">
        <f t="array" aca="1" ref="DE80" ca="1">IF(ISNA(G80),,OFFSET(INDIRECT("'"&amp;DV$67&amp;"'!f1"),G80-1,))*1</f>
        <v>52.778818481999998</v>
      </c>
      <c r="DF80" cm="1">
        <f t="array" aca="1" ref="DF80" ca="1">IF(ISNA(H80),,OFFSET(INDIRECT("'"&amp;DW$67&amp;"'!f1"),H80-1,))*1</f>
        <v>3.67883450000192E-2</v>
      </c>
      <c r="DG80" cm="1">
        <f t="array" aca="1" ref="DG80" ca="1">IF(ISNA(I80),,OFFSET(INDIRECT("'"&amp;DX$67&amp;"'!f1"),I80-1,))*1</f>
        <v>28800.111147915999</v>
      </c>
      <c r="DH80" cm="1">
        <f t="array" aca="1" ref="DH80" ca="1">IF(ISNA(J80),,OFFSET(INDIRECT("'"&amp;DY$67&amp;"'!f1"),J80-1,))*1</f>
        <v>3.2374514739999798</v>
      </c>
      <c r="DI80" cm="1">
        <f t="array" aca="1" ref="DI80" ca="1">IF(ISNA(K80),,OFFSET(INDIRECT("'"&amp;DZ$67&amp;"'!f1"),K80-1,))*1</f>
        <v>146.473428504541</v>
      </c>
      <c r="DJ80" cm="1">
        <f t="array" aca="1" ref="DJ80" ca="1">IF(ISNA(L80),,OFFSET(INDIRECT("'"&amp;EA$67&amp;"'!f1"),L80-1,))*1</f>
        <v>148.421716318465</v>
      </c>
      <c r="DK80" cm="1">
        <f t="array" aca="1" ref="DK80" ca="1">IF(ISNA(M80),,OFFSET(INDIRECT("'"&amp;EB$67&amp;"'!f1"),M80-1,))*1</f>
        <v>177.123015256</v>
      </c>
      <c r="DL80" cm="1">
        <f t="array" aca="1" ref="DL80" ca="1">IF(ISNA(N80),,OFFSET(INDIRECT("'"&amp;EC$67&amp;"'!f1"),N80-1,))*1</f>
        <v>0.38964252699997798</v>
      </c>
      <c r="DM80" cm="1">
        <f t="array" aca="1" ref="DM80" ca="1">IF(ISNA(O80),,OFFSET(INDIRECT("'"&amp;ED$67&amp;"'!f1"),O80-1,))*1</f>
        <v>0.27396868400001001</v>
      </c>
      <c r="DN80" cm="1">
        <f t="array" aca="1" ref="DN80" ca="1">IF(ISNA(P80),,OFFSET(INDIRECT("'"&amp;EE$67&amp;"'!f1"),P80-1,))*1</f>
        <v>0.47035175799999202</v>
      </c>
      <c r="DT80">
        <f t="shared" ca="1" si="71"/>
        <v>1</v>
      </c>
      <c r="DU80">
        <f t="shared" ca="1" si="49"/>
        <v>1</v>
      </c>
      <c r="DV80">
        <f t="shared" ca="1" si="49"/>
        <v>1</v>
      </c>
      <c r="DW80">
        <f t="shared" ca="1" si="49"/>
        <v>1</v>
      </c>
      <c r="DX80">
        <f t="shared" ca="1" si="49"/>
        <v>1</v>
      </c>
      <c r="DY80">
        <f t="shared" ca="1" si="49"/>
        <v>1</v>
      </c>
      <c r="DZ80">
        <f t="shared" ca="1" si="49"/>
        <v>9977</v>
      </c>
      <c r="EA80">
        <f t="shared" ca="1" si="49"/>
        <v>10000</v>
      </c>
      <c r="EB80">
        <f t="shared" ca="1" si="49"/>
        <v>9474</v>
      </c>
      <c r="EC80">
        <f t="shared" ca="1" si="49"/>
        <v>1</v>
      </c>
      <c r="ED80">
        <f t="shared" ca="1" si="49"/>
        <v>1</v>
      </c>
      <c r="EE80">
        <f t="shared" ca="1" si="49"/>
        <v>2</v>
      </c>
      <c r="EK80" cm="1">
        <f t="array" aca="1" ref="EK80" ca="1">IF(ISNA(E80),0,OFFSET(INDIRECT("'"&amp;EK$67&amp;"'!g1"),E80-1,)*CL80)</f>
        <v>1</v>
      </c>
      <c r="EL80" cm="1">
        <f t="array" aca="1" ref="EL80" ca="1">IF(ISNA(F80),0,OFFSET(INDIRECT("'"&amp;EL$67&amp;"'!g1"),F80-1,)*CM80)</f>
        <v>1</v>
      </c>
      <c r="EM80" cm="1">
        <f t="array" aca="1" ref="EM80" ca="1">IF(ISNA(G80),0,OFFSET(INDIRECT("'"&amp;EM$67&amp;"'!g1"),G80-1,)*CN80)</f>
        <v>1</v>
      </c>
      <c r="EN80" cm="1">
        <f t="array" aca="1" ref="EN80" ca="1">IF(ISNA(H80),0,OFFSET(INDIRECT("'"&amp;EN$67&amp;"'!g1"),H80-1,)*CO80)</f>
        <v>1</v>
      </c>
      <c r="EO80" cm="1">
        <f t="array" aca="1" ref="EO80" ca="1">IF(ISNA(I80),0,OFFSET(INDIRECT("'"&amp;EO$67&amp;"'!g1"),I80-1,)*CP80)</f>
        <v>1</v>
      </c>
      <c r="EP80" cm="1">
        <f t="array" aca="1" ref="EP80" ca="1">IF(ISNA(J80),0,OFFSET(INDIRECT("'"&amp;EP$67&amp;"'!g1"),J80-1,)*CQ80)</f>
        <v>1</v>
      </c>
      <c r="EQ80" cm="1">
        <f t="array" aca="1" ref="EQ80" ca="1">IF(ISNA(K80),0,OFFSET(INDIRECT("'"&amp;EQ$67&amp;"'!g1"),K80-1,)*CR80)</f>
        <v>9977</v>
      </c>
      <c r="ER80" cm="1">
        <f t="array" aca="1" ref="ER80" ca="1">IF(ISNA(L80),0,OFFSET(INDIRECT("'"&amp;ER$67&amp;"'!g1"),L80-1,)*CS80)</f>
        <v>10000</v>
      </c>
      <c r="ES80" cm="1">
        <f t="array" aca="1" ref="ES80" ca="1">IF(ISNA(M80),0,OFFSET(INDIRECT("'"&amp;ES$67&amp;"'!g1"),M80-1,)*CT80)</f>
        <v>9474</v>
      </c>
      <c r="ET80" cm="1">
        <f t="array" aca="1" ref="ET80" ca="1">IF(ISNA(N80),0,OFFSET(INDIRECT("'"&amp;ET$67&amp;"'!g1"),N80-1,)*CU80)</f>
        <v>1</v>
      </c>
      <c r="EU80" cm="1">
        <f t="array" aca="1" ref="EU80" ca="1">IF(ISNA(O80),0,OFFSET(INDIRECT("'"&amp;EU$67&amp;"'!g1"),O80-1,)*CV80)</f>
        <v>1</v>
      </c>
      <c r="EV80" cm="1">
        <f t="array" aca="1" ref="EV80" ca="1">IF(ISNA(P80),0,OFFSET(INDIRECT("'"&amp;EV$67&amp;"'!g1"),P80-1,)*CW80)</f>
        <v>2</v>
      </c>
      <c r="FB80" s="10" cm="1">
        <f t="array" aca="1" ref="FB80" ca="1">IF(ISNA(E80),0,OFFSET(INDIRECT("'"&amp;EK$67&amp;"'!h1"),E80-1,))</f>
        <v>1</v>
      </c>
      <c r="FC80" s="10" cm="1">
        <f t="array" aca="1" ref="FC80" ca="1">IF(ISNA(F80),0,OFFSET(INDIRECT("'"&amp;EL$67&amp;"'!h1"),F80-1,))</f>
        <v>1</v>
      </c>
      <c r="FD80" s="10" cm="1">
        <f t="array" aca="1" ref="FD80" ca="1">IF(ISNA(G80),0,OFFSET(INDIRECT("'"&amp;EM$67&amp;"'!h1"),G80-1,))</f>
        <v>1</v>
      </c>
      <c r="FE80" s="10" cm="1">
        <f t="array" aca="1" ref="FE80" ca="1">IF(ISNA(H80),0,OFFSET(INDIRECT("'"&amp;EN$67&amp;"'!h1"),H80-1,))</f>
        <v>1</v>
      </c>
      <c r="FF80" s="10" cm="1">
        <f t="array" aca="1" ref="FF80" ca="1">IF(ISNA(I80),0,OFFSET(INDIRECT("'"&amp;EO$67&amp;"'!h1"),I80-1,))</f>
        <v>1</v>
      </c>
      <c r="FG80" s="10" cm="1">
        <f t="array" aca="1" ref="FG80" ca="1">IF(ISNA(J80),0,OFFSET(INDIRECT("'"&amp;EP$67&amp;"'!h1"),J80-1,))</f>
        <v>1</v>
      </c>
      <c r="FH80" s="10" cm="1">
        <f t="array" aca="1" ref="FH80" ca="1">IF(ISNA(K80),0,OFFSET(INDIRECT("'"&amp;EQ$67&amp;"'!h1"),K80-1,))</f>
        <v>10000</v>
      </c>
      <c r="FI80" s="10" cm="1">
        <f t="array" aca="1" ref="FI80" ca="1">IF(ISNA(L80),0,OFFSET(INDIRECT("'"&amp;ER$67&amp;"'!h1"),L80-1,))</f>
        <v>10000</v>
      </c>
      <c r="FJ80" s="10" cm="1">
        <f t="array" aca="1" ref="FJ80" ca="1">IF(ISNA(M80),0,OFFSET(INDIRECT("'"&amp;ES$67&amp;"'!h1"),M80-1,))</f>
        <v>10000</v>
      </c>
      <c r="FK80" s="10" cm="1">
        <f t="array" aca="1" ref="FK80" ca="1">IF(ISNA(N80),0,OFFSET(INDIRECT("'"&amp;ET$67&amp;"'!h1"),N80-1,))</f>
        <v>1</v>
      </c>
      <c r="FL80" s="10" cm="1">
        <f t="array" aca="1" ref="FL80" ca="1">IF(ISNA(O80),0,OFFSET(INDIRECT("'"&amp;EU$67&amp;"'!h1"),O80-1,))</f>
        <v>1</v>
      </c>
      <c r="FM80" s="10" cm="1">
        <f t="array" aca="1" ref="FM80" ca="1">IF(ISNA(P80),0,OFFSET(INDIRECT("'"&amp;EV$67&amp;"'!h1"),P80-1,))</f>
        <v>2</v>
      </c>
      <c r="FN80" s="10"/>
      <c r="FO80" s="10"/>
      <c r="FP80" s="10"/>
      <c r="FQ80" s="10"/>
      <c r="FS80">
        <f t="shared" ca="1" si="72"/>
        <v>504</v>
      </c>
      <c r="FT80">
        <f t="shared" ca="1" si="73"/>
        <v>146.473428504541</v>
      </c>
      <c r="FU80">
        <f t="shared" ca="1" si="74"/>
        <v>9977</v>
      </c>
      <c r="FV80">
        <f t="shared" ca="1" si="75"/>
        <v>10000</v>
      </c>
      <c r="FW80" s="4">
        <f t="shared" ca="1" si="76"/>
        <v>0.99770000000000003</v>
      </c>
      <c r="FX80" s="5">
        <f t="shared" ca="1" si="77"/>
        <v>1.4681109402078882E-2</v>
      </c>
      <c r="FZ80" s="13">
        <f t="shared" ca="1" si="50"/>
        <v>504</v>
      </c>
      <c r="GA80" s="23">
        <f t="shared" ca="1" si="78"/>
        <v>0</v>
      </c>
      <c r="GB80" s="23">
        <f t="shared" ca="1" si="51"/>
        <v>0</v>
      </c>
      <c r="GC80" s="23">
        <f t="shared" ca="1" si="51"/>
        <v>0</v>
      </c>
      <c r="GD80" s="23">
        <f t="shared" ca="1" si="51"/>
        <v>0</v>
      </c>
      <c r="GE80" s="23">
        <f t="shared" ca="1" si="51"/>
        <v>0</v>
      </c>
      <c r="GF80" s="23">
        <f t="shared" ca="1" si="51"/>
        <v>0</v>
      </c>
      <c r="GG80" s="23">
        <f t="shared" ca="1" si="51"/>
        <v>0</v>
      </c>
      <c r="GH80" s="23">
        <f t="shared" ca="1" si="51"/>
        <v>0</v>
      </c>
      <c r="GI80" s="23">
        <f t="shared" ca="1" si="51"/>
        <v>0</v>
      </c>
      <c r="GJ80" s="23">
        <f t="shared" ca="1" si="51"/>
        <v>0</v>
      </c>
      <c r="GK80" s="23">
        <f t="shared" ca="1" si="51"/>
        <v>0</v>
      </c>
      <c r="GL80" s="23">
        <f t="shared" ca="1" si="51"/>
        <v>0</v>
      </c>
      <c r="GM80" s="23"/>
      <c r="GN80">
        <f t="shared" ca="1" si="79"/>
        <v>504</v>
      </c>
      <c r="GO80" s="5">
        <f t="shared" ca="1" si="80"/>
        <v>42.549868285999899</v>
      </c>
      <c r="GP80" s="5">
        <f t="shared" ca="1" si="52"/>
        <v>293.339920097</v>
      </c>
      <c r="GQ80" s="5">
        <f t="shared" ca="1" si="52"/>
        <v>52.778818481999998</v>
      </c>
      <c r="GR80" s="5">
        <f t="shared" ca="1" si="52"/>
        <v>3.67883450000192E-2</v>
      </c>
      <c r="GS80" s="5" t="e">
        <f t="shared" ca="1" si="52"/>
        <v>#N/A</v>
      </c>
      <c r="GT80" s="5">
        <f t="shared" ca="1" si="81"/>
        <v>3.2374514739999798</v>
      </c>
      <c r="GU80" s="5">
        <f t="shared" ca="1" si="53"/>
        <v>1.4681109402078882E-2</v>
      </c>
      <c r="GV80" s="5">
        <f t="shared" ca="1" si="53"/>
        <v>1.48421716318465E-2</v>
      </c>
      <c r="GW80" s="5">
        <f t="shared" ca="1" si="53"/>
        <v>1.8695695087185982E-2</v>
      </c>
      <c r="GX80" s="5">
        <f t="shared" ca="1" si="53"/>
        <v>0.38964252699997798</v>
      </c>
      <c r="GY80" s="5">
        <f t="shared" ca="1" si="53"/>
        <v>0.27396868400001001</v>
      </c>
      <c r="GZ80" s="5">
        <f t="shared" ca="1" si="53"/>
        <v>0.23517587899999601</v>
      </c>
      <c r="HB80" s="13">
        <f t="shared" ca="1" si="54"/>
        <v>504</v>
      </c>
      <c r="HC80" s="4">
        <f t="shared" ca="1" si="82"/>
        <v>1</v>
      </c>
      <c r="HD80" s="4">
        <f t="shared" ca="1" si="55"/>
        <v>1</v>
      </c>
      <c r="HE80" s="4">
        <f t="shared" ca="1" si="55"/>
        <v>1</v>
      </c>
      <c r="HF80" s="4">
        <f t="shared" ca="1" si="55"/>
        <v>1</v>
      </c>
      <c r="HG80" s="4">
        <f t="shared" ca="1" si="55"/>
        <v>1</v>
      </c>
      <c r="HH80" s="4">
        <f t="shared" ca="1" si="55"/>
        <v>1</v>
      </c>
      <c r="HI80" s="4">
        <f t="shared" ca="1" si="55"/>
        <v>0.99770000000000003</v>
      </c>
      <c r="HJ80" s="4">
        <f t="shared" ca="1" si="55"/>
        <v>1</v>
      </c>
      <c r="HK80" s="4">
        <f t="shared" ca="1" si="55"/>
        <v>0.94740000000000002</v>
      </c>
      <c r="HL80" s="4">
        <f t="shared" ca="1" si="55"/>
        <v>1</v>
      </c>
      <c r="HM80" s="4">
        <f t="shared" ca="1" si="55"/>
        <v>1</v>
      </c>
      <c r="HN80" s="4">
        <f t="shared" ca="1" si="55"/>
        <v>1</v>
      </c>
    </row>
    <row r="81" spans="1:222" x14ac:dyDescent="0.2">
      <c r="A81" t="str" cm="1">
        <f t="array" aca="1" ref="A81" ca="1">INDIRECT($A$67&amp;"!A"&amp;ROW(C14)+$B$64)</f>
        <v>[[504,44,0]]</v>
      </c>
      <c r="B81" cm="1">
        <f t="array" aca="1" ref="B81" ca="1">INDIRECT($A$67&amp;"!b"&amp;ROW(D14)+$B$64)</f>
        <v>504</v>
      </c>
      <c r="C81">
        <f t="shared" ca="1" si="56"/>
        <v>6</v>
      </c>
      <c r="E81">
        <f t="shared" ca="1" si="83"/>
        <v>38</v>
      </c>
      <c r="F81">
        <f t="shared" ca="1" si="57"/>
        <v>39</v>
      </c>
      <c r="G81">
        <f t="shared" ca="1" si="58"/>
        <v>38</v>
      </c>
      <c r="H81">
        <f t="shared" ca="1" si="59"/>
        <v>38</v>
      </c>
      <c r="I81">
        <f t="shared" ca="1" si="60"/>
        <v>41</v>
      </c>
      <c r="J81">
        <f t="shared" ca="1" si="61"/>
        <v>38</v>
      </c>
      <c r="K81">
        <f t="shared" ca="1" si="62"/>
        <v>45</v>
      </c>
      <c r="L81">
        <f t="shared" ca="1" si="63"/>
        <v>47</v>
      </c>
      <c r="M81">
        <f t="shared" ca="1" si="64"/>
        <v>44</v>
      </c>
      <c r="N81">
        <f t="shared" ca="1" si="65"/>
        <v>38</v>
      </c>
      <c r="O81">
        <f t="shared" ca="1" si="66"/>
        <v>38</v>
      </c>
      <c r="P81">
        <f t="shared" ca="1" si="67"/>
        <v>38</v>
      </c>
      <c r="V81" cm="1">
        <f t="array" aca="1" ref="V81" ca="1">IF(ISNA(E81),,OFFSET(INDIRECT("'"&amp;V$67&amp;"'!d1"),E81-1,))</f>
        <v>6</v>
      </c>
      <c r="W81" cm="1">
        <f t="array" aca="1" ref="W81" ca="1">IF(ISNA(F81),,OFFSET(INDIRECT("'"&amp;W$67&amp;"'!d1"),F81-1,))</f>
        <v>6</v>
      </c>
      <c r="X81" cm="1">
        <f t="array" aca="1" ref="X81" ca="1">IF(ISNA(G81),,OFFSET(INDIRECT("'"&amp;X$67&amp;"'!d1"),G81-1,))</f>
        <v>6</v>
      </c>
      <c r="Y81" cm="1">
        <f t="array" aca="1" ref="Y81" ca="1">IF(ISNA(H81),,OFFSET(INDIRECT("'"&amp;Y$67&amp;"'!d1"),H81-1,))</f>
        <v>6</v>
      </c>
      <c r="Z81" cm="1">
        <f t="array" aca="1" ref="Z81" ca="1">IF(ISNA(I81),,OFFSET(INDIRECT("'"&amp;Z$67&amp;"'!d1"),I81-1,))</f>
        <v>6</v>
      </c>
      <c r="AA81" cm="1">
        <f t="array" aca="1" ref="AA81" ca="1">IF(ISNA(J81),,OFFSET(INDIRECT("'"&amp;AA$67&amp;"'!d1"),J81-1,))</f>
        <v>6</v>
      </c>
      <c r="AB81" cm="1">
        <f t="array" aca="1" ref="AB81" ca="1">IF(ISNA(K81),,OFFSET(INDIRECT("'"&amp;AB$67&amp;"'!d1"),K81-1,))</f>
        <v>6</v>
      </c>
      <c r="AC81" cm="1">
        <f t="array" aca="1" ref="AC81" ca="1">IF(ISNA(L81),,OFFSET(INDIRECT("'"&amp;AC$67&amp;"'!d1"),L81-1,))</f>
        <v>6</v>
      </c>
      <c r="AD81" cm="1">
        <f t="array" aca="1" ref="AD81" ca="1">IF(ISNA(M81),,OFFSET(INDIRECT("'"&amp;AD$67&amp;"'!d1"),M81-1,))</f>
        <v>6</v>
      </c>
      <c r="AE81" cm="1">
        <f t="array" aca="1" ref="AE81" ca="1">IF(ISNA(N81),,OFFSET(INDIRECT("'"&amp;AE$67&amp;"'!d1"),N81-1,))</f>
        <v>6</v>
      </c>
      <c r="AF81" cm="1">
        <f t="array" aca="1" ref="AF81" ca="1">IF(ISNA(O81),,OFFSET(INDIRECT("'"&amp;AF$67&amp;"'!d1"),O81-1,))</f>
        <v>6</v>
      </c>
      <c r="AG81" cm="1">
        <f t="array" aca="1" ref="AG81" ca="1">IF(ISNA(P81),,OFFSET(INDIRECT("'"&amp;AG$67&amp;"'!d1"),P81-1,))</f>
        <v>6</v>
      </c>
      <c r="AM81">
        <f t="shared" ca="1" si="68"/>
        <v>1</v>
      </c>
      <c r="AN81">
        <f t="shared" ca="1" si="44"/>
        <v>1</v>
      </c>
      <c r="AO81">
        <f t="shared" ca="1" si="44"/>
        <v>1</v>
      </c>
      <c r="AP81">
        <f t="shared" ca="1" si="44"/>
        <v>1</v>
      </c>
      <c r="AQ81">
        <f t="shared" ca="1" si="69"/>
        <v>0</v>
      </c>
      <c r="AV81" t="b">
        <f t="shared" ca="1" si="70"/>
        <v>1</v>
      </c>
      <c r="AW81" t="b">
        <f t="shared" ca="1" si="45"/>
        <v>1</v>
      </c>
      <c r="AX81" t="b">
        <f t="shared" ca="1" si="45"/>
        <v>1</v>
      </c>
      <c r="AY81" t="b">
        <f t="shared" ca="1" si="45"/>
        <v>1</v>
      </c>
      <c r="AZ81" t="str">
        <f t="shared" ca="1" si="45"/>
        <v/>
      </c>
      <c r="BD81">
        <f t="shared" ca="1" si="46"/>
        <v>1</v>
      </c>
      <c r="BE81">
        <f t="shared" ca="1" si="46"/>
        <v>1</v>
      </c>
      <c r="BF81">
        <f t="shared" ca="1" si="46"/>
        <v>1</v>
      </c>
      <c r="BG81">
        <f t="shared" ca="1" si="46"/>
        <v>1</v>
      </c>
      <c r="BH81">
        <f t="shared" ca="1" si="46"/>
        <v>1</v>
      </c>
      <c r="BI81">
        <f t="shared" ca="1" si="46"/>
        <v>1</v>
      </c>
      <c r="BJ81">
        <f t="shared" ca="1" si="46"/>
        <v>1</v>
      </c>
      <c r="BK81">
        <f t="shared" ca="1" si="46"/>
        <v>1</v>
      </c>
      <c r="BL81">
        <f t="shared" ca="1" si="46"/>
        <v>1</v>
      </c>
      <c r="BM81">
        <f t="shared" ca="1" si="46"/>
        <v>1</v>
      </c>
      <c r="BN81">
        <f t="shared" ca="1" si="46"/>
        <v>1</v>
      </c>
      <c r="BO81">
        <f t="shared" ca="1" si="46"/>
        <v>1</v>
      </c>
      <c r="BU81">
        <f t="shared" ca="1" si="47"/>
        <v>6</v>
      </c>
      <c r="BV81">
        <f t="shared" ca="1" si="47"/>
        <v>6</v>
      </c>
      <c r="BW81">
        <f t="shared" ca="1" si="47"/>
        <v>6</v>
      </c>
      <c r="BX81">
        <f t="shared" ca="1" si="47"/>
        <v>6</v>
      </c>
      <c r="BY81">
        <f t="shared" ca="1" si="47"/>
        <v>6</v>
      </c>
      <c r="BZ81">
        <f t="shared" ca="1" si="47"/>
        <v>6</v>
      </c>
      <c r="CA81">
        <f t="shared" ca="1" si="47"/>
        <v>6</v>
      </c>
      <c r="CB81">
        <f t="shared" ca="1" si="47"/>
        <v>6</v>
      </c>
      <c r="CC81">
        <f t="shared" ca="1" si="47"/>
        <v>6</v>
      </c>
      <c r="CD81">
        <f t="shared" ca="1" si="47"/>
        <v>6</v>
      </c>
      <c r="CE81">
        <f t="shared" ca="1" si="47"/>
        <v>6</v>
      </c>
      <c r="CF81">
        <f t="shared" ca="1" si="47"/>
        <v>6</v>
      </c>
      <c r="CL81">
        <f t="shared" ca="1" si="48"/>
        <v>1</v>
      </c>
      <c r="CM81">
        <f t="shared" ca="1" si="48"/>
        <v>1</v>
      </c>
      <c r="CN81">
        <f t="shared" ca="1" si="48"/>
        <v>1</v>
      </c>
      <c r="CO81">
        <f t="shared" ca="1" si="48"/>
        <v>1</v>
      </c>
      <c r="CP81">
        <f t="shared" ca="1" si="48"/>
        <v>1</v>
      </c>
      <c r="CQ81">
        <f t="shared" ca="1" si="48"/>
        <v>1</v>
      </c>
      <c r="CR81">
        <f t="shared" ca="1" si="48"/>
        <v>1</v>
      </c>
      <c r="CS81">
        <f t="shared" ca="1" si="48"/>
        <v>1</v>
      </c>
      <c r="CT81">
        <f t="shared" ca="1" si="48"/>
        <v>1</v>
      </c>
      <c r="CU81">
        <f t="shared" ca="1" si="48"/>
        <v>1</v>
      </c>
      <c r="CV81">
        <f t="shared" ca="1" si="48"/>
        <v>1</v>
      </c>
      <c r="CW81">
        <f t="shared" ca="1" si="48"/>
        <v>1</v>
      </c>
      <c r="DC81" cm="1">
        <f t="array" aca="1" ref="DC81" ca="1">IF(ISNA(E81),,OFFSET(INDIRECT("'"&amp;DT$67&amp;"'!f1"),E81-1,))*1</f>
        <v>38.179762527000001</v>
      </c>
      <c r="DD81" cm="1">
        <f t="array" aca="1" ref="DD81" ca="1">IF(ISNA(F81),,OFFSET(INDIRECT("'"&amp;DU$67&amp;"'!f1"),F81-1,))*1</f>
        <v>297.91383050500002</v>
      </c>
      <c r="DE81" cm="1">
        <f t="array" aca="1" ref="DE81" ca="1">IF(ISNA(G81),,OFFSET(INDIRECT("'"&amp;DV$67&amp;"'!f1"),G81-1,))*1</f>
        <v>58.850609816999899</v>
      </c>
      <c r="DF81" cm="1">
        <f t="array" aca="1" ref="DF81" ca="1">IF(ISNA(H81),,OFFSET(INDIRECT("'"&amp;DW$67&amp;"'!f1"),H81-1,))*1</f>
        <v>4.0009113999985801E-2</v>
      </c>
      <c r="DG81" cm="1">
        <f t="array" aca="1" ref="DG81" ca="1">IF(ISNA(I81),,OFFSET(INDIRECT("'"&amp;DX$67&amp;"'!f1"),I81-1,))*1</f>
        <v>28800.217870833902</v>
      </c>
      <c r="DH81" cm="1">
        <f t="array" aca="1" ref="DH81" ca="1">IF(ISNA(J81),,OFFSET(INDIRECT("'"&amp;DY$67&amp;"'!f1"),J81-1,))*1</f>
        <v>3.25712238599999</v>
      </c>
      <c r="DI81" cm="1">
        <f t="array" aca="1" ref="DI81" ca="1">IF(ISNA(K81),,OFFSET(INDIRECT("'"&amp;DZ$67&amp;"'!f1"),K81-1,))*1</f>
        <v>138.24920450802799</v>
      </c>
      <c r="DJ81" cm="1">
        <f t="array" aca="1" ref="DJ81" ca="1">IF(ISNA(L81),,OFFSET(INDIRECT("'"&amp;EA$67&amp;"'!f1"),L81-1,))*1</f>
        <v>138.09537153597901</v>
      </c>
      <c r="DK81" cm="1">
        <f t="array" aca="1" ref="DK81" ca="1">IF(ISNA(M81),,OFFSET(INDIRECT("'"&amp;EB$67&amp;"'!f1"),M81-1,))*1</f>
        <v>178.04975901099999</v>
      </c>
      <c r="DL81" cm="1">
        <f t="array" aca="1" ref="DL81" ca="1">IF(ISNA(N81),,OFFSET(INDIRECT("'"&amp;EC$67&amp;"'!f1"),N81-1,))*1</f>
        <v>0.44351509400001898</v>
      </c>
      <c r="DM81" cm="1">
        <f t="array" aca="1" ref="DM81" ca="1">IF(ISNA(O81),,OFFSET(INDIRECT("'"&amp;ED$67&amp;"'!f1"),O81-1,))*1</f>
        <v>0.27369200299997898</v>
      </c>
      <c r="DN81" cm="1">
        <f t="array" aca="1" ref="DN81" ca="1">IF(ISNA(P81),,OFFSET(INDIRECT("'"&amp;EE$67&amp;"'!f1"),P81-1,))*1</f>
        <v>0.44959687400000797</v>
      </c>
      <c r="DT81">
        <f t="shared" ca="1" si="71"/>
        <v>1</v>
      </c>
      <c r="DU81">
        <f t="shared" ca="1" si="49"/>
        <v>1</v>
      </c>
      <c r="DV81">
        <f t="shared" ca="1" si="49"/>
        <v>1</v>
      </c>
      <c r="DW81">
        <f t="shared" ca="1" si="49"/>
        <v>1</v>
      </c>
      <c r="DX81">
        <f t="shared" ca="1" si="49"/>
        <v>1</v>
      </c>
      <c r="DY81">
        <f t="shared" ca="1" si="49"/>
        <v>1</v>
      </c>
      <c r="DZ81">
        <f t="shared" ca="1" si="49"/>
        <v>9830</v>
      </c>
      <c r="EA81">
        <f t="shared" ca="1" si="49"/>
        <v>9992</v>
      </c>
      <c r="EB81">
        <f t="shared" ca="1" si="49"/>
        <v>9066</v>
      </c>
      <c r="EC81">
        <f t="shared" ca="1" si="49"/>
        <v>1</v>
      </c>
      <c r="ED81">
        <f t="shared" ca="1" si="49"/>
        <v>1</v>
      </c>
      <c r="EE81">
        <f t="shared" ca="1" si="49"/>
        <v>2</v>
      </c>
      <c r="EK81" cm="1">
        <f t="array" aca="1" ref="EK81" ca="1">IF(ISNA(E81),0,OFFSET(INDIRECT("'"&amp;EK$67&amp;"'!g1"),E81-1,)*CL81)</f>
        <v>1</v>
      </c>
      <c r="EL81" cm="1">
        <f t="array" aca="1" ref="EL81" ca="1">IF(ISNA(F81),0,OFFSET(INDIRECT("'"&amp;EL$67&amp;"'!g1"),F81-1,)*CM81)</f>
        <v>1</v>
      </c>
      <c r="EM81" cm="1">
        <f t="array" aca="1" ref="EM81" ca="1">IF(ISNA(G81),0,OFFSET(INDIRECT("'"&amp;EM$67&amp;"'!g1"),G81-1,)*CN81)</f>
        <v>1</v>
      </c>
      <c r="EN81" cm="1">
        <f t="array" aca="1" ref="EN81" ca="1">IF(ISNA(H81),0,OFFSET(INDIRECT("'"&amp;EN$67&amp;"'!g1"),H81-1,)*CO81)</f>
        <v>1</v>
      </c>
      <c r="EO81" cm="1">
        <f t="array" aca="1" ref="EO81" ca="1">IF(ISNA(I81),0,OFFSET(INDIRECT("'"&amp;EO$67&amp;"'!g1"),I81-1,)*CP81)</f>
        <v>1</v>
      </c>
      <c r="EP81" cm="1">
        <f t="array" aca="1" ref="EP81" ca="1">IF(ISNA(J81),0,OFFSET(INDIRECT("'"&amp;EP$67&amp;"'!g1"),J81-1,)*CQ81)</f>
        <v>1</v>
      </c>
      <c r="EQ81" cm="1">
        <f t="array" aca="1" ref="EQ81" ca="1">IF(ISNA(K81),0,OFFSET(INDIRECT("'"&amp;EQ$67&amp;"'!g1"),K81-1,)*CR81)</f>
        <v>9830</v>
      </c>
      <c r="ER81" cm="1">
        <f t="array" aca="1" ref="ER81" ca="1">IF(ISNA(L81),0,OFFSET(INDIRECT("'"&amp;ER$67&amp;"'!g1"),L81-1,)*CS81)</f>
        <v>9992</v>
      </c>
      <c r="ES81" cm="1">
        <f t="array" aca="1" ref="ES81" ca="1">IF(ISNA(M81),0,OFFSET(INDIRECT("'"&amp;ES$67&amp;"'!g1"),M81-1,)*CT81)</f>
        <v>9066</v>
      </c>
      <c r="ET81" cm="1">
        <f t="array" aca="1" ref="ET81" ca="1">IF(ISNA(N81),0,OFFSET(INDIRECT("'"&amp;ET$67&amp;"'!g1"),N81-1,)*CU81)</f>
        <v>1</v>
      </c>
      <c r="EU81" cm="1">
        <f t="array" aca="1" ref="EU81" ca="1">IF(ISNA(O81),0,OFFSET(INDIRECT("'"&amp;EU$67&amp;"'!g1"),O81-1,)*CV81)</f>
        <v>1</v>
      </c>
      <c r="EV81" cm="1">
        <f t="array" aca="1" ref="EV81" ca="1">IF(ISNA(P81),0,OFFSET(INDIRECT("'"&amp;EV$67&amp;"'!g1"),P81-1,)*CW81)</f>
        <v>2</v>
      </c>
      <c r="FB81" s="10" cm="1">
        <f t="array" aca="1" ref="FB81" ca="1">IF(ISNA(E81),0,OFFSET(INDIRECT("'"&amp;EK$67&amp;"'!h1"),E81-1,))</f>
        <v>1</v>
      </c>
      <c r="FC81" s="10" cm="1">
        <f t="array" aca="1" ref="FC81" ca="1">IF(ISNA(F81),0,OFFSET(INDIRECT("'"&amp;EL$67&amp;"'!h1"),F81-1,))</f>
        <v>1</v>
      </c>
      <c r="FD81" s="10" cm="1">
        <f t="array" aca="1" ref="FD81" ca="1">IF(ISNA(G81),0,OFFSET(INDIRECT("'"&amp;EM$67&amp;"'!h1"),G81-1,))</f>
        <v>1</v>
      </c>
      <c r="FE81" s="10" cm="1">
        <f t="array" aca="1" ref="FE81" ca="1">IF(ISNA(H81),0,OFFSET(INDIRECT("'"&amp;EN$67&amp;"'!h1"),H81-1,))</f>
        <v>1</v>
      </c>
      <c r="FF81" s="10" cm="1">
        <f t="array" aca="1" ref="FF81" ca="1">IF(ISNA(I81),0,OFFSET(INDIRECT("'"&amp;EO$67&amp;"'!h1"),I81-1,))</f>
        <v>1</v>
      </c>
      <c r="FG81" s="10" cm="1">
        <f t="array" aca="1" ref="FG81" ca="1">IF(ISNA(J81),0,OFFSET(INDIRECT("'"&amp;EP$67&amp;"'!h1"),J81-1,))</f>
        <v>1</v>
      </c>
      <c r="FH81" s="10" cm="1">
        <f t="array" aca="1" ref="FH81" ca="1">IF(ISNA(K81),0,OFFSET(INDIRECT("'"&amp;EQ$67&amp;"'!h1"),K81-1,))</f>
        <v>10000</v>
      </c>
      <c r="FI81" s="10" cm="1">
        <f t="array" aca="1" ref="FI81" ca="1">IF(ISNA(L81),0,OFFSET(INDIRECT("'"&amp;ER$67&amp;"'!h1"),L81-1,))</f>
        <v>10000</v>
      </c>
      <c r="FJ81" s="10" cm="1">
        <f t="array" aca="1" ref="FJ81" ca="1">IF(ISNA(M81),0,OFFSET(INDIRECT("'"&amp;ES$67&amp;"'!h1"),M81-1,))</f>
        <v>10000</v>
      </c>
      <c r="FK81" s="10" cm="1">
        <f t="array" aca="1" ref="FK81" ca="1">IF(ISNA(N81),0,OFFSET(INDIRECT("'"&amp;ET$67&amp;"'!h1"),N81-1,))</f>
        <v>1</v>
      </c>
      <c r="FL81" s="10" cm="1">
        <f t="array" aca="1" ref="FL81" ca="1">IF(ISNA(O81),0,OFFSET(INDIRECT("'"&amp;EU$67&amp;"'!h1"),O81-1,))</f>
        <v>1</v>
      </c>
      <c r="FM81" s="10" cm="1">
        <f t="array" aca="1" ref="FM81" ca="1">IF(ISNA(P81),0,OFFSET(INDIRECT("'"&amp;EV$67&amp;"'!h1"),P81-1,))</f>
        <v>2</v>
      </c>
      <c r="FN81" s="10"/>
      <c r="FO81" s="10"/>
      <c r="FP81" s="10"/>
      <c r="FQ81" s="10"/>
      <c r="FS81">
        <f t="shared" ca="1" si="72"/>
        <v>504</v>
      </c>
      <c r="FT81">
        <f t="shared" ca="1" si="73"/>
        <v>138.24920450802799</v>
      </c>
      <c r="FU81">
        <f t="shared" ca="1" si="74"/>
        <v>9830</v>
      </c>
      <c r="FV81">
        <f t="shared" ca="1" si="75"/>
        <v>10000</v>
      </c>
      <c r="FW81" s="4">
        <f t="shared" ca="1" si="76"/>
        <v>0.98299999999999998</v>
      </c>
      <c r="FX81" s="5">
        <f t="shared" ca="1" si="77"/>
        <v>1.4064008596950965E-2</v>
      </c>
      <c r="FZ81" s="13">
        <f t="shared" ca="1" si="50"/>
        <v>504</v>
      </c>
      <c r="GA81" s="23">
        <f t="shared" ca="1" si="78"/>
        <v>0</v>
      </c>
      <c r="GB81" s="23">
        <f t="shared" ca="1" si="51"/>
        <v>0</v>
      </c>
      <c r="GC81" s="23">
        <f t="shared" ca="1" si="51"/>
        <v>0</v>
      </c>
      <c r="GD81" s="23">
        <f t="shared" ca="1" si="51"/>
        <v>0</v>
      </c>
      <c r="GE81" s="23">
        <f t="shared" ca="1" si="51"/>
        <v>0</v>
      </c>
      <c r="GF81" s="23">
        <f t="shared" ca="1" si="51"/>
        <v>0</v>
      </c>
      <c r="GG81" s="23">
        <f t="shared" ca="1" si="51"/>
        <v>0</v>
      </c>
      <c r="GH81" s="23">
        <f t="shared" ca="1" si="51"/>
        <v>0</v>
      </c>
      <c r="GI81" s="23">
        <f t="shared" ca="1" si="51"/>
        <v>0</v>
      </c>
      <c r="GJ81" s="23">
        <f t="shared" ca="1" si="51"/>
        <v>0</v>
      </c>
      <c r="GK81" s="23">
        <f t="shared" ca="1" si="51"/>
        <v>0</v>
      </c>
      <c r="GL81" s="23">
        <f t="shared" ca="1" si="51"/>
        <v>0</v>
      </c>
      <c r="GM81" s="23"/>
      <c r="GN81">
        <f t="shared" ca="1" si="79"/>
        <v>504</v>
      </c>
      <c r="GO81" s="5">
        <f t="shared" ca="1" si="80"/>
        <v>38.179762527000001</v>
      </c>
      <c r="GP81" s="5">
        <f t="shared" ca="1" si="52"/>
        <v>297.91383050500002</v>
      </c>
      <c r="GQ81" s="5">
        <f t="shared" ca="1" si="52"/>
        <v>58.850609816999899</v>
      </c>
      <c r="GR81" s="5">
        <f t="shared" ca="1" si="52"/>
        <v>4.0009113999985801E-2</v>
      </c>
      <c r="GS81" s="5" t="e">
        <f t="shared" ca="1" si="52"/>
        <v>#N/A</v>
      </c>
      <c r="GT81" s="5">
        <f t="shared" ca="1" si="81"/>
        <v>3.25712238599999</v>
      </c>
      <c r="GU81" s="5">
        <f t="shared" ca="1" si="53"/>
        <v>1.4064008596950965E-2</v>
      </c>
      <c r="GV81" s="5">
        <f t="shared" ca="1" si="53"/>
        <v>1.3820593628500702E-2</v>
      </c>
      <c r="GW81" s="5">
        <f t="shared" ca="1" si="53"/>
        <v>1.9639285132472976E-2</v>
      </c>
      <c r="GX81" s="5">
        <f t="shared" ca="1" si="53"/>
        <v>0.44351509400001898</v>
      </c>
      <c r="GY81" s="5">
        <f t="shared" ca="1" si="53"/>
        <v>0.27369200299997898</v>
      </c>
      <c r="GZ81" s="5">
        <f t="shared" ca="1" si="53"/>
        <v>0.22479843700000399</v>
      </c>
      <c r="HB81" s="13">
        <f t="shared" ca="1" si="54"/>
        <v>504</v>
      </c>
      <c r="HC81" s="4">
        <f t="shared" ca="1" si="82"/>
        <v>1</v>
      </c>
      <c r="HD81" s="4">
        <f t="shared" ca="1" si="55"/>
        <v>1</v>
      </c>
      <c r="HE81" s="4">
        <f t="shared" ca="1" si="55"/>
        <v>1</v>
      </c>
      <c r="HF81" s="4">
        <f t="shared" ca="1" si="55"/>
        <v>1</v>
      </c>
      <c r="HG81" s="4">
        <f t="shared" ca="1" si="55"/>
        <v>1</v>
      </c>
      <c r="HH81" s="4">
        <f t="shared" ca="1" si="55"/>
        <v>1</v>
      </c>
      <c r="HI81" s="4">
        <f t="shared" ca="1" si="55"/>
        <v>0.98299999999999998</v>
      </c>
      <c r="HJ81" s="4">
        <f t="shared" ca="1" si="55"/>
        <v>0.99919999999999998</v>
      </c>
      <c r="HK81" s="4">
        <f t="shared" ca="1" si="55"/>
        <v>0.90659999999999996</v>
      </c>
      <c r="HL81" s="4">
        <f t="shared" ca="1" si="55"/>
        <v>1</v>
      </c>
      <c r="HM81" s="4">
        <f t="shared" ca="1" si="55"/>
        <v>1</v>
      </c>
      <c r="HN81" s="4">
        <f t="shared" ca="1" si="55"/>
        <v>1</v>
      </c>
    </row>
    <row r="82" spans="1:222" x14ac:dyDescent="0.2">
      <c r="A82" t="str" cm="1">
        <f t="array" aca="1" ref="A82" ca="1">INDIRECT($A$67&amp;"!A"&amp;ROW(C15)+$B$64)</f>
        <v>[[540,47,0]]</v>
      </c>
      <c r="B82" cm="1">
        <f t="array" aca="1" ref="B82" ca="1">INDIRECT($A$67&amp;"!b"&amp;ROW(D15)+$B$64)</f>
        <v>540</v>
      </c>
      <c r="C82">
        <f t="shared" ca="1" si="56"/>
        <v>5</v>
      </c>
      <c r="E82">
        <f t="shared" ca="1" si="83"/>
        <v>39</v>
      </c>
      <c r="F82">
        <f t="shared" ca="1" si="57"/>
        <v>40</v>
      </c>
      <c r="G82">
        <f t="shared" ca="1" si="58"/>
        <v>39</v>
      </c>
      <c r="H82">
        <f t="shared" ca="1" si="59"/>
        <v>39</v>
      </c>
      <c r="I82">
        <f t="shared" ca="1" si="60"/>
        <v>42</v>
      </c>
      <c r="J82">
        <f t="shared" ca="1" si="61"/>
        <v>39</v>
      </c>
      <c r="K82">
        <f t="shared" ca="1" si="62"/>
        <v>46</v>
      </c>
      <c r="L82">
        <f t="shared" ca="1" si="63"/>
        <v>48</v>
      </c>
      <c r="M82">
        <f t="shared" ca="1" si="64"/>
        <v>45</v>
      </c>
      <c r="N82">
        <f t="shared" ca="1" si="65"/>
        <v>39</v>
      </c>
      <c r="O82">
        <f t="shared" ca="1" si="66"/>
        <v>39</v>
      </c>
      <c r="P82">
        <f t="shared" ca="1" si="67"/>
        <v>39</v>
      </c>
      <c r="V82" cm="1">
        <f t="array" aca="1" ref="V82" ca="1">IF(ISNA(E82),,OFFSET(INDIRECT("'"&amp;V$67&amp;"'!d1"),E82-1,))</f>
        <v>5</v>
      </c>
      <c r="W82" cm="1">
        <f t="array" aca="1" ref="W82" ca="1">IF(ISNA(F82),,OFFSET(INDIRECT("'"&amp;W$67&amp;"'!d1"),F82-1,))</f>
        <v>5</v>
      </c>
      <c r="X82" cm="1">
        <f t="array" aca="1" ref="X82" ca="1">IF(ISNA(G82),,OFFSET(INDIRECT("'"&amp;X$67&amp;"'!d1"),G82-1,))</f>
        <v>5</v>
      </c>
      <c r="Y82" cm="1">
        <f t="array" aca="1" ref="Y82" ca="1">IF(ISNA(H82),,OFFSET(INDIRECT("'"&amp;Y$67&amp;"'!d1"),H82-1,))</f>
        <v>5</v>
      </c>
      <c r="Z82" cm="1">
        <f t="array" aca="1" ref="Z82" ca="1">IF(ISNA(I82),,OFFSET(INDIRECT("'"&amp;Z$67&amp;"'!d1"),I82-1,))</f>
        <v>5</v>
      </c>
      <c r="AA82" cm="1">
        <f t="array" aca="1" ref="AA82" ca="1">IF(ISNA(J82),,OFFSET(INDIRECT("'"&amp;AA$67&amp;"'!d1"),J82-1,))</f>
        <v>5</v>
      </c>
      <c r="AB82" cm="1">
        <f t="array" aca="1" ref="AB82" ca="1">IF(ISNA(K82),,OFFSET(INDIRECT("'"&amp;AB$67&amp;"'!d1"),K82-1,))</f>
        <v>5</v>
      </c>
      <c r="AC82" cm="1">
        <f t="array" aca="1" ref="AC82" ca="1">IF(ISNA(L82),,OFFSET(INDIRECT("'"&amp;AC$67&amp;"'!d1"),L82-1,))</f>
        <v>5</v>
      </c>
      <c r="AD82" cm="1">
        <f t="array" aca="1" ref="AD82" ca="1">IF(ISNA(M82),,OFFSET(INDIRECT("'"&amp;AD$67&amp;"'!d1"),M82-1,))</f>
        <v>5</v>
      </c>
      <c r="AE82" cm="1">
        <f t="array" aca="1" ref="AE82" ca="1">IF(ISNA(N82),,OFFSET(INDIRECT("'"&amp;AE$67&amp;"'!d1"),N82-1,))</f>
        <v>5</v>
      </c>
      <c r="AF82" cm="1">
        <f t="array" aca="1" ref="AF82" ca="1">IF(ISNA(O82),,OFFSET(INDIRECT("'"&amp;AF$67&amp;"'!d1"),O82-1,))</f>
        <v>5</v>
      </c>
      <c r="AG82" cm="1">
        <f t="array" aca="1" ref="AG82" ca="1">IF(ISNA(P82),,OFFSET(INDIRECT("'"&amp;AG$67&amp;"'!d1"),P82-1,))</f>
        <v>5</v>
      </c>
      <c r="AM82">
        <f t="shared" ca="1" si="68"/>
        <v>1</v>
      </c>
      <c r="AN82">
        <f t="shared" ca="1" si="44"/>
        <v>1</v>
      </c>
      <c r="AO82">
        <f t="shared" ca="1" si="44"/>
        <v>1</v>
      </c>
      <c r="AP82">
        <f t="shared" ca="1" si="44"/>
        <v>1</v>
      </c>
      <c r="AQ82">
        <f t="shared" ca="1" si="69"/>
        <v>1</v>
      </c>
      <c r="AV82" t="b">
        <f t="shared" ca="1" si="70"/>
        <v>1</v>
      </c>
      <c r="AW82" t="b">
        <f t="shared" ca="1" si="45"/>
        <v>1</v>
      </c>
      <c r="AX82" t="b">
        <f t="shared" ca="1" si="45"/>
        <v>1</v>
      </c>
      <c r="AY82" t="b">
        <f t="shared" ca="1" si="45"/>
        <v>1</v>
      </c>
      <c r="AZ82" t="b">
        <f t="shared" ca="1" si="45"/>
        <v>1</v>
      </c>
      <c r="BD82">
        <f t="shared" ca="1" si="46"/>
        <v>1</v>
      </c>
      <c r="BE82">
        <f t="shared" ca="1" si="46"/>
        <v>1</v>
      </c>
      <c r="BF82">
        <f t="shared" ca="1" si="46"/>
        <v>1</v>
      </c>
      <c r="BG82">
        <f t="shared" ca="1" si="46"/>
        <v>1</v>
      </c>
      <c r="BH82">
        <f t="shared" ca="1" si="46"/>
        <v>1</v>
      </c>
      <c r="BI82">
        <f t="shared" ca="1" si="46"/>
        <v>1</v>
      </c>
      <c r="BJ82">
        <f t="shared" ca="1" si="46"/>
        <v>1</v>
      </c>
      <c r="BK82">
        <f t="shared" ca="1" si="46"/>
        <v>1</v>
      </c>
      <c r="BL82">
        <f t="shared" ca="1" si="46"/>
        <v>1</v>
      </c>
      <c r="BM82">
        <f t="shared" ca="1" si="46"/>
        <v>1</v>
      </c>
      <c r="BN82">
        <f t="shared" ca="1" si="46"/>
        <v>1</v>
      </c>
      <c r="BO82">
        <f t="shared" ca="1" si="46"/>
        <v>1</v>
      </c>
      <c r="BU82">
        <f t="shared" ca="1" si="47"/>
        <v>5</v>
      </c>
      <c r="BV82">
        <f t="shared" ca="1" si="47"/>
        <v>5</v>
      </c>
      <c r="BW82">
        <f t="shared" ca="1" si="47"/>
        <v>5</v>
      </c>
      <c r="BX82">
        <f t="shared" ca="1" si="47"/>
        <v>5</v>
      </c>
      <c r="BY82">
        <f t="shared" ca="1" si="47"/>
        <v>5</v>
      </c>
      <c r="BZ82">
        <f t="shared" ca="1" si="47"/>
        <v>5</v>
      </c>
      <c r="CA82">
        <f t="shared" ca="1" si="47"/>
        <v>5</v>
      </c>
      <c r="CB82">
        <f t="shared" ca="1" si="47"/>
        <v>5</v>
      </c>
      <c r="CC82">
        <f t="shared" ca="1" si="47"/>
        <v>5</v>
      </c>
      <c r="CD82">
        <f t="shared" ca="1" si="47"/>
        <v>5</v>
      </c>
      <c r="CE82">
        <f t="shared" ca="1" si="47"/>
        <v>5</v>
      </c>
      <c r="CF82">
        <f t="shared" ca="1" si="47"/>
        <v>5</v>
      </c>
      <c r="CL82">
        <f t="shared" ca="1" si="48"/>
        <v>1</v>
      </c>
      <c r="CM82">
        <f t="shared" ca="1" si="48"/>
        <v>1</v>
      </c>
      <c r="CN82">
        <f t="shared" ca="1" si="48"/>
        <v>1</v>
      </c>
      <c r="CO82">
        <f t="shared" ca="1" si="48"/>
        <v>1</v>
      </c>
      <c r="CP82">
        <f t="shared" ca="1" si="48"/>
        <v>1</v>
      </c>
      <c r="CQ82">
        <f t="shared" ca="1" si="48"/>
        <v>1</v>
      </c>
      <c r="CR82">
        <f t="shared" ca="1" si="48"/>
        <v>1</v>
      </c>
      <c r="CS82">
        <f t="shared" ca="1" si="48"/>
        <v>1</v>
      </c>
      <c r="CT82">
        <f t="shared" ca="1" si="48"/>
        <v>1</v>
      </c>
      <c r="CU82">
        <f t="shared" ca="1" si="48"/>
        <v>1</v>
      </c>
      <c r="CV82">
        <f t="shared" ca="1" si="48"/>
        <v>1</v>
      </c>
      <c r="CW82">
        <f t="shared" ca="1" si="48"/>
        <v>1</v>
      </c>
      <c r="DC82" cm="1">
        <f t="array" aca="1" ref="DC82" ca="1">IF(ISNA(E82),,OFFSET(INDIRECT("'"&amp;DT$67&amp;"'!f1"),E82-1,))*1</f>
        <v>7.8030764479999801</v>
      </c>
      <c r="DD82" cm="1">
        <f t="array" aca="1" ref="DD82" ca="1">IF(ISNA(F82),,OFFSET(INDIRECT("'"&amp;DU$67&amp;"'!f1"),F82-1,))*1</f>
        <v>69.451348521</v>
      </c>
      <c r="DE82" cm="1">
        <f t="array" aca="1" ref="DE82" ca="1">IF(ISNA(G82),,OFFSET(INDIRECT("'"&amp;DV$67&amp;"'!f1"),G82-1,))*1</f>
        <v>10.897308403</v>
      </c>
      <c r="DF82" cm="1">
        <f t="array" aca="1" ref="DF82" ca="1">IF(ISNA(H82),,OFFSET(INDIRECT("'"&amp;DW$67&amp;"'!f1"),H82-1,))*1</f>
        <v>2.8709085999992098E-2</v>
      </c>
      <c r="DG82" cm="1">
        <f t="array" aca="1" ref="DG82" ca="1">IF(ISNA(I82),,OFFSET(INDIRECT("'"&amp;DX$67&amp;"'!f1"),I82-1,))*1</f>
        <v>1149.01557787501</v>
      </c>
      <c r="DH82" cm="1">
        <f t="array" aca="1" ref="DH82" ca="1">IF(ISNA(J82),,OFFSET(INDIRECT("'"&amp;DY$67&amp;"'!f1"),J82-1,))*1</f>
        <v>2.6913316300000001</v>
      </c>
      <c r="DI82" cm="1">
        <f t="array" aca="1" ref="DI82" ca="1">IF(ISNA(K82),,OFFSET(INDIRECT("'"&amp;DZ$67&amp;"'!f1"),K82-1,))*1</f>
        <v>162.68786999955699</v>
      </c>
      <c r="DJ82" cm="1">
        <f t="array" aca="1" ref="DJ82" ca="1">IF(ISNA(L82),,OFFSET(INDIRECT("'"&amp;EA$67&amp;"'!f1"),L82-1,))*1</f>
        <v>162.898467569611</v>
      </c>
      <c r="DK82" cm="1">
        <f t="array" aca="1" ref="DK82" ca="1">IF(ISNA(M82),,OFFSET(INDIRECT("'"&amp;EB$67&amp;"'!f1"),M82-1,))*1</f>
        <v>191.28706218999901</v>
      </c>
      <c r="DL82" cm="1">
        <f t="array" aca="1" ref="DL82" ca="1">IF(ISNA(N82),,OFFSET(INDIRECT("'"&amp;EC$67&amp;"'!f1"),N82-1,))*1</f>
        <v>0.16429381099999299</v>
      </c>
      <c r="DM82" cm="1">
        <f t="array" aca="1" ref="DM82" ca="1">IF(ISNA(O82),,OFFSET(INDIRECT("'"&amp;ED$67&amp;"'!f1"),O82-1,))*1</f>
        <v>0.117219873999999</v>
      </c>
      <c r="DN82" cm="1">
        <f t="array" aca="1" ref="DN82" ca="1">IF(ISNA(P82),,OFFSET(INDIRECT("'"&amp;EE$67&amp;"'!f1"),P82-1,))*1</f>
        <v>0.15768258800000001</v>
      </c>
      <c r="DT82">
        <f t="shared" ca="1" si="71"/>
        <v>1</v>
      </c>
      <c r="DU82">
        <f t="shared" ca="1" si="49"/>
        <v>1</v>
      </c>
      <c r="DV82">
        <f t="shared" ca="1" si="49"/>
        <v>1</v>
      </c>
      <c r="DW82">
        <f t="shared" ca="1" si="49"/>
        <v>1</v>
      </c>
      <c r="DX82">
        <f t="shared" ca="1" si="49"/>
        <v>1</v>
      </c>
      <c r="DY82">
        <f t="shared" ca="1" si="49"/>
        <v>1</v>
      </c>
      <c r="DZ82">
        <f t="shared" ca="1" si="49"/>
        <v>9552</v>
      </c>
      <c r="EA82">
        <f t="shared" ca="1" si="49"/>
        <v>9906</v>
      </c>
      <c r="EB82">
        <f t="shared" ca="1" si="49"/>
        <v>7523</v>
      </c>
      <c r="EC82">
        <f t="shared" ca="1" si="49"/>
        <v>1</v>
      </c>
      <c r="ED82">
        <f t="shared" ca="1" si="49"/>
        <v>1</v>
      </c>
      <c r="EE82">
        <f t="shared" ca="1" si="49"/>
        <v>2</v>
      </c>
      <c r="EK82" cm="1">
        <f t="array" aca="1" ref="EK82" ca="1">IF(ISNA(E82),0,OFFSET(INDIRECT("'"&amp;EK$67&amp;"'!g1"),E82-1,)*CL82)</f>
        <v>1</v>
      </c>
      <c r="EL82" cm="1">
        <f t="array" aca="1" ref="EL82" ca="1">IF(ISNA(F82),0,OFFSET(INDIRECT("'"&amp;EL$67&amp;"'!g1"),F82-1,)*CM82)</f>
        <v>1</v>
      </c>
      <c r="EM82" cm="1">
        <f t="array" aca="1" ref="EM82" ca="1">IF(ISNA(G82),0,OFFSET(INDIRECT("'"&amp;EM$67&amp;"'!g1"),G82-1,)*CN82)</f>
        <v>1</v>
      </c>
      <c r="EN82" cm="1">
        <f t="array" aca="1" ref="EN82" ca="1">IF(ISNA(H82),0,OFFSET(INDIRECT("'"&amp;EN$67&amp;"'!g1"),H82-1,)*CO82)</f>
        <v>1</v>
      </c>
      <c r="EO82" cm="1">
        <f t="array" aca="1" ref="EO82" ca="1">IF(ISNA(I82),0,OFFSET(INDIRECT("'"&amp;EO$67&amp;"'!g1"),I82-1,)*CP82)</f>
        <v>1</v>
      </c>
      <c r="EP82" cm="1">
        <f t="array" aca="1" ref="EP82" ca="1">IF(ISNA(J82),0,OFFSET(INDIRECT("'"&amp;EP$67&amp;"'!g1"),J82-1,)*CQ82)</f>
        <v>1</v>
      </c>
      <c r="EQ82" cm="1">
        <f t="array" aca="1" ref="EQ82" ca="1">IF(ISNA(K82),0,OFFSET(INDIRECT("'"&amp;EQ$67&amp;"'!g1"),K82-1,)*CR82)</f>
        <v>9552</v>
      </c>
      <c r="ER82" cm="1">
        <f t="array" aca="1" ref="ER82" ca="1">IF(ISNA(L82),0,OFFSET(INDIRECT("'"&amp;ER$67&amp;"'!g1"),L82-1,)*CS82)</f>
        <v>9906</v>
      </c>
      <c r="ES82" cm="1">
        <f t="array" aca="1" ref="ES82" ca="1">IF(ISNA(M82),0,OFFSET(INDIRECT("'"&amp;ES$67&amp;"'!g1"),M82-1,)*CT82)</f>
        <v>7523</v>
      </c>
      <c r="ET82" cm="1">
        <f t="array" aca="1" ref="ET82" ca="1">IF(ISNA(N82),0,OFFSET(INDIRECT("'"&amp;ET$67&amp;"'!g1"),N82-1,)*CU82)</f>
        <v>1</v>
      </c>
      <c r="EU82" cm="1">
        <f t="array" aca="1" ref="EU82" ca="1">IF(ISNA(O82),0,OFFSET(INDIRECT("'"&amp;EU$67&amp;"'!g1"),O82-1,)*CV82)</f>
        <v>1</v>
      </c>
      <c r="EV82" cm="1">
        <f t="array" aca="1" ref="EV82" ca="1">IF(ISNA(P82),0,OFFSET(INDIRECT("'"&amp;EV$67&amp;"'!g1"),P82-1,)*CW82)</f>
        <v>2</v>
      </c>
      <c r="FB82" s="10" cm="1">
        <f t="array" aca="1" ref="FB82" ca="1">IF(ISNA(E82),0,OFFSET(INDIRECT("'"&amp;EK$67&amp;"'!h1"),E82-1,))</f>
        <v>1</v>
      </c>
      <c r="FC82" s="10" cm="1">
        <f t="array" aca="1" ref="FC82" ca="1">IF(ISNA(F82),0,OFFSET(INDIRECT("'"&amp;EL$67&amp;"'!h1"),F82-1,))</f>
        <v>1</v>
      </c>
      <c r="FD82" s="10" cm="1">
        <f t="array" aca="1" ref="FD82" ca="1">IF(ISNA(G82),0,OFFSET(INDIRECT("'"&amp;EM$67&amp;"'!h1"),G82-1,))</f>
        <v>1</v>
      </c>
      <c r="FE82" s="10" cm="1">
        <f t="array" aca="1" ref="FE82" ca="1">IF(ISNA(H82),0,OFFSET(INDIRECT("'"&amp;EN$67&amp;"'!h1"),H82-1,))</f>
        <v>1</v>
      </c>
      <c r="FF82" s="10" cm="1">
        <f t="array" aca="1" ref="FF82" ca="1">IF(ISNA(I82),0,OFFSET(INDIRECT("'"&amp;EO$67&amp;"'!h1"),I82-1,))</f>
        <v>1</v>
      </c>
      <c r="FG82" s="10" cm="1">
        <f t="array" aca="1" ref="FG82" ca="1">IF(ISNA(J82),0,OFFSET(INDIRECT("'"&amp;EP$67&amp;"'!h1"),J82-1,))</f>
        <v>1</v>
      </c>
      <c r="FH82" s="10" cm="1">
        <f t="array" aca="1" ref="FH82" ca="1">IF(ISNA(K82),0,OFFSET(INDIRECT("'"&amp;EQ$67&amp;"'!h1"),K82-1,))</f>
        <v>10000</v>
      </c>
      <c r="FI82" s="10" cm="1">
        <f t="array" aca="1" ref="FI82" ca="1">IF(ISNA(L82),0,OFFSET(INDIRECT("'"&amp;ER$67&amp;"'!h1"),L82-1,))</f>
        <v>10000</v>
      </c>
      <c r="FJ82" s="10" cm="1">
        <f t="array" aca="1" ref="FJ82" ca="1">IF(ISNA(M82),0,OFFSET(INDIRECT("'"&amp;ES$67&amp;"'!h1"),M82-1,))</f>
        <v>10000</v>
      </c>
      <c r="FK82" s="10" cm="1">
        <f t="array" aca="1" ref="FK82" ca="1">IF(ISNA(N82),0,OFFSET(INDIRECT("'"&amp;ET$67&amp;"'!h1"),N82-1,))</f>
        <v>1</v>
      </c>
      <c r="FL82" s="10" cm="1">
        <f t="array" aca="1" ref="FL82" ca="1">IF(ISNA(O82),0,OFFSET(INDIRECT("'"&amp;EU$67&amp;"'!h1"),O82-1,))</f>
        <v>1</v>
      </c>
      <c r="FM82" s="10" cm="1">
        <f t="array" aca="1" ref="FM82" ca="1">IF(ISNA(P82),0,OFFSET(INDIRECT("'"&amp;EV$67&amp;"'!h1"),P82-1,))</f>
        <v>2</v>
      </c>
      <c r="FN82" s="10"/>
      <c r="FO82" s="10"/>
      <c r="FP82" s="10"/>
      <c r="FQ82" s="10"/>
      <c r="FS82">
        <f t="shared" ca="1" si="72"/>
        <v>540</v>
      </c>
      <c r="FT82">
        <f t="shared" ca="1" si="73"/>
        <v>162.68786999955699</v>
      </c>
      <c r="FU82">
        <f t="shared" ca="1" si="74"/>
        <v>9552</v>
      </c>
      <c r="FV82">
        <f t="shared" ca="1" si="75"/>
        <v>10000</v>
      </c>
      <c r="FW82" s="4">
        <f t="shared" ca="1" si="76"/>
        <v>0.95520000000000005</v>
      </c>
      <c r="FX82" s="5">
        <f t="shared" ca="1" si="77"/>
        <v>1.7031812185883271E-2</v>
      </c>
      <c r="FZ82" s="13">
        <f t="shared" ca="1" si="50"/>
        <v>540</v>
      </c>
      <c r="GA82" s="23">
        <f t="shared" ca="1" si="78"/>
        <v>0</v>
      </c>
      <c r="GB82" s="23">
        <f t="shared" ca="1" si="51"/>
        <v>0</v>
      </c>
      <c r="GC82" s="23">
        <f t="shared" ca="1" si="51"/>
        <v>0</v>
      </c>
      <c r="GD82" s="23">
        <f t="shared" ca="1" si="51"/>
        <v>0</v>
      </c>
      <c r="GE82" s="23">
        <f t="shared" ca="1" si="51"/>
        <v>0</v>
      </c>
      <c r="GF82" s="23">
        <f t="shared" ca="1" si="51"/>
        <v>0</v>
      </c>
      <c r="GG82" s="23">
        <f t="shared" ca="1" si="51"/>
        <v>0</v>
      </c>
      <c r="GH82" s="23">
        <f t="shared" ca="1" si="51"/>
        <v>0</v>
      </c>
      <c r="GI82" s="23">
        <f t="shared" ca="1" si="51"/>
        <v>0</v>
      </c>
      <c r="GJ82" s="23">
        <f t="shared" ca="1" si="51"/>
        <v>0</v>
      </c>
      <c r="GK82" s="23">
        <f t="shared" ca="1" si="51"/>
        <v>0</v>
      </c>
      <c r="GL82" s="23">
        <f t="shared" ca="1" si="51"/>
        <v>0</v>
      </c>
      <c r="GM82" s="23"/>
      <c r="GN82">
        <f t="shared" ca="1" si="79"/>
        <v>540</v>
      </c>
      <c r="GO82" s="5">
        <f t="shared" ca="1" si="80"/>
        <v>7.8030764479999801</v>
      </c>
      <c r="GP82" s="5">
        <f t="shared" ca="1" si="52"/>
        <v>69.451348521</v>
      </c>
      <c r="GQ82" s="5">
        <f t="shared" ca="1" si="52"/>
        <v>10.897308403</v>
      </c>
      <c r="GR82" s="5">
        <f t="shared" ca="1" si="52"/>
        <v>2.8709085999992098E-2</v>
      </c>
      <c r="GS82" s="5">
        <f t="shared" ca="1" si="52"/>
        <v>1149.01557787501</v>
      </c>
      <c r="GT82" s="5">
        <f t="shared" ca="1" si="81"/>
        <v>2.6913316300000001</v>
      </c>
      <c r="GU82" s="5">
        <f t="shared" ca="1" si="53"/>
        <v>1.7031812185883271E-2</v>
      </c>
      <c r="GV82" s="5">
        <f t="shared" ca="1" si="53"/>
        <v>1.6444424345811729E-2</v>
      </c>
      <c r="GW82" s="5">
        <f t="shared" ca="1" si="53"/>
        <v>2.5426965597500864E-2</v>
      </c>
      <c r="GX82" s="5">
        <f t="shared" ca="1" si="53"/>
        <v>0.16429381099999299</v>
      </c>
      <c r="GY82" s="5">
        <f t="shared" ca="1" si="53"/>
        <v>0.117219873999999</v>
      </c>
      <c r="GZ82" s="5">
        <f t="shared" ca="1" si="53"/>
        <v>7.8841294000000006E-2</v>
      </c>
      <c r="HB82" s="13">
        <f t="shared" ca="1" si="54"/>
        <v>540</v>
      </c>
      <c r="HC82" s="4">
        <f t="shared" ca="1" si="82"/>
        <v>1</v>
      </c>
      <c r="HD82" s="4">
        <f t="shared" ca="1" si="55"/>
        <v>1</v>
      </c>
      <c r="HE82" s="4">
        <f t="shared" ca="1" si="55"/>
        <v>1</v>
      </c>
      <c r="HF82" s="4">
        <f t="shared" ca="1" si="55"/>
        <v>1</v>
      </c>
      <c r="HG82" s="4">
        <f t="shared" ca="1" si="55"/>
        <v>1</v>
      </c>
      <c r="HH82" s="4">
        <f t="shared" ca="1" si="55"/>
        <v>1</v>
      </c>
      <c r="HI82" s="4">
        <f t="shared" ca="1" si="55"/>
        <v>0.95520000000000005</v>
      </c>
      <c r="HJ82" s="4">
        <f t="shared" ca="1" si="55"/>
        <v>0.99060000000000004</v>
      </c>
      <c r="HK82" s="4">
        <f t="shared" ca="1" si="55"/>
        <v>0.75229999999999997</v>
      </c>
      <c r="HL82" s="4">
        <f t="shared" ca="1" si="55"/>
        <v>1</v>
      </c>
      <c r="HM82" s="4">
        <f t="shared" ca="1" si="55"/>
        <v>1</v>
      </c>
      <c r="HN82" s="4">
        <f t="shared" ca="1" si="55"/>
        <v>1</v>
      </c>
    </row>
    <row r="83" spans="1:222" x14ac:dyDescent="0.2">
      <c r="A83" t="str" cm="1">
        <f t="array" aca="1" ref="A83" ca="1">INDIRECT($A$67&amp;"!A"&amp;ROW(C16)+$B$64)</f>
        <v>[[768,66,0]]</v>
      </c>
      <c r="B83" cm="1">
        <f t="array" aca="1" ref="B83" ca="1">INDIRECT($A$67&amp;"!b"&amp;ROW(D16)+$B$64)</f>
        <v>768</v>
      </c>
      <c r="C83">
        <f t="shared" ca="1" si="56"/>
        <v>6</v>
      </c>
      <c r="E83">
        <f t="shared" ca="1" si="83"/>
        <v>40</v>
      </c>
      <c r="F83">
        <f t="shared" ca="1" si="57"/>
        <v>41</v>
      </c>
      <c r="G83">
        <f t="shared" ca="1" si="58"/>
        <v>40</v>
      </c>
      <c r="H83">
        <f t="shared" ca="1" si="59"/>
        <v>40</v>
      </c>
      <c r="I83">
        <f t="shared" ca="1" si="60"/>
        <v>43</v>
      </c>
      <c r="J83">
        <f t="shared" ca="1" si="61"/>
        <v>40</v>
      </c>
      <c r="K83">
        <f t="shared" ca="1" si="62"/>
        <v>47</v>
      </c>
      <c r="L83">
        <f t="shared" ca="1" si="63"/>
        <v>49</v>
      </c>
      <c r="M83">
        <f t="shared" ca="1" si="64"/>
        <v>46</v>
      </c>
      <c r="N83">
        <f t="shared" ca="1" si="65"/>
        <v>40</v>
      </c>
      <c r="O83">
        <f t="shared" ca="1" si="66"/>
        <v>40</v>
      </c>
      <c r="P83">
        <f t="shared" ca="1" si="67"/>
        <v>40</v>
      </c>
      <c r="V83" cm="1">
        <f t="array" aca="1" ref="V83" ca="1">IF(ISNA(E83),,OFFSET(INDIRECT("'"&amp;V$67&amp;"'!d1"),E83-1,))</f>
        <v>6</v>
      </c>
      <c r="W83" cm="1">
        <f t="array" aca="1" ref="W83" ca="1">IF(ISNA(F83),,OFFSET(INDIRECT("'"&amp;W$67&amp;"'!d1"),F83-1,))</f>
        <v>6</v>
      </c>
      <c r="X83" cm="1">
        <f t="array" aca="1" ref="X83" ca="1">IF(ISNA(G83),,OFFSET(INDIRECT("'"&amp;X$67&amp;"'!d1"),G83-1,))</f>
        <v>6</v>
      </c>
      <c r="Y83" cm="1">
        <f t="array" aca="1" ref="Y83" ca="1">IF(ISNA(H83),,OFFSET(INDIRECT("'"&amp;Y$67&amp;"'!d1"),H83-1,))</f>
        <v>6</v>
      </c>
      <c r="Z83" cm="1">
        <f t="array" aca="1" ref="Z83" ca="1">IF(ISNA(I83),,OFFSET(INDIRECT("'"&amp;Z$67&amp;"'!d1"),I83-1,))</f>
        <v>6</v>
      </c>
      <c r="AA83" cm="1">
        <f t="array" aca="1" ref="AA83" ca="1">IF(ISNA(J83),,OFFSET(INDIRECT("'"&amp;AA$67&amp;"'!d1"),J83-1,))</f>
        <v>6</v>
      </c>
      <c r="AB83" cm="1">
        <f t="array" aca="1" ref="AB83" ca="1">IF(ISNA(K83),,OFFSET(INDIRECT("'"&amp;AB$67&amp;"'!d1"),K83-1,))</f>
        <v>6</v>
      </c>
      <c r="AC83" cm="1">
        <f t="array" aca="1" ref="AC83" ca="1">IF(ISNA(L83),,OFFSET(INDIRECT("'"&amp;AC$67&amp;"'!d1"),L83-1,))</f>
        <v>6</v>
      </c>
      <c r="AD83" cm="1">
        <f t="array" aca="1" ref="AD83" ca="1">IF(ISNA(M83),,OFFSET(INDIRECT("'"&amp;AD$67&amp;"'!d1"),M83-1,))</f>
        <v>6</v>
      </c>
      <c r="AE83" cm="1">
        <f t="array" aca="1" ref="AE83" ca="1">IF(ISNA(N83),,OFFSET(INDIRECT("'"&amp;AE$67&amp;"'!d1"),N83-1,))</f>
        <v>6</v>
      </c>
      <c r="AF83" cm="1">
        <f t="array" aca="1" ref="AF83" ca="1">IF(ISNA(O83),,OFFSET(INDIRECT("'"&amp;AF$67&amp;"'!d1"),O83-1,))</f>
        <v>6</v>
      </c>
      <c r="AG83" cm="1">
        <f t="array" aca="1" ref="AG83" ca="1">IF(ISNA(P83),,OFFSET(INDIRECT("'"&amp;AG$67&amp;"'!d1"),P83-1,))</f>
        <v>6</v>
      </c>
      <c r="AM83">
        <f t="shared" ca="1" si="68"/>
        <v>1</v>
      </c>
      <c r="AN83">
        <f t="shared" ca="1" si="44"/>
        <v>1</v>
      </c>
      <c r="AO83">
        <f t="shared" ca="1" si="44"/>
        <v>1</v>
      </c>
      <c r="AP83">
        <f t="shared" ca="1" si="44"/>
        <v>1</v>
      </c>
      <c r="AQ83">
        <f t="shared" ca="1" si="69"/>
        <v>0</v>
      </c>
      <c r="AV83" t="b">
        <f t="shared" ca="1" si="70"/>
        <v>1</v>
      </c>
      <c r="AW83" t="b">
        <f t="shared" ca="1" si="45"/>
        <v>1</v>
      </c>
      <c r="AX83" t="b">
        <f t="shared" ca="1" si="45"/>
        <v>1</v>
      </c>
      <c r="AY83" t="b">
        <f t="shared" ca="1" si="45"/>
        <v>1</v>
      </c>
      <c r="AZ83" t="str">
        <f t="shared" ca="1" si="45"/>
        <v/>
      </c>
      <c r="BD83">
        <f t="shared" ca="1" si="46"/>
        <v>1</v>
      </c>
      <c r="BE83">
        <f t="shared" ca="1" si="46"/>
        <v>1</v>
      </c>
      <c r="BF83">
        <f t="shared" ca="1" si="46"/>
        <v>1</v>
      </c>
      <c r="BG83">
        <f t="shared" ca="1" si="46"/>
        <v>1</v>
      </c>
      <c r="BH83">
        <f t="shared" ca="1" si="46"/>
        <v>1</v>
      </c>
      <c r="BI83">
        <f t="shared" ca="1" si="46"/>
        <v>1</v>
      </c>
      <c r="BJ83">
        <f t="shared" ca="1" si="46"/>
        <v>1</v>
      </c>
      <c r="BK83">
        <f t="shared" ca="1" si="46"/>
        <v>1</v>
      </c>
      <c r="BL83">
        <f t="shared" ca="1" si="46"/>
        <v>1</v>
      </c>
      <c r="BM83">
        <f t="shared" ca="1" si="46"/>
        <v>1</v>
      </c>
      <c r="BN83">
        <f t="shared" ca="1" si="46"/>
        <v>1</v>
      </c>
      <c r="BO83">
        <f t="shared" ca="1" si="46"/>
        <v>1</v>
      </c>
      <c r="BU83">
        <f t="shared" ca="1" si="47"/>
        <v>6</v>
      </c>
      <c r="BV83">
        <f t="shared" ca="1" si="47"/>
        <v>6</v>
      </c>
      <c r="BW83">
        <f t="shared" ca="1" si="47"/>
        <v>6</v>
      </c>
      <c r="BX83">
        <f t="shared" ca="1" si="47"/>
        <v>6</v>
      </c>
      <c r="BY83">
        <f t="shared" ca="1" si="47"/>
        <v>6</v>
      </c>
      <c r="BZ83">
        <f t="shared" ca="1" si="47"/>
        <v>6</v>
      </c>
      <c r="CA83">
        <f t="shared" ca="1" si="47"/>
        <v>6</v>
      </c>
      <c r="CB83">
        <f t="shared" ca="1" si="47"/>
        <v>6</v>
      </c>
      <c r="CC83">
        <f t="shared" ca="1" si="47"/>
        <v>6</v>
      </c>
      <c r="CD83">
        <f t="shared" ca="1" si="47"/>
        <v>6</v>
      </c>
      <c r="CE83">
        <f t="shared" ca="1" si="47"/>
        <v>6</v>
      </c>
      <c r="CF83">
        <f t="shared" ca="1" si="47"/>
        <v>6</v>
      </c>
      <c r="CL83">
        <f t="shared" ca="1" si="48"/>
        <v>1</v>
      </c>
      <c r="CM83">
        <f t="shared" ca="1" si="48"/>
        <v>1</v>
      </c>
      <c r="CN83">
        <f t="shared" ca="1" si="48"/>
        <v>1</v>
      </c>
      <c r="CO83">
        <f t="shared" ca="1" si="48"/>
        <v>1</v>
      </c>
      <c r="CP83">
        <f t="shared" ca="1" si="48"/>
        <v>1</v>
      </c>
      <c r="CQ83">
        <f t="shared" ca="1" si="48"/>
        <v>1</v>
      </c>
      <c r="CR83">
        <f t="shared" ca="1" si="48"/>
        <v>1</v>
      </c>
      <c r="CS83">
        <f t="shared" ca="1" si="48"/>
        <v>1</v>
      </c>
      <c r="CT83">
        <f t="shared" ca="1" si="48"/>
        <v>1</v>
      </c>
      <c r="CU83">
        <f t="shared" ca="1" si="48"/>
        <v>1</v>
      </c>
      <c r="CV83">
        <f t="shared" ca="1" si="48"/>
        <v>1</v>
      </c>
      <c r="CW83">
        <f t="shared" ca="1" si="48"/>
        <v>1</v>
      </c>
      <c r="DC83" cm="1">
        <f t="array" aca="1" ref="DC83" ca="1">IF(ISNA(E83),,OFFSET(INDIRECT("'"&amp;DT$67&amp;"'!f1"),E83-1,))*1</f>
        <v>102.113936584</v>
      </c>
      <c r="DD83" cm="1">
        <f t="array" aca="1" ref="DD83" ca="1">IF(ISNA(F83),,OFFSET(INDIRECT("'"&amp;DU$67&amp;"'!f1"),F83-1,))*1</f>
        <v>497.90931817199998</v>
      </c>
      <c r="DE83" cm="1">
        <f t="array" aca="1" ref="DE83" ca="1">IF(ISNA(G83),,OFFSET(INDIRECT("'"&amp;DV$67&amp;"'!f1"),G83-1,))*1</f>
        <v>126.757097589</v>
      </c>
      <c r="DF83" cm="1">
        <f t="array" aca="1" ref="DF83" ca="1">IF(ISNA(H83),,OFFSET(INDIRECT("'"&amp;DW$67&amp;"'!f1"),H83-1,))*1</f>
        <v>6.1816340000007103E-2</v>
      </c>
      <c r="DG83" cm="1">
        <f t="array" aca="1" ref="DG83" ca="1">IF(ISNA(I83),,OFFSET(INDIRECT("'"&amp;DX$67&amp;"'!f1"),I83-1,))*1</f>
        <v>28800.211812832898</v>
      </c>
      <c r="DH83" cm="1">
        <f t="array" aca="1" ref="DH83" ca="1">IF(ISNA(J83),,OFFSET(INDIRECT("'"&amp;DY$67&amp;"'!f1"),J83-1,))*1</f>
        <v>6.3442136940000102</v>
      </c>
      <c r="DI83" cm="1">
        <f t="array" aca="1" ref="DI83" ca="1">IF(ISNA(K83),,OFFSET(INDIRECT("'"&amp;DZ$67&amp;"'!f1"),K83-1,))*1</f>
        <v>434.15253188926698</v>
      </c>
      <c r="DJ83" cm="1">
        <f t="array" aca="1" ref="DJ83" ca="1">IF(ISNA(L83),,OFFSET(INDIRECT("'"&amp;EA$67&amp;"'!f1"),L83-1,))*1</f>
        <v>440.09425559453598</v>
      </c>
      <c r="DK83" cm="1">
        <f t="array" aca="1" ref="DK83" ca="1">IF(ISNA(M83),,OFFSET(INDIRECT("'"&amp;EB$67&amp;"'!f1"),M83-1,))*1</f>
        <v>281.06226768900001</v>
      </c>
      <c r="DL83" cm="1">
        <f t="array" aca="1" ref="DL83" ca="1">IF(ISNA(N83),,OFFSET(INDIRECT("'"&amp;EC$67&amp;"'!f1"),N83-1,))*1</f>
        <v>0.650186386000001</v>
      </c>
      <c r="DM83" cm="1">
        <f t="array" aca="1" ref="DM83" ca="1">IF(ISNA(O83),,OFFSET(INDIRECT("'"&amp;ED$67&amp;"'!f1"),O83-1,))*1</f>
        <v>0.434171681999998</v>
      </c>
      <c r="DN83" cm="1">
        <f t="array" aca="1" ref="DN83" ca="1">IF(ISNA(P83),,OFFSET(INDIRECT("'"&amp;EE$67&amp;"'!f1"),P83-1,))*1</f>
        <v>0.726240710999974</v>
      </c>
      <c r="DT83">
        <f t="shared" ca="1" si="71"/>
        <v>1</v>
      </c>
      <c r="DU83">
        <f t="shared" ca="1" si="49"/>
        <v>1</v>
      </c>
      <c r="DV83">
        <f t="shared" ca="1" si="49"/>
        <v>1</v>
      </c>
      <c r="DW83">
        <f t="shared" ca="1" si="49"/>
        <v>1</v>
      </c>
      <c r="DX83">
        <f t="shared" ca="1" si="49"/>
        <v>1</v>
      </c>
      <c r="DY83">
        <f t="shared" ca="1" si="49"/>
        <v>1</v>
      </c>
      <c r="DZ83">
        <f t="shared" ca="1" si="49"/>
        <v>7953</v>
      </c>
      <c r="EA83">
        <f t="shared" ca="1" si="49"/>
        <v>9609</v>
      </c>
      <c r="EB83">
        <f t="shared" ca="1" si="49"/>
        <v>9248</v>
      </c>
      <c r="EC83">
        <f t="shared" ca="1" si="49"/>
        <v>1</v>
      </c>
      <c r="ED83">
        <f t="shared" ca="1" si="49"/>
        <v>1</v>
      </c>
      <c r="EE83">
        <f t="shared" ca="1" si="49"/>
        <v>2</v>
      </c>
      <c r="EK83" cm="1">
        <f t="array" aca="1" ref="EK83" ca="1">IF(ISNA(E83),0,OFFSET(INDIRECT("'"&amp;EK$67&amp;"'!g1"),E83-1,)*CL83)</f>
        <v>1</v>
      </c>
      <c r="EL83" cm="1">
        <f t="array" aca="1" ref="EL83" ca="1">IF(ISNA(F83),0,OFFSET(INDIRECT("'"&amp;EL$67&amp;"'!g1"),F83-1,)*CM83)</f>
        <v>1</v>
      </c>
      <c r="EM83" cm="1">
        <f t="array" aca="1" ref="EM83" ca="1">IF(ISNA(G83),0,OFFSET(INDIRECT("'"&amp;EM$67&amp;"'!g1"),G83-1,)*CN83)</f>
        <v>1</v>
      </c>
      <c r="EN83" cm="1">
        <f t="array" aca="1" ref="EN83" ca="1">IF(ISNA(H83),0,OFFSET(INDIRECT("'"&amp;EN$67&amp;"'!g1"),H83-1,)*CO83)</f>
        <v>1</v>
      </c>
      <c r="EO83" cm="1">
        <f t="array" aca="1" ref="EO83" ca="1">IF(ISNA(I83),0,OFFSET(INDIRECT("'"&amp;EO$67&amp;"'!g1"),I83-1,)*CP83)</f>
        <v>1</v>
      </c>
      <c r="EP83" cm="1">
        <f t="array" aca="1" ref="EP83" ca="1">IF(ISNA(J83),0,OFFSET(INDIRECT("'"&amp;EP$67&amp;"'!g1"),J83-1,)*CQ83)</f>
        <v>1</v>
      </c>
      <c r="EQ83" cm="1">
        <f t="array" aca="1" ref="EQ83" ca="1">IF(ISNA(K83),0,OFFSET(INDIRECT("'"&amp;EQ$67&amp;"'!g1"),K83-1,)*CR83)</f>
        <v>7953</v>
      </c>
      <c r="ER83" cm="1">
        <f t="array" aca="1" ref="ER83" ca="1">IF(ISNA(L83),0,OFFSET(INDIRECT("'"&amp;ER$67&amp;"'!g1"),L83-1,)*CS83)</f>
        <v>9609</v>
      </c>
      <c r="ES83" cm="1">
        <f t="array" aca="1" ref="ES83" ca="1">IF(ISNA(M83),0,OFFSET(INDIRECT("'"&amp;ES$67&amp;"'!g1"),M83-1,)*CT83)</f>
        <v>9248</v>
      </c>
      <c r="ET83" cm="1">
        <f t="array" aca="1" ref="ET83" ca="1">IF(ISNA(N83),0,OFFSET(INDIRECT("'"&amp;ET$67&amp;"'!g1"),N83-1,)*CU83)</f>
        <v>1</v>
      </c>
      <c r="EU83" cm="1">
        <f t="array" aca="1" ref="EU83" ca="1">IF(ISNA(O83),0,OFFSET(INDIRECT("'"&amp;EU$67&amp;"'!g1"),O83-1,)*CV83)</f>
        <v>1</v>
      </c>
      <c r="EV83" cm="1">
        <f t="array" aca="1" ref="EV83" ca="1">IF(ISNA(P83),0,OFFSET(INDIRECT("'"&amp;EV$67&amp;"'!g1"),P83-1,)*CW83)</f>
        <v>2</v>
      </c>
      <c r="FB83" s="10" cm="1">
        <f t="array" aca="1" ref="FB83" ca="1">IF(ISNA(E83),0,OFFSET(INDIRECT("'"&amp;EK$67&amp;"'!h1"),E83-1,))</f>
        <v>1</v>
      </c>
      <c r="FC83" s="10" cm="1">
        <f t="array" aca="1" ref="FC83" ca="1">IF(ISNA(F83),0,OFFSET(INDIRECT("'"&amp;EL$67&amp;"'!h1"),F83-1,))</f>
        <v>1</v>
      </c>
      <c r="FD83" s="10" cm="1">
        <f t="array" aca="1" ref="FD83" ca="1">IF(ISNA(G83),0,OFFSET(INDIRECT("'"&amp;EM$67&amp;"'!h1"),G83-1,))</f>
        <v>1</v>
      </c>
      <c r="FE83" s="10" cm="1">
        <f t="array" aca="1" ref="FE83" ca="1">IF(ISNA(H83),0,OFFSET(INDIRECT("'"&amp;EN$67&amp;"'!h1"),H83-1,))</f>
        <v>1</v>
      </c>
      <c r="FF83" s="10" cm="1">
        <f t="array" aca="1" ref="FF83" ca="1">IF(ISNA(I83),0,OFFSET(INDIRECT("'"&amp;EO$67&amp;"'!h1"),I83-1,))</f>
        <v>1</v>
      </c>
      <c r="FG83" s="10" cm="1">
        <f t="array" aca="1" ref="FG83" ca="1">IF(ISNA(J83),0,OFFSET(INDIRECT("'"&amp;EP$67&amp;"'!h1"),J83-1,))</f>
        <v>1</v>
      </c>
      <c r="FH83" s="10" cm="1">
        <f t="array" aca="1" ref="FH83" ca="1">IF(ISNA(K83),0,OFFSET(INDIRECT("'"&amp;EQ$67&amp;"'!h1"),K83-1,))</f>
        <v>10000</v>
      </c>
      <c r="FI83" s="10" cm="1">
        <f t="array" aca="1" ref="FI83" ca="1">IF(ISNA(L83),0,OFFSET(INDIRECT("'"&amp;ER$67&amp;"'!h1"),L83-1,))</f>
        <v>10000</v>
      </c>
      <c r="FJ83" s="10" cm="1">
        <f t="array" aca="1" ref="FJ83" ca="1">IF(ISNA(M83),0,OFFSET(INDIRECT("'"&amp;ES$67&amp;"'!h1"),M83-1,))</f>
        <v>10000</v>
      </c>
      <c r="FK83" s="10" cm="1">
        <f t="array" aca="1" ref="FK83" ca="1">IF(ISNA(N83),0,OFFSET(INDIRECT("'"&amp;ET$67&amp;"'!h1"),N83-1,))</f>
        <v>1</v>
      </c>
      <c r="FL83" s="10" cm="1">
        <f t="array" aca="1" ref="FL83" ca="1">IF(ISNA(O83),0,OFFSET(INDIRECT("'"&amp;EU$67&amp;"'!h1"),O83-1,))</f>
        <v>1</v>
      </c>
      <c r="FM83" s="10" cm="1">
        <f t="array" aca="1" ref="FM83" ca="1">IF(ISNA(P83),0,OFFSET(INDIRECT("'"&amp;EV$67&amp;"'!h1"),P83-1,))</f>
        <v>2</v>
      </c>
      <c r="FN83" s="10"/>
      <c r="FO83" s="10"/>
      <c r="FP83" s="10"/>
      <c r="FQ83" s="10"/>
      <c r="FS83">
        <f t="shared" ca="1" si="72"/>
        <v>768</v>
      </c>
      <c r="FT83">
        <f t="shared" ca="1" si="73"/>
        <v>434.15253188926698</v>
      </c>
      <c r="FU83">
        <f t="shared" ca="1" si="74"/>
        <v>7953</v>
      </c>
      <c r="FV83">
        <f t="shared" ca="1" si="75"/>
        <v>10000</v>
      </c>
      <c r="FW83" s="4">
        <f t="shared" ca="1" si="76"/>
        <v>0.79530000000000001</v>
      </c>
      <c r="FX83" s="5">
        <f t="shared" ca="1" si="77"/>
        <v>5.4589781452189991E-2</v>
      </c>
      <c r="FZ83" s="13">
        <f t="shared" ca="1" si="50"/>
        <v>768</v>
      </c>
      <c r="GA83" s="23">
        <f t="shared" ca="1" si="78"/>
        <v>0</v>
      </c>
      <c r="GB83" s="23">
        <f t="shared" ca="1" si="51"/>
        <v>0</v>
      </c>
      <c r="GC83" s="23">
        <f t="shared" ca="1" si="51"/>
        <v>0</v>
      </c>
      <c r="GD83" s="23">
        <f t="shared" ca="1" si="51"/>
        <v>0</v>
      </c>
      <c r="GE83" s="23">
        <f t="shared" ca="1" si="51"/>
        <v>0</v>
      </c>
      <c r="GF83" s="23">
        <f t="shared" ca="1" si="51"/>
        <v>0</v>
      </c>
      <c r="GG83" s="23">
        <f t="shared" ca="1" si="51"/>
        <v>0</v>
      </c>
      <c r="GH83" s="23">
        <f t="shared" ca="1" si="51"/>
        <v>0</v>
      </c>
      <c r="GI83" s="23">
        <f t="shared" ca="1" si="51"/>
        <v>0</v>
      </c>
      <c r="GJ83" s="23">
        <f t="shared" ca="1" si="51"/>
        <v>0</v>
      </c>
      <c r="GK83" s="23">
        <f t="shared" ca="1" si="51"/>
        <v>0</v>
      </c>
      <c r="GL83" s="23">
        <f t="shared" ca="1" si="51"/>
        <v>0</v>
      </c>
      <c r="GM83" s="23"/>
      <c r="GN83">
        <f t="shared" ca="1" si="79"/>
        <v>768</v>
      </c>
      <c r="GO83" s="5">
        <f t="shared" ca="1" si="80"/>
        <v>102.113936584</v>
      </c>
      <c r="GP83" s="5">
        <f t="shared" ca="1" si="52"/>
        <v>497.90931817199998</v>
      </c>
      <c r="GQ83" s="5">
        <f t="shared" ca="1" si="52"/>
        <v>126.757097589</v>
      </c>
      <c r="GR83" s="5">
        <f t="shared" ca="1" si="52"/>
        <v>6.1816340000007103E-2</v>
      </c>
      <c r="GS83" s="5" t="e">
        <f t="shared" ca="1" si="52"/>
        <v>#N/A</v>
      </c>
      <c r="GT83" s="5">
        <f t="shared" ca="1" si="81"/>
        <v>6.3442136940000102</v>
      </c>
      <c r="GU83" s="5">
        <f t="shared" ca="1" si="53"/>
        <v>5.4589781452189991E-2</v>
      </c>
      <c r="GV83" s="5">
        <f t="shared" ca="1" si="53"/>
        <v>4.5800213923877196E-2</v>
      </c>
      <c r="GW83" s="5">
        <f t="shared" ca="1" si="53"/>
        <v>3.0391681194744811E-2</v>
      </c>
      <c r="GX83" s="5">
        <f t="shared" ca="1" si="53"/>
        <v>0.650186386000001</v>
      </c>
      <c r="GY83" s="5">
        <f t="shared" ca="1" si="53"/>
        <v>0.434171681999998</v>
      </c>
      <c r="GZ83" s="5">
        <f t="shared" ca="1" si="53"/>
        <v>0.363120355499987</v>
      </c>
      <c r="HB83" s="13">
        <f t="shared" ca="1" si="54"/>
        <v>768</v>
      </c>
      <c r="HC83" s="4">
        <f t="shared" ca="1" si="82"/>
        <v>1</v>
      </c>
      <c r="HD83" s="4">
        <f t="shared" ca="1" si="55"/>
        <v>1</v>
      </c>
      <c r="HE83" s="4">
        <f t="shared" ca="1" si="55"/>
        <v>1</v>
      </c>
      <c r="HF83" s="4">
        <f t="shared" ca="1" si="55"/>
        <v>1</v>
      </c>
      <c r="HG83" s="4">
        <f t="shared" ca="1" si="55"/>
        <v>1</v>
      </c>
      <c r="HH83" s="4">
        <f t="shared" ca="1" si="55"/>
        <v>1</v>
      </c>
      <c r="HI83" s="4">
        <f t="shared" ca="1" si="55"/>
        <v>0.79530000000000001</v>
      </c>
      <c r="HJ83" s="4">
        <f t="shared" ca="1" si="55"/>
        <v>0.96089999999999998</v>
      </c>
      <c r="HK83" s="4">
        <f t="shared" ca="1" si="55"/>
        <v>0.92479999999999996</v>
      </c>
      <c r="HL83" s="4">
        <f t="shared" ca="1" si="55"/>
        <v>1</v>
      </c>
      <c r="HM83" s="4">
        <f t="shared" ca="1" si="55"/>
        <v>1</v>
      </c>
      <c r="HN83" s="4">
        <f t="shared" ca="1" si="55"/>
        <v>1</v>
      </c>
    </row>
    <row r="84" spans="1:222" x14ac:dyDescent="0.2">
      <c r="A84" t="str" cm="1">
        <f t="array" aca="1" ref="A84" ca="1">INDIRECT($A$67&amp;"!A"&amp;ROW(C17)+$B$64)</f>
        <v>[[1008,86,0]]</v>
      </c>
      <c r="B84" cm="1">
        <f t="array" aca="1" ref="B84" ca="1">INDIRECT($A$67&amp;"!b"&amp;ROW(D17)+$B$64)</f>
        <v>1008</v>
      </c>
      <c r="C84">
        <f t="shared" ca="1" si="56"/>
        <v>6</v>
      </c>
      <c r="E84">
        <f t="shared" ca="1" si="83"/>
        <v>41</v>
      </c>
      <c r="F84">
        <f t="shared" ca="1" si="57"/>
        <v>42</v>
      </c>
      <c r="G84">
        <f t="shared" ca="1" si="58"/>
        <v>41</v>
      </c>
      <c r="H84">
        <f t="shared" ca="1" si="59"/>
        <v>41</v>
      </c>
      <c r="I84">
        <f t="shared" ca="1" si="60"/>
        <v>44</v>
      </c>
      <c r="J84">
        <f t="shared" ca="1" si="61"/>
        <v>41</v>
      </c>
      <c r="K84">
        <f t="shared" ca="1" si="62"/>
        <v>48</v>
      </c>
      <c r="L84">
        <f t="shared" ca="1" si="63"/>
        <v>50</v>
      </c>
      <c r="M84">
        <f t="shared" ca="1" si="64"/>
        <v>47</v>
      </c>
      <c r="N84">
        <f t="shared" ca="1" si="65"/>
        <v>41</v>
      </c>
      <c r="O84">
        <f t="shared" ca="1" si="66"/>
        <v>41</v>
      </c>
      <c r="P84">
        <f t="shared" ca="1" si="67"/>
        <v>41</v>
      </c>
      <c r="V84" cm="1">
        <f t="array" aca="1" ref="V84" ca="1">IF(ISNA(E84),,OFFSET(INDIRECT("'"&amp;V$67&amp;"'!d1"),E84-1,))</f>
        <v>6</v>
      </c>
      <c r="W84" cm="1">
        <f t="array" aca="1" ref="W84" ca="1">IF(ISNA(F84),,OFFSET(INDIRECT("'"&amp;W$67&amp;"'!d1"),F84-1,))</f>
        <v>6</v>
      </c>
      <c r="X84" cm="1">
        <f t="array" aca="1" ref="X84" ca="1">IF(ISNA(G84),,OFFSET(INDIRECT("'"&amp;X$67&amp;"'!d1"),G84-1,))</f>
        <v>6</v>
      </c>
      <c r="Y84" cm="1">
        <f t="array" aca="1" ref="Y84" ca="1">IF(ISNA(H84),,OFFSET(INDIRECT("'"&amp;Y$67&amp;"'!d1"),H84-1,))</f>
        <v>6</v>
      </c>
      <c r="Z84" cm="1">
        <f t="array" aca="1" ref="Z84" ca="1">IF(ISNA(I84),,OFFSET(INDIRECT("'"&amp;Z$67&amp;"'!d1"),I84-1,))</f>
        <v>6</v>
      </c>
      <c r="AA84" cm="1">
        <f t="array" aca="1" ref="AA84" ca="1">IF(ISNA(J84),,OFFSET(INDIRECT("'"&amp;AA$67&amp;"'!d1"),J84-1,))</f>
        <v>6</v>
      </c>
      <c r="AB84" cm="1">
        <f t="array" aca="1" ref="AB84" ca="1">IF(ISNA(K84),,OFFSET(INDIRECT("'"&amp;AB$67&amp;"'!d1"),K84-1,))</f>
        <v>6</v>
      </c>
      <c r="AC84" cm="1">
        <f t="array" aca="1" ref="AC84" ca="1">IF(ISNA(L84),,OFFSET(INDIRECT("'"&amp;AC$67&amp;"'!d1"),L84-1,))</f>
        <v>6</v>
      </c>
      <c r="AD84" cm="1">
        <f t="array" aca="1" ref="AD84" ca="1">IF(ISNA(M84),,OFFSET(INDIRECT("'"&amp;AD$67&amp;"'!d1"),M84-1,))</f>
        <v>6</v>
      </c>
      <c r="AE84" cm="1">
        <f t="array" aca="1" ref="AE84" ca="1">IF(ISNA(N84),,OFFSET(INDIRECT("'"&amp;AE$67&amp;"'!d1"),N84-1,))</f>
        <v>6</v>
      </c>
      <c r="AF84" cm="1">
        <f t="array" aca="1" ref="AF84" ca="1">IF(ISNA(O84),,OFFSET(INDIRECT("'"&amp;AF$67&amp;"'!d1"),O84-1,))</f>
        <v>6</v>
      </c>
      <c r="AG84" cm="1">
        <f t="array" aca="1" ref="AG84" ca="1">IF(ISNA(P84),,OFFSET(INDIRECT("'"&amp;AG$67&amp;"'!d1"),P84-1,))</f>
        <v>6</v>
      </c>
      <c r="AM84">
        <f t="shared" ca="1" si="68"/>
        <v>1</v>
      </c>
      <c r="AN84">
        <f t="shared" ca="1" si="68"/>
        <v>1</v>
      </c>
      <c r="AO84">
        <f t="shared" ca="1" si="68"/>
        <v>1</v>
      </c>
      <c r="AP84">
        <f t="shared" ca="1" si="68"/>
        <v>1</v>
      </c>
      <c r="AQ84">
        <f t="shared" ca="1" si="69"/>
        <v>0</v>
      </c>
      <c r="AV84" t="b">
        <f t="shared" ca="1" si="70"/>
        <v>1</v>
      </c>
      <c r="AW84" t="b">
        <f t="shared" ca="1" si="45"/>
        <v>1</v>
      </c>
      <c r="AX84" t="b">
        <f t="shared" ca="1" si="45"/>
        <v>1</v>
      </c>
      <c r="AY84" t="b">
        <f t="shared" ca="1" si="45"/>
        <v>1</v>
      </c>
      <c r="AZ84" t="str">
        <f t="shared" ca="1" si="45"/>
        <v/>
      </c>
      <c r="BD84">
        <f t="shared" ca="1" si="46"/>
        <v>1</v>
      </c>
      <c r="BE84">
        <f t="shared" ca="1" si="46"/>
        <v>1</v>
      </c>
      <c r="BF84">
        <f t="shared" ca="1" si="46"/>
        <v>1</v>
      </c>
      <c r="BG84">
        <f t="shared" ca="1" si="46"/>
        <v>1</v>
      </c>
      <c r="BH84">
        <f t="shared" ca="1" si="46"/>
        <v>1</v>
      </c>
      <c r="BI84">
        <f t="shared" ca="1" si="46"/>
        <v>1</v>
      </c>
      <c r="BJ84">
        <f t="shared" ca="1" si="46"/>
        <v>1</v>
      </c>
      <c r="BK84">
        <f t="shared" ca="1" si="46"/>
        <v>1</v>
      </c>
      <c r="BL84">
        <f t="shared" ca="1" si="46"/>
        <v>1</v>
      </c>
      <c r="BM84">
        <f t="shared" ca="1" si="46"/>
        <v>1</v>
      </c>
      <c r="BN84">
        <f t="shared" ca="1" si="46"/>
        <v>1</v>
      </c>
      <c r="BO84">
        <f t="shared" ca="1" si="46"/>
        <v>1</v>
      </c>
      <c r="BU84">
        <f t="shared" ca="1" si="47"/>
        <v>6</v>
      </c>
      <c r="BV84">
        <f t="shared" ca="1" si="47"/>
        <v>6</v>
      </c>
      <c r="BW84">
        <f t="shared" ca="1" si="47"/>
        <v>6</v>
      </c>
      <c r="BX84">
        <f t="shared" ca="1" si="47"/>
        <v>6</v>
      </c>
      <c r="BY84">
        <f t="shared" ca="1" si="47"/>
        <v>6</v>
      </c>
      <c r="BZ84">
        <f t="shared" ca="1" si="47"/>
        <v>6</v>
      </c>
      <c r="CA84">
        <f t="shared" ca="1" si="47"/>
        <v>6</v>
      </c>
      <c r="CB84">
        <f t="shared" ca="1" si="47"/>
        <v>6</v>
      </c>
      <c r="CC84">
        <f t="shared" ca="1" si="47"/>
        <v>6</v>
      </c>
      <c r="CD84">
        <f t="shared" ca="1" si="47"/>
        <v>6</v>
      </c>
      <c r="CE84">
        <f t="shared" ca="1" si="47"/>
        <v>6</v>
      </c>
      <c r="CF84">
        <f t="shared" ca="1" si="47"/>
        <v>6</v>
      </c>
      <c r="CL84">
        <f t="shared" ca="1" si="48"/>
        <v>1</v>
      </c>
      <c r="CM84">
        <f t="shared" ca="1" si="48"/>
        <v>1</v>
      </c>
      <c r="CN84">
        <f t="shared" ca="1" si="48"/>
        <v>1</v>
      </c>
      <c r="CO84">
        <f t="shared" ca="1" si="48"/>
        <v>1</v>
      </c>
      <c r="CP84">
        <f t="shared" ca="1" si="48"/>
        <v>1</v>
      </c>
      <c r="CQ84">
        <f t="shared" ca="1" si="48"/>
        <v>1</v>
      </c>
      <c r="CR84">
        <f t="shared" ca="1" si="48"/>
        <v>1</v>
      </c>
      <c r="CS84">
        <f t="shared" ca="1" si="48"/>
        <v>1</v>
      </c>
      <c r="CT84">
        <f t="shared" ca="1" si="48"/>
        <v>1</v>
      </c>
      <c r="CU84">
        <f t="shared" ca="1" si="48"/>
        <v>1</v>
      </c>
      <c r="CV84">
        <f t="shared" ca="1" si="48"/>
        <v>1</v>
      </c>
      <c r="CW84">
        <f t="shared" ca="1" si="48"/>
        <v>1</v>
      </c>
      <c r="DC84" cm="1">
        <f t="array" aca="1" ref="DC84" ca="1">IF(ISNA(E84),,OFFSET(INDIRECT("'"&amp;DT$67&amp;"'!f1"),E84-1,))*1</f>
        <v>228.24339808799999</v>
      </c>
      <c r="DD84" cm="1">
        <f t="array" aca="1" ref="DD84" ca="1">IF(ISNA(F84),,OFFSET(INDIRECT("'"&amp;DU$67&amp;"'!f1"),F84-1,))*1</f>
        <v>1663.068156781</v>
      </c>
      <c r="DE84" cm="1">
        <f t="array" aca="1" ref="DE84" ca="1">IF(ISNA(G84),,OFFSET(INDIRECT("'"&amp;DV$67&amp;"'!f1"),G84-1,))*1</f>
        <v>226.155365918</v>
      </c>
      <c r="DF84" cm="1">
        <f t="array" aca="1" ref="DF84" ca="1">IF(ISNA(H84),,OFFSET(INDIRECT("'"&amp;DW$67&amp;"'!f1"),H84-1,))*1</f>
        <v>7.9695103999995298E-2</v>
      </c>
      <c r="DG84" cm="1">
        <f t="array" aca="1" ref="DG84" ca="1">IF(ISNA(I84),,OFFSET(INDIRECT("'"&amp;DX$67&amp;"'!f1"),I84-1,))*1</f>
        <v>28800.590568209002</v>
      </c>
      <c r="DH84" cm="1">
        <f t="array" aca="1" ref="DH84" ca="1">IF(ISNA(J84),,OFFSET(INDIRECT("'"&amp;DY$67&amp;"'!f1"),J84-1,))*1</f>
        <v>10.8520533999999</v>
      </c>
      <c r="DI84" cm="1">
        <f t="array" aca="1" ref="DI84" ca="1">IF(ISNA(K84),,OFFSET(INDIRECT("'"&amp;DZ$67&amp;"'!f1"),K84-1,))*1</f>
        <v>892.92569443769696</v>
      </c>
      <c r="DJ84" cm="1">
        <f t="array" aca="1" ref="DJ84" ca="1">IF(ISNA(L84),,OFFSET(INDIRECT("'"&amp;EA$67&amp;"'!f1"),L84-1,))*1</f>
        <v>902.58050555549505</v>
      </c>
      <c r="DK84" cm="1">
        <f t="array" aca="1" ref="DK84" ca="1">IF(ISNA(M84),,OFFSET(INDIRECT("'"&amp;EB$67&amp;"'!f1"),M84-1,))*1</f>
        <v>376.24762440799998</v>
      </c>
      <c r="DL84" cm="1">
        <f t="array" aca="1" ref="DL84" ca="1">IF(ISNA(N84),,OFFSET(INDIRECT("'"&amp;EC$67&amp;"'!f1"),N84-1,))*1</f>
        <v>0.88339284399998497</v>
      </c>
      <c r="DM84" cm="1">
        <f t="array" aca="1" ref="DM84" ca="1">IF(ISNA(O84),,OFFSET(INDIRECT("'"&amp;ED$67&amp;"'!f1"),O84-1,))*1</f>
        <v>0.63965472399999601</v>
      </c>
      <c r="DN84" cm="1">
        <f t="array" aca="1" ref="DN84" ca="1">IF(ISNA(P84),,OFFSET(INDIRECT("'"&amp;EE$67&amp;"'!f1"),P84-1,))*1</f>
        <v>1.058173764</v>
      </c>
      <c r="DT84">
        <f t="shared" ca="1" si="71"/>
        <v>1</v>
      </c>
      <c r="DU84">
        <f t="shared" ca="1" si="71"/>
        <v>1</v>
      </c>
      <c r="DV84">
        <f t="shared" ca="1" si="71"/>
        <v>1</v>
      </c>
      <c r="DW84">
        <f t="shared" ca="1" si="71"/>
        <v>1</v>
      </c>
      <c r="DX84">
        <f t="shared" ca="1" si="71"/>
        <v>1</v>
      </c>
      <c r="DY84">
        <f t="shared" ca="1" si="71"/>
        <v>1</v>
      </c>
      <c r="DZ84">
        <f t="shared" ca="1" si="71"/>
        <v>7479</v>
      </c>
      <c r="EA84">
        <f t="shared" ca="1" si="71"/>
        <v>9035</v>
      </c>
      <c r="EB84">
        <f t="shared" ca="1" si="71"/>
        <v>4392</v>
      </c>
      <c r="EC84">
        <f t="shared" ca="1" si="71"/>
        <v>1</v>
      </c>
      <c r="ED84">
        <f t="shared" ca="1" si="71"/>
        <v>1</v>
      </c>
      <c r="EE84">
        <f t="shared" ca="1" si="71"/>
        <v>2</v>
      </c>
      <c r="EK84" cm="1">
        <f t="array" aca="1" ref="EK84" ca="1">IF(ISNA(E84),0,OFFSET(INDIRECT("'"&amp;EK$67&amp;"'!g1"),E84-1,)*CL84)</f>
        <v>1</v>
      </c>
      <c r="EL84" cm="1">
        <f t="array" aca="1" ref="EL84" ca="1">IF(ISNA(F84),0,OFFSET(INDIRECT("'"&amp;EL$67&amp;"'!g1"),F84-1,)*CM84)</f>
        <v>1</v>
      </c>
      <c r="EM84" cm="1">
        <f t="array" aca="1" ref="EM84" ca="1">IF(ISNA(G84),0,OFFSET(INDIRECT("'"&amp;EM$67&amp;"'!g1"),G84-1,)*CN84)</f>
        <v>1</v>
      </c>
      <c r="EN84" cm="1">
        <f t="array" aca="1" ref="EN84" ca="1">IF(ISNA(H84),0,OFFSET(INDIRECT("'"&amp;EN$67&amp;"'!g1"),H84-1,)*CO84)</f>
        <v>1</v>
      </c>
      <c r="EO84" cm="1">
        <f t="array" aca="1" ref="EO84" ca="1">IF(ISNA(I84),0,OFFSET(INDIRECT("'"&amp;EO$67&amp;"'!g1"),I84-1,)*CP84)</f>
        <v>1</v>
      </c>
      <c r="EP84" cm="1">
        <f t="array" aca="1" ref="EP84" ca="1">IF(ISNA(J84),0,OFFSET(INDIRECT("'"&amp;EP$67&amp;"'!g1"),J84-1,)*CQ84)</f>
        <v>1</v>
      </c>
      <c r="EQ84" cm="1">
        <f t="array" aca="1" ref="EQ84" ca="1">IF(ISNA(K84),0,OFFSET(INDIRECT("'"&amp;EQ$67&amp;"'!g1"),K84-1,)*CR84)</f>
        <v>7479</v>
      </c>
      <c r="ER84" cm="1">
        <f t="array" aca="1" ref="ER84" ca="1">IF(ISNA(L84),0,OFFSET(INDIRECT("'"&amp;ER$67&amp;"'!g1"),L84-1,)*CS84)</f>
        <v>9035</v>
      </c>
      <c r="ES84" cm="1">
        <f t="array" aca="1" ref="ES84" ca="1">IF(ISNA(M84),0,OFFSET(INDIRECT("'"&amp;ES$67&amp;"'!g1"),M84-1,)*CT84)</f>
        <v>4392</v>
      </c>
      <c r="ET84" cm="1">
        <f t="array" aca="1" ref="ET84" ca="1">IF(ISNA(N84),0,OFFSET(INDIRECT("'"&amp;ET$67&amp;"'!g1"),N84-1,)*CU84)</f>
        <v>1</v>
      </c>
      <c r="EU84" cm="1">
        <f t="array" aca="1" ref="EU84" ca="1">IF(ISNA(O84),0,OFFSET(INDIRECT("'"&amp;EU$67&amp;"'!g1"),O84-1,)*CV84)</f>
        <v>1</v>
      </c>
      <c r="EV84" cm="1">
        <f t="array" aca="1" ref="EV84" ca="1">IF(ISNA(P84),0,OFFSET(INDIRECT("'"&amp;EV$67&amp;"'!g1"),P84-1,)*CW84)</f>
        <v>2</v>
      </c>
      <c r="FB84" s="10" cm="1">
        <f t="array" aca="1" ref="FB84" ca="1">IF(ISNA(E84),0,OFFSET(INDIRECT("'"&amp;EK$67&amp;"'!h1"),E84-1,))</f>
        <v>1</v>
      </c>
      <c r="FC84" s="10" cm="1">
        <f t="array" aca="1" ref="FC84" ca="1">IF(ISNA(F84),0,OFFSET(INDIRECT("'"&amp;EL$67&amp;"'!h1"),F84-1,))</f>
        <v>1</v>
      </c>
      <c r="FD84" s="10" cm="1">
        <f t="array" aca="1" ref="FD84" ca="1">IF(ISNA(G84),0,OFFSET(INDIRECT("'"&amp;EM$67&amp;"'!h1"),G84-1,))</f>
        <v>1</v>
      </c>
      <c r="FE84" s="10" cm="1">
        <f t="array" aca="1" ref="FE84" ca="1">IF(ISNA(H84),0,OFFSET(INDIRECT("'"&amp;EN$67&amp;"'!h1"),H84-1,))</f>
        <v>1</v>
      </c>
      <c r="FF84" s="10" cm="1">
        <f t="array" aca="1" ref="FF84" ca="1">IF(ISNA(I84),0,OFFSET(INDIRECT("'"&amp;EO$67&amp;"'!h1"),I84-1,))</f>
        <v>1</v>
      </c>
      <c r="FG84" s="10" cm="1">
        <f t="array" aca="1" ref="FG84" ca="1">IF(ISNA(J84),0,OFFSET(INDIRECT("'"&amp;EP$67&amp;"'!h1"),J84-1,))</f>
        <v>1</v>
      </c>
      <c r="FH84" s="10" cm="1">
        <f t="array" aca="1" ref="FH84" ca="1">IF(ISNA(K84),0,OFFSET(INDIRECT("'"&amp;EQ$67&amp;"'!h1"),K84-1,))</f>
        <v>10000</v>
      </c>
      <c r="FI84" s="10" cm="1">
        <f t="array" aca="1" ref="FI84" ca="1">IF(ISNA(L84),0,OFFSET(INDIRECT("'"&amp;ER$67&amp;"'!h1"),L84-1,))</f>
        <v>10000</v>
      </c>
      <c r="FJ84" s="10" cm="1">
        <f t="array" aca="1" ref="FJ84" ca="1">IF(ISNA(M84),0,OFFSET(INDIRECT("'"&amp;ES$67&amp;"'!h1"),M84-1,))</f>
        <v>10000</v>
      </c>
      <c r="FK84" s="10" cm="1">
        <f t="array" aca="1" ref="FK84" ca="1">IF(ISNA(N84),0,OFFSET(INDIRECT("'"&amp;ET$67&amp;"'!h1"),N84-1,))</f>
        <v>1</v>
      </c>
      <c r="FL84" s="10" cm="1">
        <f t="array" aca="1" ref="FL84" ca="1">IF(ISNA(O84),0,OFFSET(INDIRECT("'"&amp;EU$67&amp;"'!h1"),O84-1,))</f>
        <v>1</v>
      </c>
      <c r="FM84" s="10" cm="1">
        <f t="array" aca="1" ref="FM84" ca="1">IF(ISNA(P84),0,OFFSET(INDIRECT("'"&amp;EV$67&amp;"'!h1"),P84-1,))</f>
        <v>2</v>
      </c>
      <c r="FN84" s="10"/>
      <c r="FO84" s="10"/>
      <c r="FP84" s="10"/>
      <c r="FQ84" s="10"/>
      <c r="FS84">
        <f t="shared" ca="1" si="72"/>
        <v>1008</v>
      </c>
      <c r="FT84">
        <f t="shared" ca="1" si="73"/>
        <v>892.92569443769696</v>
      </c>
      <c r="FU84">
        <f t="shared" ca="1" si="74"/>
        <v>7479</v>
      </c>
      <c r="FV84">
        <f t="shared" ca="1" si="75"/>
        <v>10000</v>
      </c>
      <c r="FW84" s="4">
        <f t="shared" ca="1" si="76"/>
        <v>0.74790000000000001</v>
      </c>
      <c r="FX84" s="5">
        <f t="shared" ca="1" si="77"/>
        <v>0.11939105421014801</v>
      </c>
      <c r="FZ84" s="13">
        <f t="shared" ca="1" si="50"/>
        <v>1008</v>
      </c>
      <c r="GA84" s="23">
        <f t="shared" ca="1" si="78"/>
        <v>0</v>
      </c>
      <c r="GB84" s="23">
        <f t="shared" ca="1" si="51"/>
        <v>0</v>
      </c>
      <c r="GC84" s="23">
        <f t="shared" ca="1" si="51"/>
        <v>0</v>
      </c>
      <c r="GD84" s="23">
        <f t="shared" ca="1" si="51"/>
        <v>0</v>
      </c>
      <c r="GE84" s="23">
        <f t="shared" ca="1" si="51"/>
        <v>0</v>
      </c>
      <c r="GF84" s="23">
        <f t="shared" ca="1" si="51"/>
        <v>0</v>
      </c>
      <c r="GG84" s="23">
        <f t="shared" ca="1" si="51"/>
        <v>0</v>
      </c>
      <c r="GH84" s="23">
        <f t="shared" ca="1" si="51"/>
        <v>0</v>
      </c>
      <c r="GI84" s="23">
        <f t="shared" ca="1" si="51"/>
        <v>0</v>
      </c>
      <c r="GJ84" s="23">
        <f t="shared" ca="1" si="51"/>
        <v>0</v>
      </c>
      <c r="GK84" s="23">
        <f t="shared" ca="1" si="51"/>
        <v>0</v>
      </c>
      <c r="GL84" s="23">
        <f t="shared" ca="1" si="51"/>
        <v>0</v>
      </c>
      <c r="GM84" s="23"/>
      <c r="GN84">
        <f t="shared" ca="1" si="79"/>
        <v>1008</v>
      </c>
      <c r="GO84" s="5">
        <f t="shared" ca="1" si="80"/>
        <v>228.24339808799999</v>
      </c>
      <c r="GP84" s="5">
        <f t="shared" ca="1" si="80"/>
        <v>1663.068156781</v>
      </c>
      <c r="GQ84" s="5">
        <f t="shared" ca="1" si="80"/>
        <v>226.155365918</v>
      </c>
      <c r="GR84" s="5">
        <f t="shared" ca="1" si="80"/>
        <v>7.9695103999995298E-2</v>
      </c>
      <c r="GS84" s="5" t="e">
        <f t="shared" ca="1" si="80"/>
        <v>#N/A</v>
      </c>
      <c r="GT84" s="5">
        <f t="shared" ca="1" si="81"/>
        <v>10.8520533999999</v>
      </c>
      <c r="GU84" s="5">
        <f t="shared" ca="1" si="81"/>
        <v>0.11939105421014801</v>
      </c>
      <c r="GV84" s="5">
        <f t="shared" ca="1" si="81"/>
        <v>9.9898229723906481E-2</v>
      </c>
      <c r="GW84" s="5">
        <f t="shared" ca="1" si="81"/>
        <v>8.5666581149362472E-2</v>
      </c>
      <c r="GX84" s="5">
        <f t="shared" ca="1" si="81"/>
        <v>0.88339284399998497</v>
      </c>
      <c r="GY84" s="5">
        <f t="shared" ca="1" si="81"/>
        <v>0.63965472399999601</v>
      </c>
      <c r="GZ84" s="5">
        <f t="shared" ca="1" si="81"/>
        <v>0.52908688199999998</v>
      </c>
      <c r="HB84" s="13">
        <f t="shared" ca="1" si="54"/>
        <v>1008</v>
      </c>
      <c r="HC84" s="4">
        <f t="shared" ca="1" si="82"/>
        <v>1</v>
      </c>
      <c r="HD84" s="4">
        <f t="shared" ca="1" si="55"/>
        <v>1</v>
      </c>
      <c r="HE84" s="4">
        <f t="shared" ca="1" si="55"/>
        <v>1</v>
      </c>
      <c r="HF84" s="4">
        <f t="shared" ca="1" si="55"/>
        <v>1</v>
      </c>
      <c r="HG84" s="4">
        <f t="shared" ca="1" si="55"/>
        <v>1</v>
      </c>
      <c r="HH84" s="4">
        <f t="shared" ca="1" si="55"/>
        <v>1</v>
      </c>
      <c r="HI84" s="4">
        <f t="shared" ca="1" si="55"/>
        <v>0.74790000000000001</v>
      </c>
      <c r="HJ84" s="4">
        <f t="shared" ca="1" si="55"/>
        <v>0.90349999999999997</v>
      </c>
      <c r="HK84" s="4">
        <f t="shared" ca="1" si="55"/>
        <v>0.43919999999999998</v>
      </c>
      <c r="HL84" s="4">
        <f t="shared" ca="1" si="55"/>
        <v>1</v>
      </c>
      <c r="HM84" s="4">
        <f t="shared" ca="1" si="55"/>
        <v>1</v>
      </c>
      <c r="HN84" s="4">
        <f t="shared" ca="1" si="55"/>
        <v>1</v>
      </c>
    </row>
    <row r="85" spans="1:222" x14ac:dyDescent="0.2">
      <c r="A85" t="str" cm="1">
        <f t="array" aca="1" ref="A85" ca="1">INDIRECT($A$67&amp;"!A"&amp;ROW(C18)+$B$64)</f>
        <v>[[1080,92,0]]</v>
      </c>
      <c r="B85" cm="1">
        <f t="array" aca="1" ref="B85" ca="1">INDIRECT($A$67&amp;"!b"&amp;ROW(D18)+$B$64)</f>
        <v>1080</v>
      </c>
      <c r="C85">
        <f t="shared" ca="1" si="56"/>
        <v>6</v>
      </c>
      <c r="E85">
        <f t="shared" ca="1" si="83"/>
        <v>42</v>
      </c>
      <c r="F85">
        <f t="shared" ca="1" si="57"/>
        <v>43</v>
      </c>
      <c r="G85">
        <f t="shared" ca="1" si="58"/>
        <v>42</v>
      </c>
      <c r="H85">
        <f t="shared" ca="1" si="59"/>
        <v>42</v>
      </c>
      <c r="I85">
        <f t="shared" ca="1" si="60"/>
        <v>45</v>
      </c>
      <c r="J85">
        <f t="shared" ca="1" si="61"/>
        <v>42</v>
      </c>
      <c r="K85">
        <f t="shared" ca="1" si="62"/>
        <v>49</v>
      </c>
      <c r="L85">
        <f t="shared" ca="1" si="63"/>
        <v>51</v>
      </c>
      <c r="M85">
        <f t="shared" ca="1" si="64"/>
        <v>48</v>
      </c>
      <c r="N85">
        <f t="shared" ca="1" si="65"/>
        <v>42</v>
      </c>
      <c r="O85">
        <f t="shared" ca="1" si="66"/>
        <v>42</v>
      </c>
      <c r="P85">
        <f t="shared" ca="1" si="67"/>
        <v>42</v>
      </c>
      <c r="V85" cm="1">
        <f t="array" aca="1" ref="V85" ca="1">IF(ISNA(E85),,OFFSET(INDIRECT("'"&amp;V$67&amp;"'!d1"),E85-1,))</f>
        <v>6</v>
      </c>
      <c r="W85" cm="1">
        <f t="array" aca="1" ref="W85" ca="1">IF(ISNA(F85),,OFFSET(INDIRECT("'"&amp;W$67&amp;"'!d1"),F85-1,))</f>
        <v>6</v>
      </c>
      <c r="X85" cm="1">
        <f t="array" aca="1" ref="X85" ca="1">IF(ISNA(G85),,OFFSET(INDIRECT("'"&amp;X$67&amp;"'!d1"),G85-1,))</f>
        <v>6</v>
      </c>
      <c r="Y85" cm="1">
        <f t="array" aca="1" ref="Y85" ca="1">IF(ISNA(H85),,OFFSET(INDIRECT("'"&amp;Y$67&amp;"'!d1"),H85-1,))</f>
        <v>6</v>
      </c>
      <c r="Z85" cm="1">
        <f t="array" aca="1" ref="Z85" ca="1">IF(ISNA(I85),,OFFSET(INDIRECT("'"&amp;Z$67&amp;"'!d1"),I85-1,))</f>
        <v>6</v>
      </c>
      <c r="AA85" cm="1">
        <f t="array" aca="1" ref="AA85" ca="1">IF(ISNA(J85),,OFFSET(INDIRECT("'"&amp;AA$67&amp;"'!d1"),J85-1,))</f>
        <v>6</v>
      </c>
      <c r="AB85" cm="1">
        <f t="array" aca="1" ref="AB85" ca="1">IF(ISNA(K85),,OFFSET(INDIRECT("'"&amp;AB$67&amp;"'!d1"),K85-1,))</f>
        <v>6</v>
      </c>
      <c r="AC85" cm="1">
        <f t="array" aca="1" ref="AC85" ca="1">IF(ISNA(L85),,OFFSET(INDIRECT("'"&amp;AC$67&amp;"'!d1"),L85-1,))</f>
        <v>6</v>
      </c>
      <c r="AD85" cm="1">
        <f t="array" aca="1" ref="AD85" ca="1">IF(ISNA(M85),,OFFSET(INDIRECT("'"&amp;AD$67&amp;"'!d1"),M85-1,))</f>
        <v>6</v>
      </c>
      <c r="AE85" cm="1">
        <f t="array" aca="1" ref="AE85" ca="1">IF(ISNA(N85),,OFFSET(INDIRECT("'"&amp;AE$67&amp;"'!d1"),N85-1,))</f>
        <v>6</v>
      </c>
      <c r="AF85" cm="1">
        <f t="array" aca="1" ref="AF85" ca="1">IF(ISNA(O85),,OFFSET(INDIRECT("'"&amp;AF$67&amp;"'!d1"),O85-1,))</f>
        <v>6</v>
      </c>
      <c r="AG85" cm="1">
        <f t="array" aca="1" ref="AG85" ca="1">IF(ISNA(P85),,OFFSET(INDIRECT("'"&amp;AG$67&amp;"'!d1"),P85-1,))</f>
        <v>6</v>
      </c>
      <c r="AM85">
        <f t="shared" ca="1" si="68"/>
        <v>1</v>
      </c>
      <c r="AN85">
        <f t="shared" ca="1" si="68"/>
        <v>1</v>
      </c>
      <c r="AO85">
        <f t="shared" ca="1" si="68"/>
        <v>1</v>
      </c>
      <c r="AP85">
        <f t="shared" ca="1" si="68"/>
        <v>1</v>
      </c>
      <c r="AQ85">
        <f t="shared" ca="1" si="69"/>
        <v>0</v>
      </c>
      <c r="AV85" t="b">
        <f t="shared" ca="1" si="70"/>
        <v>1</v>
      </c>
      <c r="AW85" t="b">
        <f t="shared" ca="1" si="45"/>
        <v>1</v>
      </c>
      <c r="AX85" t="b">
        <f t="shared" ca="1" si="45"/>
        <v>1</v>
      </c>
      <c r="AY85" t="b">
        <f t="shared" ca="1" si="45"/>
        <v>1</v>
      </c>
      <c r="AZ85" t="str">
        <f t="shared" ca="1" si="45"/>
        <v/>
      </c>
      <c r="BD85">
        <f t="shared" ca="1" si="46"/>
        <v>1</v>
      </c>
      <c r="BE85">
        <f t="shared" ca="1" si="46"/>
        <v>1</v>
      </c>
      <c r="BF85">
        <f t="shared" ca="1" si="46"/>
        <v>1</v>
      </c>
      <c r="BG85">
        <f t="shared" ca="1" si="46"/>
        <v>1</v>
      </c>
      <c r="BH85">
        <f t="shared" ca="1" si="46"/>
        <v>1</v>
      </c>
      <c r="BI85">
        <f t="shared" ca="1" si="46"/>
        <v>1</v>
      </c>
      <c r="BJ85">
        <f t="shared" ca="1" si="46"/>
        <v>1</v>
      </c>
      <c r="BK85">
        <f t="shared" ca="1" si="46"/>
        <v>1</v>
      </c>
      <c r="BL85">
        <f t="shared" ca="1" si="46"/>
        <v>1</v>
      </c>
      <c r="BM85">
        <f t="shared" ca="1" si="46"/>
        <v>1</v>
      </c>
      <c r="BN85">
        <f t="shared" ca="1" si="46"/>
        <v>1</v>
      </c>
      <c r="BO85">
        <f t="shared" ca="1" si="46"/>
        <v>1</v>
      </c>
      <c r="BU85">
        <f t="shared" ca="1" si="47"/>
        <v>6</v>
      </c>
      <c r="BV85">
        <f t="shared" ca="1" si="47"/>
        <v>6</v>
      </c>
      <c r="BW85">
        <f t="shared" ca="1" si="47"/>
        <v>6</v>
      </c>
      <c r="BX85">
        <f t="shared" ca="1" si="47"/>
        <v>6</v>
      </c>
      <c r="BY85">
        <f t="shared" ca="1" si="47"/>
        <v>6</v>
      </c>
      <c r="BZ85">
        <f t="shared" ca="1" si="47"/>
        <v>6</v>
      </c>
      <c r="CA85">
        <f t="shared" ca="1" si="47"/>
        <v>6</v>
      </c>
      <c r="CB85">
        <f t="shared" ca="1" si="47"/>
        <v>6</v>
      </c>
      <c r="CC85">
        <f t="shared" ca="1" si="47"/>
        <v>6</v>
      </c>
      <c r="CD85">
        <f t="shared" ca="1" si="47"/>
        <v>6</v>
      </c>
      <c r="CE85">
        <f t="shared" ca="1" si="47"/>
        <v>6</v>
      </c>
      <c r="CF85">
        <f t="shared" ca="1" si="47"/>
        <v>6</v>
      </c>
      <c r="CL85">
        <f t="shared" ca="1" si="48"/>
        <v>1</v>
      </c>
      <c r="CM85">
        <f t="shared" ca="1" si="48"/>
        <v>1</v>
      </c>
      <c r="CN85">
        <f t="shared" ca="1" si="48"/>
        <v>1</v>
      </c>
      <c r="CO85">
        <f t="shared" ca="1" si="48"/>
        <v>1</v>
      </c>
      <c r="CP85">
        <f t="shared" ca="1" si="48"/>
        <v>1</v>
      </c>
      <c r="CQ85">
        <f t="shared" ca="1" si="48"/>
        <v>1</v>
      </c>
      <c r="CR85">
        <f t="shared" ca="1" si="48"/>
        <v>1</v>
      </c>
      <c r="CS85">
        <f t="shared" ca="1" si="48"/>
        <v>1</v>
      </c>
      <c r="CT85">
        <f t="shared" ca="1" si="48"/>
        <v>1</v>
      </c>
      <c r="CU85">
        <f t="shared" ca="1" si="48"/>
        <v>1</v>
      </c>
      <c r="CV85">
        <f t="shared" ca="1" si="48"/>
        <v>1</v>
      </c>
      <c r="CW85">
        <f t="shared" ca="1" si="48"/>
        <v>1</v>
      </c>
      <c r="DC85" cm="1">
        <f t="array" aca="1" ref="DC85" ca="1">IF(ISNA(E85),,OFFSET(INDIRECT("'"&amp;DT$67&amp;"'!f1"),E85-1,))*1</f>
        <v>250.97541239399899</v>
      </c>
      <c r="DD85" cm="1">
        <f t="array" aca="1" ref="DD85" ca="1">IF(ISNA(F85),,OFFSET(INDIRECT("'"&amp;DU$67&amp;"'!f1"),F85-1,))*1</f>
        <v>1982.3425811489999</v>
      </c>
      <c r="DE85" cm="1">
        <f t="array" aca="1" ref="DE85" ca="1">IF(ISNA(G85),,OFFSET(INDIRECT("'"&amp;DV$67&amp;"'!f1"),G85-1,))*1</f>
        <v>320.39477572999999</v>
      </c>
      <c r="DF85" cm="1">
        <f t="array" aca="1" ref="DF85" ca="1">IF(ISNA(H85),,OFFSET(INDIRECT("'"&amp;DW$67&amp;"'!f1"),H85-1,))*1</f>
        <v>9.2204737000002895E-2</v>
      </c>
      <c r="DG85" cm="1">
        <f t="array" aca="1" ref="DG85" ca="1">IF(ISNA(I85),,OFFSET(INDIRECT("'"&amp;DX$67&amp;"'!f1"),I85-1,))*1</f>
        <v>28800.441217666899</v>
      </c>
      <c r="DH85" cm="1">
        <f t="array" aca="1" ref="DH85" ca="1">IF(ISNA(J85),,OFFSET(INDIRECT("'"&amp;DY$67&amp;"'!f1"),J85-1,))*1</f>
        <v>14.46624072</v>
      </c>
      <c r="DI85" cm="1">
        <f t="array" aca="1" ref="DI85" ca="1">IF(ISNA(K85),,OFFSET(INDIRECT("'"&amp;DZ$67&amp;"'!f1"),K85-1,))*1</f>
        <v>1061.9458492705501</v>
      </c>
      <c r="DJ85" cm="1">
        <f t="array" aca="1" ref="DJ85" ca="1">IF(ISNA(L85),,OFFSET(INDIRECT("'"&amp;EA$67&amp;"'!f1"),L85-1,))*1</f>
        <v>1072.5095231859</v>
      </c>
      <c r="DK85" cm="1">
        <f t="array" aca="1" ref="DK85" ca="1">IF(ISNA(M85),,OFFSET(INDIRECT("'"&amp;EB$67&amp;"'!f1"),M85-1,))*1</f>
        <v>412.61023582500002</v>
      </c>
      <c r="DL85" cm="1">
        <f t="array" aca="1" ref="DL85" ca="1">IF(ISNA(N85),,OFFSET(INDIRECT("'"&amp;EC$67&amp;"'!f1"),N85-1,))*1</f>
        <v>1.0283605650000101</v>
      </c>
      <c r="DM85" cm="1">
        <f t="array" aca="1" ref="DM85" ca="1">IF(ISNA(O85),,OFFSET(INDIRECT("'"&amp;ED$67&amp;"'!f1"),O85-1,))*1</f>
        <v>0.72185197100000598</v>
      </c>
      <c r="DN85" cm="1">
        <f t="array" aca="1" ref="DN85" ca="1">IF(ISNA(P85),,OFFSET(INDIRECT("'"&amp;EE$67&amp;"'!f1"),P85-1,))*1</f>
        <v>1.19287032900001</v>
      </c>
      <c r="DT85">
        <f t="shared" ca="1" si="71"/>
        <v>1</v>
      </c>
      <c r="DU85">
        <f t="shared" ca="1" si="71"/>
        <v>1</v>
      </c>
      <c r="DV85">
        <f t="shared" ca="1" si="71"/>
        <v>1</v>
      </c>
      <c r="DW85">
        <f t="shared" ca="1" si="71"/>
        <v>1</v>
      </c>
      <c r="DX85">
        <f t="shared" ca="1" si="71"/>
        <v>1</v>
      </c>
      <c r="DY85">
        <f t="shared" ca="1" si="71"/>
        <v>1</v>
      </c>
      <c r="DZ85">
        <f t="shared" ca="1" si="71"/>
        <v>8962</v>
      </c>
      <c r="EA85">
        <f t="shared" ca="1" si="71"/>
        <v>9692</v>
      </c>
      <c r="EB85">
        <f t="shared" ca="1" si="71"/>
        <v>7877</v>
      </c>
      <c r="EC85">
        <f t="shared" ca="1" si="71"/>
        <v>1</v>
      </c>
      <c r="ED85">
        <f t="shared" ca="1" si="71"/>
        <v>1</v>
      </c>
      <c r="EE85">
        <f t="shared" ca="1" si="71"/>
        <v>2</v>
      </c>
      <c r="EK85" cm="1">
        <f t="array" aca="1" ref="EK85" ca="1">IF(ISNA(E85),0,OFFSET(INDIRECT("'"&amp;EK$67&amp;"'!g1"),E85-1,)*CL85)</f>
        <v>1</v>
      </c>
      <c r="EL85" cm="1">
        <f t="array" aca="1" ref="EL85" ca="1">IF(ISNA(F85),0,OFFSET(INDIRECT("'"&amp;EL$67&amp;"'!g1"),F85-1,)*CM85)</f>
        <v>1</v>
      </c>
      <c r="EM85" cm="1">
        <f t="array" aca="1" ref="EM85" ca="1">IF(ISNA(G85),0,OFFSET(INDIRECT("'"&amp;EM$67&amp;"'!g1"),G85-1,)*CN85)</f>
        <v>1</v>
      </c>
      <c r="EN85" cm="1">
        <f t="array" aca="1" ref="EN85" ca="1">IF(ISNA(H85),0,OFFSET(INDIRECT("'"&amp;EN$67&amp;"'!g1"),H85-1,)*CO85)</f>
        <v>1</v>
      </c>
      <c r="EO85" cm="1">
        <f t="array" aca="1" ref="EO85" ca="1">IF(ISNA(I85),0,OFFSET(INDIRECT("'"&amp;EO$67&amp;"'!g1"),I85-1,)*CP85)</f>
        <v>1</v>
      </c>
      <c r="EP85" cm="1">
        <f t="array" aca="1" ref="EP85" ca="1">IF(ISNA(J85),0,OFFSET(INDIRECT("'"&amp;EP$67&amp;"'!g1"),J85-1,)*CQ85)</f>
        <v>1</v>
      </c>
      <c r="EQ85" cm="1">
        <f t="array" aca="1" ref="EQ85" ca="1">IF(ISNA(K85),0,OFFSET(INDIRECT("'"&amp;EQ$67&amp;"'!g1"),K85-1,)*CR85)</f>
        <v>8962</v>
      </c>
      <c r="ER85" cm="1">
        <f t="array" aca="1" ref="ER85" ca="1">IF(ISNA(L85),0,OFFSET(INDIRECT("'"&amp;ER$67&amp;"'!g1"),L85-1,)*CS85)</f>
        <v>9692</v>
      </c>
      <c r="ES85" cm="1">
        <f t="array" aca="1" ref="ES85" ca="1">IF(ISNA(M85),0,OFFSET(INDIRECT("'"&amp;ES$67&amp;"'!g1"),M85-1,)*CT85)</f>
        <v>7877</v>
      </c>
      <c r="ET85" cm="1">
        <f t="array" aca="1" ref="ET85" ca="1">IF(ISNA(N85),0,OFFSET(INDIRECT("'"&amp;ET$67&amp;"'!g1"),N85-1,)*CU85)</f>
        <v>1</v>
      </c>
      <c r="EU85" cm="1">
        <f t="array" aca="1" ref="EU85" ca="1">IF(ISNA(O85),0,OFFSET(INDIRECT("'"&amp;EU$67&amp;"'!g1"),O85-1,)*CV85)</f>
        <v>1</v>
      </c>
      <c r="EV85" cm="1">
        <f t="array" aca="1" ref="EV85" ca="1">IF(ISNA(P85),0,OFFSET(INDIRECT("'"&amp;EV$67&amp;"'!g1"),P85-1,)*CW85)</f>
        <v>2</v>
      </c>
      <c r="FB85" s="10" cm="1">
        <f t="array" aca="1" ref="FB85" ca="1">IF(ISNA(E85),0,OFFSET(INDIRECT("'"&amp;EK$67&amp;"'!h1"),E85-1,))</f>
        <v>1</v>
      </c>
      <c r="FC85" s="10" cm="1">
        <f t="array" aca="1" ref="FC85" ca="1">IF(ISNA(F85),0,OFFSET(INDIRECT("'"&amp;EL$67&amp;"'!h1"),F85-1,))</f>
        <v>1</v>
      </c>
      <c r="FD85" s="10" cm="1">
        <f t="array" aca="1" ref="FD85" ca="1">IF(ISNA(G85),0,OFFSET(INDIRECT("'"&amp;EM$67&amp;"'!h1"),G85-1,))</f>
        <v>1</v>
      </c>
      <c r="FE85" s="10" cm="1">
        <f t="array" aca="1" ref="FE85" ca="1">IF(ISNA(H85),0,OFFSET(INDIRECT("'"&amp;EN$67&amp;"'!h1"),H85-1,))</f>
        <v>1</v>
      </c>
      <c r="FF85" s="10" cm="1">
        <f t="array" aca="1" ref="FF85" ca="1">IF(ISNA(I85),0,OFFSET(INDIRECT("'"&amp;EO$67&amp;"'!h1"),I85-1,))</f>
        <v>1</v>
      </c>
      <c r="FG85" s="10" cm="1">
        <f t="array" aca="1" ref="FG85" ca="1">IF(ISNA(J85),0,OFFSET(INDIRECT("'"&amp;EP$67&amp;"'!h1"),J85-1,))</f>
        <v>1</v>
      </c>
      <c r="FH85" s="10" cm="1">
        <f t="array" aca="1" ref="FH85" ca="1">IF(ISNA(K85),0,OFFSET(INDIRECT("'"&amp;EQ$67&amp;"'!h1"),K85-1,))</f>
        <v>10000</v>
      </c>
      <c r="FI85" s="10" cm="1">
        <f t="array" aca="1" ref="FI85" ca="1">IF(ISNA(L85),0,OFFSET(INDIRECT("'"&amp;ER$67&amp;"'!h1"),L85-1,))</f>
        <v>10000</v>
      </c>
      <c r="FJ85" s="10" cm="1">
        <f t="array" aca="1" ref="FJ85" ca="1">IF(ISNA(M85),0,OFFSET(INDIRECT("'"&amp;ES$67&amp;"'!h1"),M85-1,))</f>
        <v>10000</v>
      </c>
      <c r="FK85" s="10" cm="1">
        <f t="array" aca="1" ref="FK85" ca="1">IF(ISNA(N85),0,OFFSET(INDIRECT("'"&amp;ET$67&amp;"'!h1"),N85-1,))</f>
        <v>1</v>
      </c>
      <c r="FL85" s="10" cm="1">
        <f t="array" aca="1" ref="FL85" ca="1">IF(ISNA(O85),0,OFFSET(INDIRECT("'"&amp;EU$67&amp;"'!h1"),O85-1,))</f>
        <v>1</v>
      </c>
      <c r="FM85" s="10" cm="1">
        <f t="array" aca="1" ref="FM85" ca="1">IF(ISNA(P85),0,OFFSET(INDIRECT("'"&amp;EV$67&amp;"'!h1"),P85-1,))</f>
        <v>2</v>
      </c>
      <c r="FN85" s="10"/>
      <c r="FO85" s="10"/>
      <c r="FP85" s="10"/>
      <c r="FQ85" s="10"/>
      <c r="FS85">
        <f t="shared" ca="1" si="72"/>
        <v>1080</v>
      </c>
      <c r="FT85">
        <f t="shared" ca="1" si="73"/>
        <v>1061.9458492705501</v>
      </c>
      <c r="FU85">
        <f t="shared" ca="1" si="74"/>
        <v>8962</v>
      </c>
      <c r="FV85">
        <f t="shared" ca="1" si="75"/>
        <v>10000</v>
      </c>
      <c r="FW85" s="4">
        <f t="shared" ca="1" si="76"/>
        <v>0.8962</v>
      </c>
      <c r="FX85" s="5">
        <f t="shared" ca="1" si="77"/>
        <v>0.11849429248722942</v>
      </c>
      <c r="FZ85" s="13">
        <f t="shared" ca="1" si="50"/>
        <v>1080</v>
      </c>
      <c r="GA85" s="23">
        <f t="shared" ca="1" si="78"/>
        <v>0</v>
      </c>
      <c r="GB85" s="23">
        <f t="shared" ca="1" si="51"/>
        <v>0</v>
      </c>
      <c r="GC85" s="23">
        <f t="shared" ca="1" si="51"/>
        <v>0</v>
      </c>
      <c r="GD85" s="23">
        <f t="shared" ca="1" si="51"/>
        <v>0</v>
      </c>
      <c r="GE85" s="23">
        <f t="shared" ca="1" si="51"/>
        <v>0</v>
      </c>
      <c r="GF85" s="23">
        <f t="shared" ca="1" si="51"/>
        <v>0</v>
      </c>
      <c r="GG85" s="23">
        <f t="shared" ca="1" si="51"/>
        <v>0</v>
      </c>
      <c r="GH85" s="23">
        <f t="shared" ca="1" si="51"/>
        <v>0</v>
      </c>
      <c r="GI85" s="23">
        <f t="shared" ca="1" si="51"/>
        <v>0</v>
      </c>
      <c r="GJ85" s="23">
        <f t="shared" ca="1" si="51"/>
        <v>0</v>
      </c>
      <c r="GK85" s="23">
        <f t="shared" ca="1" si="51"/>
        <v>0</v>
      </c>
      <c r="GL85" s="23">
        <f t="shared" ca="1" si="51"/>
        <v>0</v>
      </c>
      <c r="GM85" s="23"/>
      <c r="GN85">
        <f t="shared" ca="1" si="79"/>
        <v>1080</v>
      </c>
      <c r="GO85" s="5">
        <f t="shared" ca="1" si="80"/>
        <v>250.97541239399899</v>
      </c>
      <c r="GP85" s="5">
        <f t="shared" ca="1" si="80"/>
        <v>1982.3425811489999</v>
      </c>
      <c r="GQ85" s="5">
        <f t="shared" ca="1" si="80"/>
        <v>320.39477572999999</v>
      </c>
      <c r="GR85" s="5">
        <f t="shared" ca="1" si="80"/>
        <v>9.2204737000002895E-2</v>
      </c>
      <c r="GS85" s="5" t="e">
        <f t="shared" ca="1" si="80"/>
        <v>#N/A</v>
      </c>
      <c r="GT85" s="5">
        <f t="shared" ca="1" si="81"/>
        <v>14.46624072</v>
      </c>
      <c r="GU85" s="5">
        <f t="shared" ca="1" si="81"/>
        <v>0.11849429248722942</v>
      </c>
      <c r="GV85" s="5">
        <f t="shared" ca="1" si="81"/>
        <v>0.11065925744798803</v>
      </c>
      <c r="GW85" s="5">
        <f t="shared" ca="1" si="81"/>
        <v>5.2381647305446241E-2</v>
      </c>
      <c r="GX85" s="5">
        <f t="shared" ca="1" si="81"/>
        <v>1.0283605650000101</v>
      </c>
      <c r="GY85" s="5">
        <f t="shared" ca="1" si="81"/>
        <v>0.72185197100000598</v>
      </c>
      <c r="GZ85" s="5">
        <f t="shared" ca="1" si="81"/>
        <v>0.596435164500005</v>
      </c>
      <c r="HB85" s="13">
        <f t="shared" ca="1" si="54"/>
        <v>1080</v>
      </c>
      <c r="HC85" s="4">
        <f t="shared" ca="1" si="82"/>
        <v>1</v>
      </c>
      <c r="HD85" s="4">
        <f t="shared" ca="1" si="55"/>
        <v>1</v>
      </c>
      <c r="HE85" s="4">
        <f t="shared" ca="1" si="55"/>
        <v>1</v>
      </c>
      <c r="HF85" s="4">
        <f t="shared" ca="1" si="55"/>
        <v>1</v>
      </c>
      <c r="HG85" s="4">
        <f t="shared" ca="1" si="55"/>
        <v>1</v>
      </c>
      <c r="HH85" s="4">
        <f t="shared" ca="1" si="55"/>
        <v>1</v>
      </c>
      <c r="HI85" s="4">
        <f t="shared" ca="1" si="55"/>
        <v>0.8962</v>
      </c>
      <c r="HJ85" s="4">
        <f t="shared" ca="1" si="55"/>
        <v>0.96919999999999995</v>
      </c>
      <c r="HK85" s="4">
        <f t="shared" ca="1" si="55"/>
        <v>0.78769999999999996</v>
      </c>
      <c r="HL85" s="4">
        <f t="shared" ca="1" si="55"/>
        <v>1</v>
      </c>
      <c r="HM85" s="4">
        <f t="shared" ca="1" si="55"/>
        <v>1</v>
      </c>
      <c r="HN85" s="4">
        <f t="shared" ca="1" si="55"/>
        <v>1</v>
      </c>
    </row>
    <row r="86" spans="1:222" x14ac:dyDescent="0.2">
      <c r="A86" t="str" cm="1">
        <f t="array" aca="1" ref="A86" ca="1">INDIRECT($A$67&amp;"!A"&amp;ROW(C19)+$B$64)</f>
        <v>[[1080,92,0]]</v>
      </c>
      <c r="B86" cm="1">
        <f t="array" aca="1" ref="B86" ca="1">INDIRECT($A$67&amp;"!b"&amp;ROW(D19)+$B$64)</f>
        <v>1080</v>
      </c>
      <c r="C86">
        <f t="shared" ca="1" si="56"/>
        <v>5</v>
      </c>
      <c r="E86">
        <f t="shared" ca="1" si="83"/>
        <v>43</v>
      </c>
      <c r="F86">
        <f t="shared" ca="1" si="57"/>
        <v>44</v>
      </c>
      <c r="G86">
        <f t="shared" ca="1" si="58"/>
        <v>43</v>
      </c>
      <c r="H86">
        <f t="shared" ca="1" si="59"/>
        <v>43</v>
      </c>
      <c r="I86">
        <f t="shared" ca="1" si="60"/>
        <v>46</v>
      </c>
      <c r="J86">
        <f t="shared" ca="1" si="61"/>
        <v>43</v>
      </c>
      <c r="K86">
        <f t="shared" ca="1" si="62"/>
        <v>50</v>
      </c>
      <c r="L86">
        <f t="shared" ca="1" si="63"/>
        <v>52</v>
      </c>
      <c r="M86">
        <f t="shared" ca="1" si="64"/>
        <v>49</v>
      </c>
      <c r="N86">
        <f t="shared" ca="1" si="65"/>
        <v>43</v>
      </c>
      <c r="O86">
        <f t="shared" ca="1" si="66"/>
        <v>43</v>
      </c>
      <c r="P86">
        <f t="shared" ca="1" si="67"/>
        <v>43</v>
      </c>
      <c r="V86" cm="1">
        <f t="array" aca="1" ref="V86" ca="1">IF(ISNA(E86),,OFFSET(INDIRECT("'"&amp;V$67&amp;"'!d1"),E86-1,))</f>
        <v>5</v>
      </c>
      <c r="W86" cm="1">
        <f t="array" aca="1" ref="W86" ca="1">IF(ISNA(F86),,OFFSET(INDIRECT("'"&amp;W$67&amp;"'!d1"),F86-1,))</f>
        <v>5</v>
      </c>
      <c r="X86" cm="1">
        <f t="array" aca="1" ref="X86" ca="1">IF(ISNA(G86),,OFFSET(INDIRECT("'"&amp;X$67&amp;"'!d1"),G86-1,))</f>
        <v>5</v>
      </c>
      <c r="Y86" cm="1">
        <f t="array" aca="1" ref="Y86" ca="1">IF(ISNA(H86),,OFFSET(INDIRECT("'"&amp;Y$67&amp;"'!d1"),H86-1,))</f>
        <v>5</v>
      </c>
      <c r="Z86" cm="1">
        <f t="array" aca="1" ref="Z86" ca="1">IF(ISNA(I86),,OFFSET(INDIRECT("'"&amp;Z$67&amp;"'!d1"),I86-1,))</f>
        <v>5</v>
      </c>
      <c r="AA86" cm="1">
        <f t="array" aca="1" ref="AA86" ca="1">IF(ISNA(J86),,OFFSET(INDIRECT("'"&amp;AA$67&amp;"'!d1"),J86-1,))</f>
        <v>5</v>
      </c>
      <c r="AB86" cm="1">
        <f t="array" aca="1" ref="AB86" ca="1">IF(ISNA(K86),,OFFSET(INDIRECT("'"&amp;AB$67&amp;"'!d1"),K86-1,))</f>
        <v>5</v>
      </c>
      <c r="AC86" cm="1">
        <f t="array" aca="1" ref="AC86" ca="1">IF(ISNA(L86),,OFFSET(INDIRECT("'"&amp;AC$67&amp;"'!d1"),L86-1,))</f>
        <v>5</v>
      </c>
      <c r="AD86" cm="1">
        <f t="array" aca="1" ref="AD86" ca="1">IF(ISNA(M86),,OFFSET(INDIRECT("'"&amp;AD$67&amp;"'!d1"),M86-1,))</f>
        <v>5</v>
      </c>
      <c r="AE86" cm="1">
        <f t="array" aca="1" ref="AE86" ca="1">IF(ISNA(N86),,OFFSET(INDIRECT("'"&amp;AE$67&amp;"'!d1"),N86-1,))</f>
        <v>5</v>
      </c>
      <c r="AF86" cm="1">
        <f t="array" aca="1" ref="AF86" ca="1">IF(ISNA(O86),,OFFSET(INDIRECT("'"&amp;AF$67&amp;"'!d1"),O86-1,))</f>
        <v>5</v>
      </c>
      <c r="AG86" cm="1">
        <f t="array" aca="1" ref="AG86" ca="1">IF(ISNA(P86),,OFFSET(INDIRECT("'"&amp;AG$67&amp;"'!d1"),P86-1,))</f>
        <v>5</v>
      </c>
      <c r="AM86">
        <f t="shared" ca="1" si="68"/>
        <v>1</v>
      </c>
      <c r="AN86">
        <f t="shared" ca="1" si="68"/>
        <v>1</v>
      </c>
      <c r="AO86">
        <f t="shared" ca="1" si="68"/>
        <v>1</v>
      </c>
      <c r="AP86">
        <f t="shared" ca="1" si="68"/>
        <v>1</v>
      </c>
      <c r="AQ86">
        <f t="shared" ca="1" si="69"/>
        <v>1</v>
      </c>
      <c r="AV86" t="b">
        <f t="shared" ca="1" si="70"/>
        <v>1</v>
      </c>
      <c r="AW86" t="b">
        <f t="shared" ca="1" si="45"/>
        <v>1</v>
      </c>
      <c r="AX86" t="b">
        <f t="shared" ca="1" si="45"/>
        <v>1</v>
      </c>
      <c r="AY86" t="b">
        <f t="shared" ca="1" si="45"/>
        <v>1</v>
      </c>
      <c r="AZ86" t="b">
        <f t="shared" ca="1" si="45"/>
        <v>1</v>
      </c>
      <c r="BD86">
        <f t="shared" ca="1" si="46"/>
        <v>1</v>
      </c>
      <c r="BE86">
        <f t="shared" ca="1" si="46"/>
        <v>1</v>
      </c>
      <c r="BF86">
        <f t="shared" ca="1" si="46"/>
        <v>1</v>
      </c>
      <c r="BG86">
        <f t="shared" ca="1" si="46"/>
        <v>1</v>
      </c>
      <c r="BH86">
        <f t="shared" ca="1" si="46"/>
        <v>1</v>
      </c>
      <c r="BI86">
        <f t="shared" ca="1" si="46"/>
        <v>1</v>
      </c>
      <c r="BJ86">
        <f t="shared" ca="1" si="46"/>
        <v>1</v>
      </c>
      <c r="BK86">
        <f t="shared" ca="1" si="46"/>
        <v>1</v>
      </c>
      <c r="BL86">
        <f t="shared" ca="1" si="46"/>
        <v>1</v>
      </c>
      <c r="BM86">
        <f t="shared" ca="1" si="46"/>
        <v>1</v>
      </c>
      <c r="BN86">
        <f t="shared" ca="1" si="46"/>
        <v>1</v>
      </c>
      <c r="BO86">
        <f t="shared" ca="1" si="46"/>
        <v>1</v>
      </c>
      <c r="BU86">
        <f t="shared" ca="1" si="47"/>
        <v>5</v>
      </c>
      <c r="BV86">
        <f t="shared" ca="1" si="47"/>
        <v>5</v>
      </c>
      <c r="BW86">
        <f t="shared" ca="1" si="47"/>
        <v>5</v>
      </c>
      <c r="BX86">
        <f t="shared" ca="1" si="47"/>
        <v>5</v>
      </c>
      <c r="BY86">
        <f t="shared" ca="1" si="47"/>
        <v>5</v>
      </c>
      <c r="BZ86">
        <f t="shared" ca="1" si="47"/>
        <v>5</v>
      </c>
      <c r="CA86">
        <f t="shared" ca="1" si="47"/>
        <v>5</v>
      </c>
      <c r="CB86">
        <f t="shared" ca="1" si="47"/>
        <v>5</v>
      </c>
      <c r="CC86">
        <f t="shared" ca="1" si="47"/>
        <v>5</v>
      </c>
      <c r="CD86">
        <f t="shared" ca="1" si="47"/>
        <v>5</v>
      </c>
      <c r="CE86">
        <f t="shared" ca="1" si="47"/>
        <v>5</v>
      </c>
      <c r="CF86">
        <f t="shared" ca="1" si="47"/>
        <v>5</v>
      </c>
      <c r="CL86">
        <f t="shared" ca="1" si="48"/>
        <v>1</v>
      </c>
      <c r="CM86">
        <f t="shared" ca="1" si="48"/>
        <v>1</v>
      </c>
      <c r="CN86">
        <f t="shared" ca="1" si="48"/>
        <v>1</v>
      </c>
      <c r="CO86">
        <f t="shared" ca="1" si="48"/>
        <v>1</v>
      </c>
      <c r="CP86">
        <f t="shared" ca="1" si="48"/>
        <v>1</v>
      </c>
      <c r="CQ86">
        <f t="shared" ca="1" si="48"/>
        <v>1</v>
      </c>
      <c r="CR86">
        <f t="shared" ca="1" si="48"/>
        <v>1</v>
      </c>
      <c r="CS86">
        <f t="shared" ca="1" si="48"/>
        <v>1</v>
      </c>
      <c r="CT86">
        <f t="shared" ca="1" si="48"/>
        <v>1</v>
      </c>
      <c r="CU86">
        <f t="shared" ca="1" si="48"/>
        <v>1</v>
      </c>
      <c r="CV86">
        <f t="shared" ca="1" si="48"/>
        <v>1</v>
      </c>
      <c r="CW86">
        <f t="shared" ca="1" si="48"/>
        <v>1</v>
      </c>
      <c r="DC86" cm="1">
        <f t="array" aca="1" ref="DC86" ca="1">IF(ISNA(E86),,OFFSET(INDIRECT("'"&amp;DT$67&amp;"'!f1"),E86-1,))*1</f>
        <v>47.218034606000003</v>
      </c>
      <c r="DD86" cm="1">
        <f t="array" aca="1" ref="DD86" ca="1">IF(ISNA(F86),,OFFSET(INDIRECT("'"&amp;DU$67&amp;"'!f1"),F86-1,))*1</f>
        <v>310.35862129699899</v>
      </c>
      <c r="DE86" cm="1">
        <f t="array" aca="1" ref="DE86" ca="1">IF(ISNA(G86),,OFFSET(INDIRECT("'"&amp;DV$67&amp;"'!f1"),G86-1,))*1</f>
        <v>55.211830910000003</v>
      </c>
      <c r="DF86" cm="1">
        <f t="array" aca="1" ref="DF86" ca="1">IF(ISNA(H86),,OFFSET(INDIRECT("'"&amp;DW$67&amp;"'!f1"),H86-1,))*1</f>
        <v>5.1249105000010703E-2</v>
      </c>
      <c r="DG86" cm="1">
        <f t="array" aca="1" ref="DG86" ca="1">IF(ISNA(I86),,OFFSET(INDIRECT("'"&amp;DX$67&amp;"'!f1"),I86-1,))*1</f>
        <v>20536.395259041001</v>
      </c>
      <c r="DH86" cm="1">
        <f t="array" aca="1" ref="DH86" ca="1">IF(ISNA(J86),,OFFSET(INDIRECT("'"&amp;DY$67&amp;"'!f1"),J86-1,))*1</f>
        <v>10.9245841569999</v>
      </c>
      <c r="DI86" cm="1">
        <f t="array" aca="1" ref="DI86" ca="1">IF(ISNA(K86),,OFFSET(INDIRECT("'"&amp;DZ$67&amp;"'!f1"),K86-1,))*1</f>
        <v>1049.90728093497</v>
      </c>
      <c r="DJ86" cm="1">
        <f t="array" aca="1" ref="DJ86" ca="1">IF(ISNA(L86),,OFFSET(INDIRECT("'"&amp;EA$67&amp;"'!f1"),L86-1,))*1</f>
        <v>1075.2630106043</v>
      </c>
      <c r="DK86" cm="1">
        <f t="array" aca="1" ref="DK86" ca="1">IF(ISNA(M86),,OFFSET(INDIRECT("'"&amp;EB$67&amp;"'!f1"),M86-1,))*1</f>
        <v>413.82480713799902</v>
      </c>
      <c r="DL86" cm="1">
        <f t="array" aca="1" ref="DL86" ca="1">IF(ISNA(N86),,OFFSET(INDIRECT("'"&amp;EC$67&amp;"'!f1"),N86-1,))*1</f>
        <v>0.42300122000000301</v>
      </c>
      <c r="DM86" cm="1">
        <f t="array" aca="1" ref="DM86" ca="1">IF(ISNA(O86),,OFFSET(INDIRECT("'"&amp;ED$67&amp;"'!f1"),O86-1,))*1</f>
        <v>0.32382920899999501</v>
      </c>
      <c r="DN86" cm="1">
        <f t="array" aca="1" ref="DN86" ca="1">IF(ISNA(P86),,OFFSET(INDIRECT("'"&amp;EE$67&amp;"'!f1"),P86-1,))*1</f>
        <v>0.43243835600000502</v>
      </c>
      <c r="DT86">
        <f t="shared" ca="1" si="71"/>
        <v>1</v>
      </c>
      <c r="DU86">
        <f t="shared" ca="1" si="71"/>
        <v>1</v>
      </c>
      <c r="DV86">
        <f t="shared" ca="1" si="71"/>
        <v>1</v>
      </c>
      <c r="DW86">
        <f t="shared" ca="1" si="71"/>
        <v>1</v>
      </c>
      <c r="DX86">
        <f t="shared" ca="1" si="71"/>
        <v>1</v>
      </c>
      <c r="DY86">
        <f t="shared" ca="1" si="71"/>
        <v>1</v>
      </c>
      <c r="DZ86">
        <f t="shared" ca="1" si="71"/>
        <v>9854</v>
      </c>
      <c r="EA86">
        <f t="shared" ca="1" si="71"/>
        <v>9958</v>
      </c>
      <c r="EB86">
        <f t="shared" ca="1" si="71"/>
        <v>9189</v>
      </c>
      <c r="EC86">
        <f t="shared" ca="1" si="71"/>
        <v>1</v>
      </c>
      <c r="ED86">
        <f t="shared" ca="1" si="71"/>
        <v>1</v>
      </c>
      <c r="EE86">
        <f t="shared" ca="1" si="71"/>
        <v>2</v>
      </c>
      <c r="EK86" cm="1">
        <f t="array" aca="1" ref="EK86" ca="1">IF(ISNA(E86),0,OFFSET(INDIRECT("'"&amp;EK$67&amp;"'!g1"),E86-1,)*CL86)</f>
        <v>1</v>
      </c>
      <c r="EL86" cm="1">
        <f t="array" aca="1" ref="EL86" ca="1">IF(ISNA(F86),0,OFFSET(INDIRECT("'"&amp;EL$67&amp;"'!g1"),F86-1,)*CM86)</f>
        <v>1</v>
      </c>
      <c r="EM86" cm="1">
        <f t="array" aca="1" ref="EM86" ca="1">IF(ISNA(G86),0,OFFSET(INDIRECT("'"&amp;EM$67&amp;"'!g1"),G86-1,)*CN86)</f>
        <v>1</v>
      </c>
      <c r="EN86" cm="1">
        <f t="array" aca="1" ref="EN86" ca="1">IF(ISNA(H86),0,OFFSET(INDIRECT("'"&amp;EN$67&amp;"'!g1"),H86-1,)*CO86)</f>
        <v>1</v>
      </c>
      <c r="EO86" cm="1">
        <f t="array" aca="1" ref="EO86" ca="1">IF(ISNA(I86),0,OFFSET(INDIRECT("'"&amp;EO$67&amp;"'!g1"),I86-1,)*CP86)</f>
        <v>1</v>
      </c>
      <c r="EP86" cm="1">
        <f t="array" aca="1" ref="EP86" ca="1">IF(ISNA(J86),0,OFFSET(INDIRECT("'"&amp;EP$67&amp;"'!g1"),J86-1,)*CQ86)</f>
        <v>1</v>
      </c>
      <c r="EQ86" cm="1">
        <f t="array" aca="1" ref="EQ86" ca="1">IF(ISNA(K86),0,OFFSET(INDIRECT("'"&amp;EQ$67&amp;"'!g1"),K86-1,)*CR86)</f>
        <v>9854</v>
      </c>
      <c r="ER86" cm="1">
        <f t="array" aca="1" ref="ER86" ca="1">IF(ISNA(L86),0,OFFSET(INDIRECT("'"&amp;ER$67&amp;"'!g1"),L86-1,)*CS86)</f>
        <v>9958</v>
      </c>
      <c r="ES86" cm="1">
        <f t="array" aca="1" ref="ES86" ca="1">IF(ISNA(M86),0,OFFSET(INDIRECT("'"&amp;ES$67&amp;"'!g1"),M86-1,)*CT86)</f>
        <v>9189</v>
      </c>
      <c r="ET86" cm="1">
        <f t="array" aca="1" ref="ET86" ca="1">IF(ISNA(N86),0,OFFSET(INDIRECT("'"&amp;ET$67&amp;"'!g1"),N86-1,)*CU86)</f>
        <v>1</v>
      </c>
      <c r="EU86" cm="1">
        <f t="array" aca="1" ref="EU86" ca="1">IF(ISNA(O86),0,OFFSET(INDIRECT("'"&amp;EU$67&amp;"'!g1"),O86-1,)*CV86)</f>
        <v>1</v>
      </c>
      <c r="EV86" cm="1">
        <f t="array" aca="1" ref="EV86" ca="1">IF(ISNA(P86),0,OFFSET(INDIRECT("'"&amp;EV$67&amp;"'!g1"),P86-1,)*CW86)</f>
        <v>2</v>
      </c>
      <c r="FB86" s="10" cm="1">
        <f t="array" aca="1" ref="FB86" ca="1">IF(ISNA(E86),0,OFFSET(INDIRECT("'"&amp;EK$67&amp;"'!h1"),E86-1,))</f>
        <v>1</v>
      </c>
      <c r="FC86" s="10" cm="1">
        <f t="array" aca="1" ref="FC86" ca="1">IF(ISNA(F86),0,OFFSET(INDIRECT("'"&amp;EL$67&amp;"'!h1"),F86-1,))</f>
        <v>1</v>
      </c>
      <c r="FD86" s="10" cm="1">
        <f t="array" aca="1" ref="FD86" ca="1">IF(ISNA(G86),0,OFFSET(INDIRECT("'"&amp;EM$67&amp;"'!h1"),G86-1,))</f>
        <v>1</v>
      </c>
      <c r="FE86" s="10" cm="1">
        <f t="array" aca="1" ref="FE86" ca="1">IF(ISNA(H86),0,OFFSET(INDIRECT("'"&amp;EN$67&amp;"'!h1"),H86-1,))</f>
        <v>1</v>
      </c>
      <c r="FF86" s="10" cm="1">
        <f t="array" aca="1" ref="FF86" ca="1">IF(ISNA(I86),0,OFFSET(INDIRECT("'"&amp;EO$67&amp;"'!h1"),I86-1,))</f>
        <v>1</v>
      </c>
      <c r="FG86" s="10" cm="1">
        <f t="array" aca="1" ref="FG86" ca="1">IF(ISNA(J86),0,OFFSET(INDIRECT("'"&amp;EP$67&amp;"'!h1"),J86-1,))</f>
        <v>1</v>
      </c>
      <c r="FH86" s="10" cm="1">
        <f t="array" aca="1" ref="FH86" ca="1">IF(ISNA(K86),0,OFFSET(INDIRECT("'"&amp;EQ$67&amp;"'!h1"),K86-1,))</f>
        <v>10000</v>
      </c>
      <c r="FI86" s="10" cm="1">
        <f t="array" aca="1" ref="FI86" ca="1">IF(ISNA(L86),0,OFFSET(INDIRECT("'"&amp;ER$67&amp;"'!h1"),L86-1,))</f>
        <v>10000</v>
      </c>
      <c r="FJ86" s="10" cm="1">
        <f t="array" aca="1" ref="FJ86" ca="1">IF(ISNA(M86),0,OFFSET(INDIRECT("'"&amp;ES$67&amp;"'!h1"),M86-1,))</f>
        <v>10000</v>
      </c>
      <c r="FK86" s="10" cm="1">
        <f t="array" aca="1" ref="FK86" ca="1">IF(ISNA(N86),0,OFFSET(INDIRECT("'"&amp;ET$67&amp;"'!h1"),N86-1,))</f>
        <v>1</v>
      </c>
      <c r="FL86" s="10" cm="1">
        <f t="array" aca="1" ref="FL86" ca="1">IF(ISNA(O86),0,OFFSET(INDIRECT("'"&amp;EU$67&amp;"'!h1"),O86-1,))</f>
        <v>1</v>
      </c>
      <c r="FM86" s="10" cm="1">
        <f t="array" aca="1" ref="FM86" ca="1">IF(ISNA(P86),0,OFFSET(INDIRECT("'"&amp;EV$67&amp;"'!h1"),P86-1,))</f>
        <v>2</v>
      </c>
      <c r="FN86" s="10"/>
      <c r="FO86" s="10"/>
      <c r="FP86" s="10"/>
      <c r="FQ86" s="10"/>
      <c r="FS86">
        <f t="shared" ca="1" si="72"/>
        <v>1080</v>
      </c>
      <c r="FT86">
        <f t="shared" ca="1" si="73"/>
        <v>1049.90728093497</v>
      </c>
      <c r="FU86">
        <f t="shared" ca="1" si="74"/>
        <v>9854</v>
      </c>
      <c r="FV86">
        <f t="shared" ca="1" si="75"/>
        <v>10000</v>
      </c>
      <c r="FW86" s="4">
        <f t="shared" ca="1" si="76"/>
        <v>0.98540000000000005</v>
      </c>
      <c r="FX86" s="5">
        <f t="shared" ca="1" si="77"/>
        <v>0.10654630413385123</v>
      </c>
      <c r="FZ86" s="13">
        <f t="shared" ca="1" si="50"/>
        <v>1080</v>
      </c>
      <c r="GA86" s="23">
        <f t="shared" ca="1" si="78"/>
        <v>0</v>
      </c>
      <c r="GB86" s="23">
        <f t="shared" ca="1" si="51"/>
        <v>0</v>
      </c>
      <c r="GC86" s="23">
        <f t="shared" ca="1" si="51"/>
        <v>0</v>
      </c>
      <c r="GD86" s="23">
        <f t="shared" ca="1" si="51"/>
        <v>0</v>
      </c>
      <c r="GE86" s="23">
        <f t="shared" ca="1" si="51"/>
        <v>0</v>
      </c>
      <c r="GF86" s="23">
        <f t="shared" ca="1" si="51"/>
        <v>0</v>
      </c>
      <c r="GG86" s="23">
        <f t="shared" ca="1" si="51"/>
        <v>0</v>
      </c>
      <c r="GH86" s="23">
        <f t="shared" ca="1" si="51"/>
        <v>0</v>
      </c>
      <c r="GI86" s="23">
        <f t="shared" ca="1" si="51"/>
        <v>0</v>
      </c>
      <c r="GJ86" s="23">
        <f t="shared" ca="1" si="51"/>
        <v>0</v>
      </c>
      <c r="GK86" s="23">
        <f t="shared" ca="1" si="51"/>
        <v>0</v>
      </c>
      <c r="GL86" s="23">
        <f t="shared" ca="1" si="51"/>
        <v>0</v>
      </c>
      <c r="GM86" s="23"/>
      <c r="GN86">
        <f t="shared" ca="1" si="79"/>
        <v>1080</v>
      </c>
      <c r="GO86" s="5">
        <f t="shared" ca="1" si="80"/>
        <v>47.218034606000003</v>
      </c>
      <c r="GP86" s="5">
        <f t="shared" ca="1" si="80"/>
        <v>310.35862129699899</v>
      </c>
      <c r="GQ86" s="5">
        <f t="shared" ca="1" si="80"/>
        <v>55.211830910000003</v>
      </c>
      <c r="GR86" s="5">
        <f t="shared" ca="1" si="80"/>
        <v>5.1249105000010703E-2</v>
      </c>
      <c r="GS86" s="5">
        <f t="shared" ca="1" si="80"/>
        <v>20536.395259041001</v>
      </c>
      <c r="GT86" s="5">
        <f t="shared" ca="1" si="81"/>
        <v>10.9245841569999</v>
      </c>
      <c r="GU86" s="5">
        <f t="shared" ca="1" si="81"/>
        <v>0.10654630413385123</v>
      </c>
      <c r="GV86" s="5">
        <f t="shared" ca="1" si="81"/>
        <v>0.10797981628884314</v>
      </c>
      <c r="GW86" s="5">
        <f t="shared" ca="1" si="81"/>
        <v>4.5034803258025793E-2</v>
      </c>
      <c r="GX86" s="5">
        <f t="shared" ca="1" si="81"/>
        <v>0.42300122000000301</v>
      </c>
      <c r="GY86" s="5">
        <f t="shared" ca="1" si="81"/>
        <v>0.32382920899999501</v>
      </c>
      <c r="GZ86" s="5">
        <f t="shared" ca="1" si="81"/>
        <v>0.21621917800000251</v>
      </c>
      <c r="HB86" s="13">
        <f t="shared" ca="1" si="54"/>
        <v>1080</v>
      </c>
      <c r="HC86" s="4">
        <f t="shared" ca="1" si="82"/>
        <v>1</v>
      </c>
      <c r="HD86" s="4">
        <f t="shared" ca="1" si="55"/>
        <v>1</v>
      </c>
      <c r="HE86" s="4">
        <f t="shared" ca="1" si="55"/>
        <v>1</v>
      </c>
      <c r="HF86" s="4">
        <f t="shared" ca="1" si="55"/>
        <v>1</v>
      </c>
      <c r="HG86" s="4">
        <f t="shared" ca="1" si="55"/>
        <v>1</v>
      </c>
      <c r="HH86" s="4">
        <f t="shared" ca="1" si="55"/>
        <v>1</v>
      </c>
      <c r="HI86" s="4">
        <f t="shared" ca="1" si="55"/>
        <v>0.98540000000000005</v>
      </c>
      <c r="HJ86" s="4">
        <f t="shared" ca="1" si="55"/>
        <v>0.99580000000000002</v>
      </c>
      <c r="HK86" s="4">
        <f t="shared" ca="1" si="55"/>
        <v>0.91890000000000005</v>
      </c>
      <c r="HL86" s="4">
        <f t="shared" ca="1" si="55"/>
        <v>1</v>
      </c>
      <c r="HM86" s="4">
        <f t="shared" ca="1" si="55"/>
        <v>1</v>
      </c>
      <c r="HN86" s="4">
        <f t="shared" ca="1" si="55"/>
        <v>1</v>
      </c>
    </row>
    <row r="87" spans="1:222" x14ac:dyDescent="0.2">
      <c r="A87" t="str" cm="1">
        <f t="array" aca="1" ref="A87" ca="1">INDIRECT($A$67&amp;"!A"&amp;ROW(C20)+$B$64)</f>
        <v>[[1224,104,0]]</v>
      </c>
      <c r="B87" cm="1">
        <f t="array" aca="1" ref="B87" ca="1">INDIRECT($A$67&amp;"!b"&amp;ROW(D20)+$B$64)</f>
        <v>1224</v>
      </c>
      <c r="C87">
        <f t="shared" ca="1" si="56"/>
        <v>6</v>
      </c>
      <c r="E87">
        <f t="shared" ca="1" si="83"/>
        <v>44</v>
      </c>
      <c r="F87">
        <f t="shared" ca="1" si="57"/>
        <v>45</v>
      </c>
      <c r="G87">
        <f t="shared" ca="1" si="58"/>
        <v>44</v>
      </c>
      <c r="H87">
        <f t="shared" ca="1" si="59"/>
        <v>44</v>
      </c>
      <c r="I87">
        <f t="shared" ca="1" si="60"/>
        <v>47</v>
      </c>
      <c r="J87">
        <f t="shared" ca="1" si="61"/>
        <v>44</v>
      </c>
      <c r="K87">
        <f t="shared" ca="1" si="62"/>
        <v>51</v>
      </c>
      <c r="L87">
        <f t="shared" ca="1" si="63"/>
        <v>53</v>
      </c>
      <c r="M87">
        <f t="shared" ca="1" si="64"/>
        <v>50</v>
      </c>
      <c r="N87">
        <f t="shared" ca="1" si="65"/>
        <v>44</v>
      </c>
      <c r="O87">
        <f t="shared" ca="1" si="66"/>
        <v>44</v>
      </c>
      <c r="P87">
        <f t="shared" ca="1" si="67"/>
        <v>44</v>
      </c>
      <c r="V87" cm="1">
        <f t="array" aca="1" ref="V87" ca="1">IF(ISNA(E87),,OFFSET(INDIRECT("'"&amp;V$67&amp;"'!d1"),E87-1,))</f>
        <v>6</v>
      </c>
      <c r="W87" cm="1">
        <f t="array" aca="1" ref="W87" ca="1">IF(ISNA(F87),,OFFSET(INDIRECT("'"&amp;W$67&amp;"'!d1"),F87-1,))</f>
        <v>6</v>
      </c>
      <c r="X87" cm="1">
        <f t="array" aca="1" ref="X87" ca="1">IF(ISNA(G87),,OFFSET(INDIRECT("'"&amp;X$67&amp;"'!d1"),G87-1,))</f>
        <v>6</v>
      </c>
      <c r="Y87" cm="1">
        <f t="array" aca="1" ref="Y87" ca="1">IF(ISNA(H87),,OFFSET(INDIRECT("'"&amp;Y$67&amp;"'!d1"),H87-1,))</f>
        <v>6</v>
      </c>
      <c r="Z87" cm="1">
        <f t="array" aca="1" ref="Z87" ca="1">IF(ISNA(I87),,OFFSET(INDIRECT("'"&amp;Z$67&amp;"'!d1"),I87-1,))</f>
        <v>6</v>
      </c>
      <c r="AA87" cm="1">
        <f t="array" aca="1" ref="AA87" ca="1">IF(ISNA(J87),,OFFSET(INDIRECT("'"&amp;AA$67&amp;"'!d1"),J87-1,))</f>
        <v>6</v>
      </c>
      <c r="AB87" cm="1">
        <f t="array" aca="1" ref="AB87" ca="1">IF(ISNA(K87),,OFFSET(INDIRECT("'"&amp;AB$67&amp;"'!d1"),K87-1,))</f>
        <v>6</v>
      </c>
      <c r="AC87" cm="1">
        <f t="array" aca="1" ref="AC87" ca="1">IF(ISNA(L87),,OFFSET(INDIRECT("'"&amp;AC$67&amp;"'!d1"),L87-1,))</f>
        <v>6</v>
      </c>
      <c r="AD87" cm="1">
        <f t="array" aca="1" ref="AD87" ca="1">IF(ISNA(M87),,OFFSET(INDIRECT("'"&amp;AD$67&amp;"'!d1"),M87-1,))</f>
        <v>6</v>
      </c>
      <c r="AE87" cm="1">
        <f t="array" aca="1" ref="AE87" ca="1">IF(ISNA(N87),,OFFSET(INDIRECT("'"&amp;AE$67&amp;"'!d1"),N87-1,))</f>
        <v>6</v>
      </c>
      <c r="AF87" cm="1">
        <f t="array" aca="1" ref="AF87" ca="1">IF(ISNA(O87),,OFFSET(INDIRECT("'"&amp;AF$67&amp;"'!d1"),O87-1,))</f>
        <v>6</v>
      </c>
      <c r="AG87" cm="1">
        <f t="array" aca="1" ref="AG87" ca="1">IF(ISNA(P87),,OFFSET(INDIRECT("'"&amp;AG$67&amp;"'!d1"),P87-1,))</f>
        <v>6</v>
      </c>
      <c r="AM87">
        <f t="shared" ref="AM87:AP87" ca="1" si="84">IF(DC87&gt;= $N$3,0,BD87)</f>
        <v>1</v>
      </c>
      <c r="AN87">
        <f t="shared" ca="1" si="84"/>
        <v>1</v>
      </c>
      <c r="AO87">
        <f t="shared" ca="1" si="84"/>
        <v>1</v>
      </c>
      <c r="AP87">
        <f t="shared" ca="1" si="84"/>
        <v>1</v>
      </c>
      <c r="AQ87">
        <f t="shared" ca="1" si="69"/>
        <v>0</v>
      </c>
      <c r="AV87" t="b">
        <f t="shared" ca="1" si="70"/>
        <v>1</v>
      </c>
      <c r="AW87" t="b">
        <f t="shared" ca="1" si="70"/>
        <v>1</v>
      </c>
      <c r="AX87" t="b">
        <f t="shared" ca="1" si="70"/>
        <v>1</v>
      </c>
      <c r="AY87" t="b">
        <f t="shared" ca="1" si="70"/>
        <v>1</v>
      </c>
      <c r="AZ87" t="str">
        <f t="shared" ca="1" si="70"/>
        <v/>
      </c>
      <c r="BD87">
        <f t="shared" ref="BD87:BO87" ca="1" si="85">IF(AND(V87&gt;0,V87&lt;$B87),1,0)</f>
        <v>1</v>
      </c>
      <c r="BE87">
        <f t="shared" ca="1" si="85"/>
        <v>1</v>
      </c>
      <c r="BF87">
        <f t="shared" ca="1" si="85"/>
        <v>1</v>
      </c>
      <c r="BG87">
        <f t="shared" ca="1" si="85"/>
        <v>1</v>
      </c>
      <c r="BH87">
        <f t="shared" ca="1" si="85"/>
        <v>1</v>
      </c>
      <c r="BI87">
        <f t="shared" ca="1" si="85"/>
        <v>1</v>
      </c>
      <c r="BJ87">
        <f t="shared" ca="1" si="85"/>
        <v>1</v>
      </c>
      <c r="BK87">
        <f t="shared" ca="1" si="85"/>
        <v>1</v>
      </c>
      <c r="BL87">
        <f t="shared" ca="1" si="85"/>
        <v>1</v>
      </c>
      <c r="BM87">
        <f t="shared" ca="1" si="85"/>
        <v>1</v>
      </c>
      <c r="BN87">
        <f t="shared" ca="1" si="85"/>
        <v>1</v>
      </c>
      <c r="BO87">
        <f t="shared" ca="1" si="85"/>
        <v>1</v>
      </c>
      <c r="BU87">
        <f t="shared" ref="BU87:CF87" ca="1" si="86">IF(BD87,V87,$B87)</f>
        <v>6</v>
      </c>
      <c r="BV87">
        <f t="shared" ca="1" si="86"/>
        <v>6</v>
      </c>
      <c r="BW87">
        <f t="shared" ca="1" si="86"/>
        <v>6</v>
      </c>
      <c r="BX87">
        <f t="shared" ca="1" si="86"/>
        <v>6</v>
      </c>
      <c r="BY87">
        <f t="shared" ca="1" si="86"/>
        <v>6</v>
      </c>
      <c r="BZ87">
        <f t="shared" ca="1" si="86"/>
        <v>6</v>
      </c>
      <c r="CA87">
        <f t="shared" ca="1" si="86"/>
        <v>6</v>
      </c>
      <c r="CB87">
        <f t="shared" ca="1" si="86"/>
        <v>6</v>
      </c>
      <c r="CC87">
        <f t="shared" ca="1" si="86"/>
        <v>6</v>
      </c>
      <c r="CD87">
        <f t="shared" ca="1" si="86"/>
        <v>6</v>
      </c>
      <c r="CE87">
        <f t="shared" ca="1" si="86"/>
        <v>6</v>
      </c>
      <c r="CF87">
        <f t="shared" ca="1" si="86"/>
        <v>6</v>
      </c>
      <c r="CL87">
        <f t="shared" ref="CL87:CW87" ca="1" si="87">IF(BU87=$C87,1,0)</f>
        <v>1</v>
      </c>
      <c r="CM87">
        <f t="shared" ca="1" si="87"/>
        <v>1</v>
      </c>
      <c r="CN87">
        <f t="shared" ca="1" si="87"/>
        <v>1</v>
      </c>
      <c r="CO87">
        <f t="shared" ca="1" si="87"/>
        <v>1</v>
      </c>
      <c r="CP87">
        <f t="shared" ca="1" si="87"/>
        <v>1</v>
      </c>
      <c r="CQ87">
        <f t="shared" ca="1" si="87"/>
        <v>1</v>
      </c>
      <c r="CR87">
        <f t="shared" ca="1" si="87"/>
        <v>1</v>
      </c>
      <c r="CS87">
        <f t="shared" ca="1" si="87"/>
        <v>1</v>
      </c>
      <c r="CT87">
        <f t="shared" ca="1" si="87"/>
        <v>1</v>
      </c>
      <c r="CU87">
        <f t="shared" ca="1" si="87"/>
        <v>1</v>
      </c>
      <c r="CV87">
        <f t="shared" ca="1" si="87"/>
        <v>1</v>
      </c>
      <c r="CW87">
        <f t="shared" ca="1" si="87"/>
        <v>1</v>
      </c>
      <c r="DC87" cm="1">
        <f t="array" aca="1" ref="DC87" ca="1">IF(ISNA(E87),,OFFSET(INDIRECT("'"&amp;DT$67&amp;"'!f1"),E87-1,))*1</f>
        <v>345.49177407100001</v>
      </c>
      <c r="DD87" cm="1">
        <f t="array" aca="1" ref="DD87" ca="1">IF(ISNA(F87),,OFFSET(INDIRECT("'"&amp;DU$67&amp;"'!f1"),F87-1,))*1</f>
        <v>1941.0721801549901</v>
      </c>
      <c r="DE87" cm="1">
        <f t="array" aca="1" ref="DE87" ca="1">IF(ISNA(G87),,OFFSET(INDIRECT("'"&amp;DV$67&amp;"'!f1"),G87-1,))*1</f>
        <v>344.75111851399902</v>
      </c>
      <c r="DF87" cm="1">
        <f t="array" aca="1" ref="DF87" ca="1">IF(ISNA(H87),,OFFSET(INDIRECT("'"&amp;DW$67&amp;"'!f1"),H87-1,))*1</f>
        <v>9.2133343999989806E-2</v>
      </c>
      <c r="DG87" cm="1">
        <f t="array" aca="1" ref="DG87" ca="1">IF(ISNA(I87),,OFFSET(INDIRECT("'"&amp;DX$67&amp;"'!f1"),I87-1,))*1</f>
        <v>28800.572976125</v>
      </c>
      <c r="DH87" cm="1">
        <f t="array" aca="1" ref="DH87" ca="1">IF(ISNA(J87),,OFFSET(INDIRECT("'"&amp;DY$67&amp;"'!f1"),J87-1,))*1</f>
        <v>16.198882986999902</v>
      </c>
      <c r="DI87" cm="1">
        <f t="array" aca="1" ref="DI87" ca="1">IF(ISNA(K87),,OFFSET(INDIRECT("'"&amp;DZ$67&amp;"'!f1"),K87-1,))*1</f>
        <v>1478.33725135028</v>
      </c>
      <c r="DJ87" cm="1">
        <f t="array" aca="1" ref="DJ87" ca="1">IF(ISNA(L87),,OFFSET(INDIRECT("'"&amp;EA$67&amp;"'!f1"),L87-1,))*1</f>
        <v>1546.2506000278499</v>
      </c>
      <c r="DK87" cm="1">
        <f t="array" aca="1" ref="DK87" ca="1">IF(ISNA(M87),,OFFSET(INDIRECT("'"&amp;EB$67&amp;"'!f1"),M87-1,))*1</f>
        <v>470.68464827600002</v>
      </c>
      <c r="DL87" cm="1">
        <f t="array" aca="1" ref="DL87" ca="1">IF(ISNA(N87),,OFFSET(INDIRECT("'"&amp;EC$67&amp;"'!f1"),N87-1,))*1</f>
        <v>1.0976127819999899</v>
      </c>
      <c r="DM87" cm="1">
        <f t="array" aca="1" ref="DM87" ca="1">IF(ISNA(O87),,OFFSET(INDIRECT("'"&amp;ED$67&amp;"'!f1"),O87-1,))*1</f>
        <v>0.78849559100001398</v>
      </c>
      <c r="DN87" cm="1">
        <f t="array" aca="1" ref="DN87" ca="1">IF(ISNA(P87),,OFFSET(INDIRECT("'"&amp;EE$67&amp;"'!f1"),P87-1,))*1</f>
        <v>1.25738477499999</v>
      </c>
      <c r="DT87">
        <f t="shared" ref="DT87:EE87" ca="1" si="88">IF(CL87,EK87,)</f>
        <v>1</v>
      </c>
      <c r="DU87">
        <f t="shared" ca="1" si="88"/>
        <v>1</v>
      </c>
      <c r="DV87">
        <f t="shared" ca="1" si="88"/>
        <v>1</v>
      </c>
      <c r="DW87">
        <f t="shared" ca="1" si="88"/>
        <v>1</v>
      </c>
      <c r="DX87">
        <f t="shared" ca="1" si="88"/>
        <v>1</v>
      </c>
      <c r="DY87">
        <f t="shared" ca="1" si="88"/>
        <v>1</v>
      </c>
      <c r="DZ87">
        <f t="shared" ca="1" si="88"/>
        <v>8171</v>
      </c>
      <c r="EA87">
        <f t="shared" ca="1" si="88"/>
        <v>9295</v>
      </c>
      <c r="EB87">
        <f t="shared" ca="1" si="88"/>
        <v>4539</v>
      </c>
      <c r="EC87">
        <f t="shared" ca="1" si="88"/>
        <v>1</v>
      </c>
      <c r="ED87">
        <f t="shared" ca="1" si="88"/>
        <v>1</v>
      </c>
      <c r="EE87">
        <f t="shared" ca="1" si="88"/>
        <v>2</v>
      </c>
      <c r="EK87" cm="1">
        <f t="array" aca="1" ref="EK87" ca="1">IF(ISNA(E87),0,OFFSET(INDIRECT("'"&amp;EK$67&amp;"'!g1"),E87-1,)*CL87)</f>
        <v>1</v>
      </c>
      <c r="EL87" cm="1">
        <f t="array" aca="1" ref="EL87" ca="1">IF(ISNA(F87),0,OFFSET(INDIRECT("'"&amp;EL$67&amp;"'!g1"),F87-1,)*CM87)</f>
        <v>1</v>
      </c>
      <c r="EM87" cm="1">
        <f t="array" aca="1" ref="EM87" ca="1">IF(ISNA(G87),0,OFFSET(INDIRECT("'"&amp;EM$67&amp;"'!g1"),G87-1,)*CN87)</f>
        <v>1</v>
      </c>
      <c r="EN87" cm="1">
        <f t="array" aca="1" ref="EN87" ca="1">IF(ISNA(H87),0,OFFSET(INDIRECT("'"&amp;EN$67&amp;"'!g1"),H87-1,)*CO87)</f>
        <v>1</v>
      </c>
      <c r="EO87" cm="1">
        <f t="array" aca="1" ref="EO87" ca="1">IF(ISNA(I87),0,OFFSET(INDIRECT("'"&amp;EO$67&amp;"'!g1"),I87-1,)*CP87)</f>
        <v>1</v>
      </c>
      <c r="EP87" cm="1">
        <f t="array" aca="1" ref="EP87" ca="1">IF(ISNA(J87),0,OFFSET(INDIRECT("'"&amp;EP$67&amp;"'!g1"),J87-1,)*CQ87)</f>
        <v>1</v>
      </c>
      <c r="EQ87" cm="1">
        <f t="array" aca="1" ref="EQ87" ca="1">IF(ISNA(K87),0,OFFSET(INDIRECT("'"&amp;EQ$67&amp;"'!g1"),K87-1,)*CR87)</f>
        <v>8171</v>
      </c>
      <c r="ER87" cm="1">
        <f t="array" aca="1" ref="ER87" ca="1">IF(ISNA(L87),0,OFFSET(INDIRECT("'"&amp;ER$67&amp;"'!g1"),L87-1,)*CS87)</f>
        <v>9295</v>
      </c>
      <c r="ES87" cm="1">
        <f t="array" aca="1" ref="ES87" ca="1">IF(ISNA(M87),0,OFFSET(INDIRECT("'"&amp;ES$67&amp;"'!g1"),M87-1,)*CT87)</f>
        <v>4539</v>
      </c>
      <c r="ET87" cm="1">
        <f t="array" aca="1" ref="ET87" ca="1">IF(ISNA(N87),0,OFFSET(INDIRECT("'"&amp;ET$67&amp;"'!g1"),N87-1,)*CU87)</f>
        <v>1</v>
      </c>
      <c r="EU87" cm="1">
        <f t="array" aca="1" ref="EU87" ca="1">IF(ISNA(O87),0,OFFSET(INDIRECT("'"&amp;EU$67&amp;"'!g1"),O87-1,)*CV87)</f>
        <v>1</v>
      </c>
      <c r="EV87" cm="1">
        <f t="array" aca="1" ref="EV87" ca="1">IF(ISNA(P87),0,OFFSET(INDIRECT("'"&amp;EV$67&amp;"'!g1"),P87-1,)*CW87)</f>
        <v>2</v>
      </c>
      <c r="FB87" s="10" cm="1">
        <f t="array" aca="1" ref="FB87" ca="1">IF(ISNA(E87),0,OFFSET(INDIRECT("'"&amp;EK$67&amp;"'!h1"),E87-1,))</f>
        <v>1</v>
      </c>
      <c r="FC87" s="10" cm="1">
        <f t="array" aca="1" ref="FC87" ca="1">IF(ISNA(F87),0,OFFSET(INDIRECT("'"&amp;EL$67&amp;"'!h1"),F87-1,))</f>
        <v>1</v>
      </c>
      <c r="FD87" s="10" cm="1">
        <f t="array" aca="1" ref="FD87" ca="1">IF(ISNA(G87),0,OFFSET(INDIRECT("'"&amp;EM$67&amp;"'!h1"),G87-1,))</f>
        <v>1</v>
      </c>
      <c r="FE87" s="10" cm="1">
        <f t="array" aca="1" ref="FE87" ca="1">IF(ISNA(H87),0,OFFSET(INDIRECT("'"&amp;EN$67&amp;"'!h1"),H87-1,))</f>
        <v>1</v>
      </c>
      <c r="FF87" s="10" cm="1">
        <f t="array" aca="1" ref="FF87" ca="1">IF(ISNA(I87),0,OFFSET(INDIRECT("'"&amp;EO$67&amp;"'!h1"),I87-1,))</f>
        <v>1</v>
      </c>
      <c r="FG87" s="10" cm="1">
        <f t="array" aca="1" ref="FG87" ca="1">IF(ISNA(J87),0,OFFSET(INDIRECT("'"&amp;EP$67&amp;"'!h1"),J87-1,))</f>
        <v>1</v>
      </c>
      <c r="FH87" s="10" cm="1">
        <f t="array" aca="1" ref="FH87" ca="1">IF(ISNA(K87),0,OFFSET(INDIRECT("'"&amp;EQ$67&amp;"'!h1"),K87-1,))</f>
        <v>10000</v>
      </c>
      <c r="FI87" s="10" cm="1">
        <f t="array" aca="1" ref="FI87" ca="1">IF(ISNA(L87),0,OFFSET(INDIRECT("'"&amp;ER$67&amp;"'!h1"),L87-1,))</f>
        <v>10000</v>
      </c>
      <c r="FJ87" s="10" cm="1">
        <f t="array" aca="1" ref="FJ87" ca="1">IF(ISNA(M87),0,OFFSET(INDIRECT("'"&amp;ES$67&amp;"'!h1"),M87-1,))</f>
        <v>10000</v>
      </c>
      <c r="FK87" s="10" cm="1">
        <f t="array" aca="1" ref="FK87" ca="1">IF(ISNA(N87),0,OFFSET(INDIRECT("'"&amp;ET$67&amp;"'!h1"),N87-1,))</f>
        <v>1</v>
      </c>
      <c r="FL87" s="10" cm="1">
        <f t="array" aca="1" ref="FL87" ca="1">IF(ISNA(O87),0,OFFSET(INDIRECT("'"&amp;EU$67&amp;"'!h1"),O87-1,))</f>
        <v>1</v>
      </c>
      <c r="FM87" s="10" cm="1">
        <f t="array" aca="1" ref="FM87" ca="1">IF(ISNA(P87),0,OFFSET(INDIRECT("'"&amp;EV$67&amp;"'!h1"),P87-1,))</f>
        <v>2</v>
      </c>
      <c r="FN87" s="10"/>
      <c r="FO87" s="10"/>
      <c r="FP87" s="10"/>
      <c r="FQ87" s="10"/>
      <c r="FS87">
        <f t="shared" ca="1" si="72"/>
        <v>1224</v>
      </c>
      <c r="FT87">
        <f t="shared" ca="1" si="73"/>
        <v>1478.33725135028</v>
      </c>
      <c r="FU87">
        <f t="shared" ca="1" si="74"/>
        <v>8171</v>
      </c>
      <c r="FV87">
        <f t="shared" ca="1" si="75"/>
        <v>10000</v>
      </c>
      <c r="FW87" s="4">
        <f t="shared" ca="1" si="76"/>
        <v>0.81710000000000005</v>
      </c>
      <c r="FX87" s="5">
        <f t="shared" ca="1" si="77"/>
        <v>0.18092488696001469</v>
      </c>
      <c r="FZ87" s="13">
        <f t="shared" ca="1" si="50"/>
        <v>1224</v>
      </c>
      <c r="GA87" s="23">
        <f t="shared" ca="1" si="78"/>
        <v>0</v>
      </c>
      <c r="GB87" s="23">
        <f t="shared" ca="1" si="51"/>
        <v>0</v>
      </c>
      <c r="GC87" s="23">
        <f t="shared" ca="1" si="51"/>
        <v>0</v>
      </c>
      <c r="GD87" s="23">
        <f t="shared" ca="1" si="51"/>
        <v>0</v>
      </c>
      <c r="GE87" s="23">
        <f t="shared" ca="1" si="51"/>
        <v>0</v>
      </c>
      <c r="GF87" s="23">
        <f t="shared" ca="1" si="51"/>
        <v>0</v>
      </c>
      <c r="GG87" s="23">
        <f t="shared" ca="1" si="51"/>
        <v>0</v>
      </c>
      <c r="GH87" s="23">
        <f t="shared" ca="1" si="51"/>
        <v>0</v>
      </c>
      <c r="GI87" s="23">
        <f t="shared" ca="1" si="51"/>
        <v>0</v>
      </c>
      <c r="GJ87" s="23">
        <f t="shared" ca="1" si="51"/>
        <v>0</v>
      </c>
      <c r="GK87" s="23">
        <f t="shared" ca="1" si="51"/>
        <v>0</v>
      </c>
      <c r="GL87" s="23">
        <f t="shared" ca="1" si="51"/>
        <v>0</v>
      </c>
      <c r="GM87" s="23"/>
      <c r="GN87">
        <f t="shared" ca="1" si="79"/>
        <v>1224</v>
      </c>
      <c r="GO87" s="5">
        <f t="shared" ca="1" si="80"/>
        <v>345.49177407100001</v>
      </c>
      <c r="GP87" s="5">
        <f t="shared" ca="1" si="80"/>
        <v>1941.0721801549901</v>
      </c>
      <c r="GQ87" s="5">
        <f t="shared" ca="1" si="80"/>
        <v>344.75111851399902</v>
      </c>
      <c r="GR87" s="5">
        <f t="shared" ca="1" si="80"/>
        <v>9.2133343999989806E-2</v>
      </c>
      <c r="GS87" s="5" t="e">
        <f t="shared" ca="1" si="80"/>
        <v>#N/A</v>
      </c>
      <c r="GT87" s="5">
        <f t="shared" ca="1" si="81"/>
        <v>16.198882986999902</v>
      </c>
      <c r="GU87" s="5">
        <f t="shared" ca="1" si="81"/>
        <v>0.18092488696001469</v>
      </c>
      <c r="GV87" s="5">
        <f t="shared" ca="1" si="81"/>
        <v>0.16635294244516943</v>
      </c>
      <c r="GW87" s="5">
        <f t="shared" ca="1" si="81"/>
        <v>0.10369787360123375</v>
      </c>
      <c r="GX87" s="5">
        <f t="shared" ca="1" si="81"/>
        <v>1.0976127819999899</v>
      </c>
      <c r="GY87" s="5">
        <f t="shared" ca="1" si="81"/>
        <v>0.78849559100001398</v>
      </c>
      <c r="GZ87" s="5">
        <f t="shared" ca="1" si="81"/>
        <v>0.62869238749999501</v>
      </c>
      <c r="HB87" s="13">
        <f t="shared" ca="1" si="54"/>
        <v>1224</v>
      </c>
      <c r="HC87" s="4">
        <f t="shared" ca="1" si="82"/>
        <v>1</v>
      </c>
      <c r="HD87" s="4">
        <f t="shared" ca="1" si="55"/>
        <v>1</v>
      </c>
      <c r="HE87" s="4">
        <f t="shared" ca="1" si="55"/>
        <v>1</v>
      </c>
      <c r="HF87" s="4">
        <f t="shared" ca="1" si="55"/>
        <v>1</v>
      </c>
      <c r="HG87" s="4">
        <f t="shared" ca="1" si="55"/>
        <v>1</v>
      </c>
      <c r="HH87" s="4">
        <f t="shared" ca="1" si="55"/>
        <v>1</v>
      </c>
      <c r="HI87" s="4">
        <f t="shared" ca="1" si="55"/>
        <v>0.81710000000000005</v>
      </c>
      <c r="HJ87" s="4">
        <f t="shared" ca="1" si="55"/>
        <v>0.92949999999999999</v>
      </c>
      <c r="HK87" s="4">
        <f t="shared" ca="1" si="55"/>
        <v>0.45390000000000003</v>
      </c>
      <c r="HL87" s="4">
        <f t="shared" ca="1" si="55"/>
        <v>1</v>
      </c>
      <c r="HM87" s="4">
        <f t="shared" ca="1" si="55"/>
        <v>1</v>
      </c>
      <c r="HN87" s="4">
        <f t="shared" ca="1" si="55"/>
        <v>1</v>
      </c>
    </row>
    <row r="88" spans="1:222" x14ac:dyDescent="0.2">
      <c r="A88" t="str" cm="1">
        <f t="array" aca="1" ref="A88" ca="1">INDIRECT($A$67&amp;"!A"&amp;ROW(C21)+$B$64)</f>
        <v>[[1224,104,0]]</v>
      </c>
      <c r="B88" cm="1">
        <f t="array" aca="1" ref="B88" ca="1">INDIRECT($A$67&amp;"!b"&amp;ROW(D21)+$B$64)</f>
        <v>1224</v>
      </c>
      <c r="C88">
        <f t="shared" ref="C88" ca="1" si="89">MIN(INDIRECT($A$67&amp;"!d"&amp;ROW(E21)+$B$64),BU88:CG88)</f>
        <v>6</v>
      </c>
      <c r="E88">
        <f t="shared" ca="1" si="83"/>
        <v>45</v>
      </c>
      <c r="F88">
        <f t="shared" ca="1" si="57"/>
        <v>46</v>
      </c>
      <c r="G88">
        <f t="shared" ca="1" si="58"/>
        <v>45</v>
      </c>
      <c r="H88">
        <f t="shared" ca="1" si="59"/>
        <v>45</v>
      </c>
      <c r="I88">
        <f t="shared" ca="1" si="60"/>
        <v>48</v>
      </c>
      <c r="J88">
        <f t="shared" ca="1" si="61"/>
        <v>45</v>
      </c>
      <c r="K88">
        <f t="shared" ca="1" si="62"/>
        <v>52</v>
      </c>
      <c r="L88">
        <f t="shared" ca="1" si="63"/>
        <v>54</v>
      </c>
      <c r="M88">
        <f t="shared" ca="1" si="64"/>
        <v>51</v>
      </c>
      <c r="N88">
        <f t="shared" ca="1" si="65"/>
        <v>45</v>
      </c>
      <c r="O88">
        <f t="shared" ca="1" si="66"/>
        <v>45</v>
      </c>
      <c r="P88">
        <f t="shared" ca="1" si="67"/>
        <v>45</v>
      </c>
      <c r="V88" cm="1">
        <f t="array" aca="1" ref="V88" ca="1">IF(ISNA(E88),,OFFSET(INDIRECT("'"&amp;V$67&amp;"'!d1"),E88-1,))</f>
        <v>6</v>
      </c>
      <c r="W88" cm="1">
        <f t="array" aca="1" ref="W88" ca="1">IF(ISNA(F88),,OFFSET(INDIRECT("'"&amp;W$67&amp;"'!d1"),F88-1,))</f>
        <v>6</v>
      </c>
      <c r="X88" cm="1">
        <f t="array" aca="1" ref="X88" ca="1">IF(ISNA(G88),,OFFSET(INDIRECT("'"&amp;X$67&amp;"'!d1"),G88-1,))</f>
        <v>6</v>
      </c>
      <c r="Y88" cm="1">
        <f t="array" aca="1" ref="Y88" ca="1">IF(ISNA(H88),,OFFSET(INDIRECT("'"&amp;Y$67&amp;"'!d1"),H88-1,))</f>
        <v>6</v>
      </c>
      <c r="Z88" cm="1">
        <f t="array" aca="1" ref="Z88" ca="1">IF(ISNA(I88),,OFFSET(INDIRECT("'"&amp;Z$67&amp;"'!d1"),I88-1,))</f>
        <v>6</v>
      </c>
      <c r="AA88" cm="1">
        <f t="array" aca="1" ref="AA88" ca="1">IF(ISNA(J88),,OFFSET(INDIRECT("'"&amp;AA$67&amp;"'!d1"),J88-1,))</f>
        <v>6</v>
      </c>
      <c r="AB88" cm="1">
        <f t="array" aca="1" ref="AB88" ca="1">IF(ISNA(K88),,OFFSET(INDIRECT("'"&amp;AB$67&amp;"'!d1"),K88-1,))</f>
        <v>6</v>
      </c>
      <c r="AC88" cm="1">
        <f t="array" aca="1" ref="AC88" ca="1">IF(ISNA(L88),,OFFSET(INDIRECT("'"&amp;AC$67&amp;"'!d1"),L88-1,))</f>
        <v>6</v>
      </c>
      <c r="AD88" cm="1">
        <f t="array" aca="1" ref="AD88" ca="1">IF(ISNA(M88),,OFFSET(INDIRECT("'"&amp;AD$67&amp;"'!d1"),M88-1,))</f>
        <v>6</v>
      </c>
      <c r="AE88" cm="1">
        <f t="array" aca="1" ref="AE88" ca="1">IF(ISNA(N88),,OFFSET(INDIRECT("'"&amp;AE$67&amp;"'!d1"),N88-1,))</f>
        <v>6</v>
      </c>
      <c r="AF88" cm="1">
        <f t="array" aca="1" ref="AF88" ca="1">IF(ISNA(O88),,OFFSET(INDIRECT("'"&amp;AF$67&amp;"'!d1"),O88-1,))</f>
        <v>6</v>
      </c>
      <c r="AG88" cm="1">
        <f t="array" aca="1" ref="AG88" ca="1">IF(ISNA(P88),,OFFSET(INDIRECT("'"&amp;AG$67&amp;"'!d1"),P88-1,))</f>
        <v>6</v>
      </c>
      <c r="AM88">
        <f t="shared" ref="AM88" ca="1" si="90">IF(DC88&gt;= $N$3,0,BD88)</f>
        <v>1</v>
      </c>
      <c r="AN88">
        <f t="shared" ref="AN88" ca="1" si="91">IF(DD88&gt;= $N$3,0,BE88)</f>
        <v>1</v>
      </c>
      <c r="AO88">
        <f t="shared" ref="AO88" ca="1" si="92">IF(DE88&gt;= $N$3,0,BF88)</f>
        <v>1</v>
      </c>
      <c r="AP88">
        <f t="shared" ref="AP88" ca="1" si="93">IF(DF88&gt;= $N$3,0,BG88)</f>
        <v>1</v>
      </c>
      <c r="AQ88">
        <f t="shared" ref="AQ88" ca="1" si="94">IF(DG88*1&gt;= $N$3,0,BH88)</f>
        <v>0</v>
      </c>
      <c r="AV88" t="b">
        <f t="shared" ref="AV88" ca="1" si="95">IF(AM88=1,CL88=1,"")</f>
        <v>1</v>
      </c>
      <c r="AW88" t="b">
        <f t="shared" ref="AW88" ca="1" si="96">IF(AN88=1,CM88=1,"")</f>
        <v>1</v>
      </c>
      <c r="AX88" t="b">
        <f t="shared" ref="AX88" ca="1" si="97">IF(AO88=1,CN88=1,"")</f>
        <v>1</v>
      </c>
      <c r="AY88" t="b">
        <f t="shared" ref="AY88" ca="1" si="98">IF(AP88=1,CO88=1,"")</f>
        <v>1</v>
      </c>
      <c r="AZ88" t="str">
        <f t="shared" ref="AZ88" ca="1" si="99">IF(AQ88=1,CP88=1,"")</f>
        <v/>
      </c>
      <c r="BD88">
        <f t="shared" ref="BD88" ca="1" si="100">IF(AND(V88&gt;0,V88&lt;$B88),1,0)</f>
        <v>1</v>
      </c>
      <c r="BE88">
        <f t="shared" ref="BE88" ca="1" si="101">IF(AND(W88&gt;0,W88&lt;$B88),1,0)</f>
        <v>1</v>
      </c>
      <c r="BF88">
        <f t="shared" ref="BF88" ca="1" si="102">IF(AND(X88&gt;0,X88&lt;$B88),1,0)</f>
        <v>1</v>
      </c>
      <c r="BG88">
        <f t="shared" ref="BG88" ca="1" si="103">IF(AND(Y88&gt;0,Y88&lt;$B88),1,0)</f>
        <v>1</v>
      </c>
      <c r="BH88">
        <f t="shared" ref="BH88" ca="1" si="104">IF(AND(Z88&gt;0,Z88&lt;$B88),1,0)</f>
        <v>1</v>
      </c>
      <c r="BI88">
        <f t="shared" ref="BI88" ca="1" si="105">IF(AND(AA88&gt;0,AA88&lt;$B88),1,0)</f>
        <v>1</v>
      </c>
      <c r="BJ88">
        <f t="shared" ref="BJ88" ca="1" si="106">IF(AND(AB88&gt;0,AB88&lt;$B88),1,0)</f>
        <v>1</v>
      </c>
      <c r="BK88">
        <f t="shared" ref="BK88" ca="1" si="107">IF(AND(AC88&gt;0,AC88&lt;$B88),1,0)</f>
        <v>1</v>
      </c>
      <c r="BL88">
        <f t="shared" ref="BL88" ca="1" si="108">IF(AND(AD88&gt;0,AD88&lt;$B88),1,0)</f>
        <v>1</v>
      </c>
      <c r="BM88">
        <f t="shared" ref="BM88" ca="1" si="109">IF(AND(AE88&gt;0,AE88&lt;$B88),1,0)</f>
        <v>1</v>
      </c>
      <c r="BN88">
        <f t="shared" ref="BN88" ca="1" si="110">IF(AND(AF88&gt;0,AF88&lt;$B88),1,0)</f>
        <v>1</v>
      </c>
      <c r="BO88">
        <f t="shared" ref="BO88" ca="1" si="111">IF(AND(AG88&gt;0,AG88&lt;$B88),1,0)</f>
        <v>1</v>
      </c>
      <c r="BU88">
        <f t="shared" ref="BU88" ca="1" si="112">IF(BD88,V88,$B88)</f>
        <v>6</v>
      </c>
      <c r="BV88">
        <f t="shared" ref="BV88" ca="1" si="113">IF(BE88,W88,$B88)</f>
        <v>6</v>
      </c>
      <c r="BW88">
        <f t="shared" ref="BW88" ca="1" si="114">IF(BF88,X88,$B88)</f>
        <v>6</v>
      </c>
      <c r="BX88">
        <f t="shared" ref="BX88" ca="1" si="115">IF(BG88,Y88,$B88)</f>
        <v>6</v>
      </c>
      <c r="BY88">
        <f t="shared" ref="BY88" ca="1" si="116">IF(BH88,Z88,$B88)</f>
        <v>6</v>
      </c>
      <c r="BZ88">
        <f t="shared" ref="BZ88" ca="1" si="117">IF(BI88,AA88,$B88)</f>
        <v>6</v>
      </c>
      <c r="CA88">
        <f t="shared" ref="CA88" ca="1" si="118">IF(BJ88,AB88,$B88)</f>
        <v>6</v>
      </c>
      <c r="CB88">
        <f t="shared" ref="CB88" ca="1" si="119">IF(BK88,AC88,$B88)</f>
        <v>6</v>
      </c>
      <c r="CC88">
        <f t="shared" ref="CC88" ca="1" si="120">IF(BL88,AD88,$B88)</f>
        <v>6</v>
      </c>
      <c r="CD88">
        <f t="shared" ref="CD88" ca="1" si="121">IF(BM88,AE88,$B88)</f>
        <v>6</v>
      </c>
      <c r="CE88">
        <f t="shared" ref="CE88" ca="1" si="122">IF(BN88,AF88,$B88)</f>
        <v>6</v>
      </c>
      <c r="CF88">
        <f t="shared" ref="CF88" ca="1" si="123">IF(BO88,AG88,$B88)</f>
        <v>6</v>
      </c>
      <c r="CL88">
        <f t="shared" ref="CL88" ca="1" si="124">IF(BU88=$C88,1,0)</f>
        <v>1</v>
      </c>
      <c r="CM88">
        <f t="shared" ref="CM88" ca="1" si="125">IF(BV88=$C88,1,0)</f>
        <v>1</v>
      </c>
      <c r="CN88">
        <f t="shared" ref="CN88" ca="1" si="126">IF(BW88=$C88,1,0)</f>
        <v>1</v>
      </c>
      <c r="CO88">
        <f t="shared" ref="CO88" ca="1" si="127">IF(BX88=$C88,1,0)</f>
        <v>1</v>
      </c>
      <c r="CP88">
        <f t="shared" ref="CP88" ca="1" si="128">IF(BY88=$C88,1,0)</f>
        <v>1</v>
      </c>
      <c r="CQ88">
        <f t="shared" ref="CQ88" ca="1" si="129">IF(BZ88=$C88,1,0)</f>
        <v>1</v>
      </c>
      <c r="CR88">
        <f t="shared" ref="CR88" ca="1" si="130">IF(CA88=$C88,1,0)</f>
        <v>1</v>
      </c>
      <c r="CS88">
        <f t="shared" ref="CS88" ca="1" si="131">IF(CB88=$C88,1,0)</f>
        <v>1</v>
      </c>
      <c r="CT88">
        <f t="shared" ref="CT88" ca="1" si="132">IF(CC88=$C88,1,0)</f>
        <v>1</v>
      </c>
      <c r="CU88">
        <f t="shared" ref="CU88" ca="1" si="133">IF(CD88=$C88,1,0)</f>
        <v>1</v>
      </c>
      <c r="CV88">
        <f t="shared" ref="CV88" ca="1" si="134">IF(CE88=$C88,1,0)</f>
        <v>1</v>
      </c>
      <c r="CW88">
        <f t="shared" ref="CW88" ca="1" si="135">IF(CF88=$C88,1,0)</f>
        <v>1</v>
      </c>
      <c r="DC88" cm="1">
        <f t="array" aca="1" ref="DC88" ca="1">IF(ISNA(E88),,OFFSET(INDIRECT("'"&amp;DT$67&amp;"'!f1"),E88-1,))*1</f>
        <v>395.60455541699997</v>
      </c>
      <c r="DD88" cm="1">
        <f t="array" aca="1" ref="DD88" ca="1">IF(ISNA(F88),,OFFSET(INDIRECT("'"&amp;DU$67&amp;"'!f1"),F88-1,))*1</f>
        <v>1619.775421155</v>
      </c>
      <c r="DE88" cm="1">
        <f t="array" aca="1" ref="DE88" ca="1">IF(ISNA(G88),,OFFSET(INDIRECT("'"&amp;DV$67&amp;"'!f1"),G88-1,))*1</f>
        <v>453.629795839</v>
      </c>
      <c r="DF88" cm="1">
        <f t="array" aca="1" ref="DF88" ca="1">IF(ISNA(H88),,OFFSET(INDIRECT("'"&amp;DW$67&amp;"'!f1"),H88-1,))*1</f>
        <v>9.1798936000003495E-2</v>
      </c>
      <c r="DG88" cm="1">
        <f t="array" aca="1" ref="DG88" ca="1">IF(ISNA(I88),,OFFSET(INDIRECT("'"&amp;DX$67&amp;"'!f1"),I88-1,))*1</f>
        <v>28800.755854250001</v>
      </c>
      <c r="DH88" cm="1">
        <f t="array" aca="1" ref="DH88" ca="1">IF(ISNA(J88),,OFFSET(INDIRECT("'"&amp;DY$67&amp;"'!f1"),J88-1,))*1</f>
        <v>14.960022197000001</v>
      </c>
      <c r="DI88" cm="1">
        <f t="array" aca="1" ref="DI88" ca="1">IF(ISNA(K88),,OFFSET(INDIRECT("'"&amp;DZ$67&amp;"'!f1"),K88-1,))*1</f>
        <v>1469.93934776075</v>
      </c>
      <c r="DJ88" cm="1">
        <f t="array" aca="1" ref="DJ88" ca="1">IF(ISNA(L88),,OFFSET(INDIRECT("'"&amp;EA$67&amp;"'!f1"),L88-1,))*1</f>
        <v>1551.9877261351701</v>
      </c>
      <c r="DK88" cm="1">
        <f t="array" aca="1" ref="DK88" ca="1">IF(ISNA(M88),,OFFSET(INDIRECT("'"&amp;EB$67&amp;"'!f1"),M88-1,))*1</f>
        <v>469.02189136499902</v>
      </c>
      <c r="DL88" cm="1">
        <f t="array" aca="1" ref="DL88" ca="1">IF(ISNA(N88),,OFFSET(INDIRECT("'"&amp;EC$67&amp;"'!f1"),N88-1,))*1</f>
        <v>1.11586894399999</v>
      </c>
      <c r="DM88" cm="1">
        <f t="array" aca="1" ref="DM88" ca="1">IF(ISNA(O88),,OFFSET(INDIRECT("'"&amp;ED$67&amp;"'!f1"),O88-1,))*1</f>
        <v>0.78232529400000295</v>
      </c>
      <c r="DN88" cm="1">
        <f t="array" aca="1" ref="DN88" ca="1">IF(ISNA(P88),,OFFSET(INDIRECT("'"&amp;EE$67&amp;"'!f1"),P88-1,))*1</f>
        <v>1.2739629829999899</v>
      </c>
      <c r="DT88">
        <f t="shared" ref="DT88" ca="1" si="136">IF(CL88,EK88,)</f>
        <v>1</v>
      </c>
      <c r="DU88">
        <f t="shared" ref="DU88" ca="1" si="137">IF(CM88,EL88,)</f>
        <v>1</v>
      </c>
      <c r="DV88">
        <f t="shared" ref="DV88" ca="1" si="138">IF(CN88,EM88,)</f>
        <v>1</v>
      </c>
      <c r="DW88">
        <f t="shared" ref="DW88" ca="1" si="139">IF(CO88,EN88,)</f>
        <v>1</v>
      </c>
      <c r="DX88">
        <f t="shared" ref="DX88" ca="1" si="140">IF(CP88,EO88,)</f>
        <v>1</v>
      </c>
      <c r="DY88">
        <f t="shared" ref="DY88" ca="1" si="141">IF(CQ88,EP88,)</f>
        <v>1</v>
      </c>
      <c r="DZ88">
        <f t="shared" ref="DZ88" ca="1" si="142">IF(CR88,EQ88,)</f>
        <v>9974</v>
      </c>
      <c r="EA88">
        <f t="shared" ref="EA88" ca="1" si="143">IF(CS88,ER88,)</f>
        <v>9997</v>
      </c>
      <c r="EB88">
        <f t="shared" ref="EB88" ca="1" si="144">IF(CT88,ES88,)</f>
        <v>7819</v>
      </c>
      <c r="EC88">
        <f t="shared" ref="EC88" ca="1" si="145">IF(CU88,ET88,)</f>
        <v>1</v>
      </c>
      <c r="ED88">
        <f t="shared" ref="ED88" ca="1" si="146">IF(CV88,EU88,)</f>
        <v>1</v>
      </c>
      <c r="EE88">
        <f t="shared" ref="EE88" ca="1" si="147">IF(CW88,EV88,)</f>
        <v>2</v>
      </c>
      <c r="EK88" cm="1">
        <f t="array" aca="1" ref="EK88" ca="1">IF(ISNA(E88),0,OFFSET(INDIRECT("'"&amp;EK$67&amp;"'!g1"),E88-1,)*CL88)</f>
        <v>1</v>
      </c>
      <c r="EL88" cm="1">
        <f t="array" aca="1" ref="EL88" ca="1">IF(ISNA(F88),0,OFFSET(INDIRECT("'"&amp;EL$67&amp;"'!g1"),F88-1,)*CM88)</f>
        <v>1</v>
      </c>
      <c r="EM88" cm="1">
        <f t="array" aca="1" ref="EM88" ca="1">IF(ISNA(G88),0,OFFSET(INDIRECT("'"&amp;EM$67&amp;"'!g1"),G88-1,)*CN88)</f>
        <v>1</v>
      </c>
      <c r="EN88" cm="1">
        <f t="array" aca="1" ref="EN88" ca="1">IF(ISNA(H88),0,OFFSET(INDIRECT("'"&amp;EN$67&amp;"'!g1"),H88-1,)*CO88)</f>
        <v>1</v>
      </c>
      <c r="EO88" cm="1">
        <f t="array" aca="1" ref="EO88" ca="1">IF(ISNA(I88),0,OFFSET(INDIRECT("'"&amp;EO$67&amp;"'!g1"),I88-1,)*CP88)</f>
        <v>1</v>
      </c>
      <c r="EP88" cm="1">
        <f t="array" aca="1" ref="EP88" ca="1">IF(ISNA(J88),0,OFFSET(INDIRECT("'"&amp;EP$67&amp;"'!g1"),J88-1,)*CQ88)</f>
        <v>1</v>
      </c>
      <c r="EQ88" cm="1">
        <f t="array" aca="1" ref="EQ88" ca="1">IF(ISNA(K88),0,OFFSET(INDIRECT("'"&amp;EQ$67&amp;"'!g1"),K88-1,)*CR88)</f>
        <v>9974</v>
      </c>
      <c r="ER88" cm="1">
        <f t="array" aca="1" ref="ER88" ca="1">IF(ISNA(L88),0,OFFSET(INDIRECT("'"&amp;ER$67&amp;"'!g1"),L88-1,)*CS88)</f>
        <v>9997</v>
      </c>
      <c r="ES88" cm="1">
        <f t="array" aca="1" ref="ES88" ca="1">IF(ISNA(M88),0,OFFSET(INDIRECT("'"&amp;ES$67&amp;"'!g1"),M88-1,)*CT88)</f>
        <v>7819</v>
      </c>
      <c r="ET88" cm="1">
        <f t="array" aca="1" ref="ET88" ca="1">IF(ISNA(N88),0,OFFSET(INDIRECT("'"&amp;ET$67&amp;"'!g1"),N88-1,)*CU88)</f>
        <v>1</v>
      </c>
      <c r="EU88" cm="1">
        <f t="array" aca="1" ref="EU88" ca="1">IF(ISNA(O88),0,OFFSET(INDIRECT("'"&amp;EU$67&amp;"'!g1"),O88-1,)*CV88)</f>
        <v>1</v>
      </c>
      <c r="EV88" cm="1">
        <f t="array" aca="1" ref="EV88" ca="1">IF(ISNA(P88),0,OFFSET(INDIRECT("'"&amp;EV$67&amp;"'!g1"),P88-1,)*CW88)</f>
        <v>2</v>
      </c>
      <c r="FB88" s="10" cm="1">
        <f t="array" aca="1" ref="FB88" ca="1">IF(ISNA(E88),0,OFFSET(INDIRECT("'"&amp;EK$67&amp;"'!h1"),E88-1,))</f>
        <v>1</v>
      </c>
      <c r="FC88" s="10" cm="1">
        <f t="array" aca="1" ref="FC88" ca="1">IF(ISNA(F88),0,OFFSET(INDIRECT("'"&amp;EL$67&amp;"'!h1"),F88-1,))</f>
        <v>1</v>
      </c>
      <c r="FD88" s="10" cm="1">
        <f t="array" aca="1" ref="FD88" ca="1">IF(ISNA(G88),0,OFFSET(INDIRECT("'"&amp;EM$67&amp;"'!h1"),G88-1,))</f>
        <v>1</v>
      </c>
      <c r="FE88" s="10" cm="1">
        <f t="array" aca="1" ref="FE88" ca="1">IF(ISNA(H88),0,OFFSET(INDIRECT("'"&amp;EN$67&amp;"'!h1"),H88-1,))</f>
        <v>1</v>
      </c>
      <c r="FF88" s="10" cm="1">
        <f t="array" aca="1" ref="FF88" ca="1">IF(ISNA(I88),0,OFFSET(INDIRECT("'"&amp;EO$67&amp;"'!h1"),I88-1,))</f>
        <v>1</v>
      </c>
      <c r="FG88" s="10" cm="1">
        <f t="array" aca="1" ref="FG88" ca="1">IF(ISNA(J88),0,OFFSET(INDIRECT("'"&amp;EP$67&amp;"'!h1"),J88-1,))</f>
        <v>1</v>
      </c>
      <c r="FH88" s="10" cm="1">
        <f t="array" aca="1" ref="FH88" ca="1">IF(ISNA(K88),0,OFFSET(INDIRECT("'"&amp;EQ$67&amp;"'!h1"),K88-1,))</f>
        <v>10000</v>
      </c>
      <c r="FI88" s="10" cm="1">
        <f t="array" aca="1" ref="FI88" ca="1">IF(ISNA(L88),0,OFFSET(INDIRECT("'"&amp;ER$67&amp;"'!h1"),L88-1,))</f>
        <v>10000</v>
      </c>
      <c r="FJ88" s="10" cm="1">
        <f t="array" aca="1" ref="FJ88" ca="1">IF(ISNA(M88),0,OFFSET(INDIRECT("'"&amp;ES$67&amp;"'!h1"),M88-1,))</f>
        <v>10000</v>
      </c>
      <c r="FK88" s="10" cm="1">
        <f t="array" aca="1" ref="FK88" ca="1">IF(ISNA(N88),0,OFFSET(INDIRECT("'"&amp;ET$67&amp;"'!h1"),N88-1,))</f>
        <v>1</v>
      </c>
      <c r="FL88" s="10" cm="1">
        <f t="array" aca="1" ref="FL88" ca="1">IF(ISNA(O88),0,OFFSET(INDIRECT("'"&amp;EU$67&amp;"'!h1"),O88-1,))</f>
        <v>1</v>
      </c>
      <c r="FM88" s="10" cm="1">
        <f t="array" aca="1" ref="FM88" ca="1">IF(ISNA(P88),0,OFFSET(INDIRECT("'"&amp;EV$67&amp;"'!h1"),P88-1,))</f>
        <v>2</v>
      </c>
      <c r="FN88" s="10"/>
      <c r="FO88" s="10"/>
      <c r="FP88" s="10"/>
      <c r="FQ88" s="10"/>
      <c r="FS88">
        <f t="shared" ref="FS88" ca="1" si="148">B88</f>
        <v>1224</v>
      </c>
      <c r="FT88">
        <f t="shared" ca="1" si="73"/>
        <v>1469.93934776075</v>
      </c>
      <c r="FU88">
        <f t="shared" ca="1" si="74"/>
        <v>9974</v>
      </c>
      <c r="FV88">
        <f t="shared" ca="1" si="75"/>
        <v>10000</v>
      </c>
      <c r="FW88" s="4">
        <f t="shared" ref="FW88" ca="1" si="149">IF(FV88,FU88/FV88,NA())</f>
        <v>0.99739999999999995</v>
      </c>
      <c r="FX88" s="5">
        <f t="shared" ref="FX88" ca="1" si="150">IF(FU88,FT88/FU88,NA())</f>
        <v>0.14737711527579206</v>
      </c>
      <c r="FZ88" s="13">
        <f t="shared" ref="FZ88" ca="1" si="151">GN88</f>
        <v>1224</v>
      </c>
      <c r="GA88" s="23">
        <f t="shared" ref="GA88" ca="1" si="152">IF(BD88,(BU88-$C88)/$C88,NA())</f>
        <v>0</v>
      </c>
      <c r="GB88" s="23">
        <f t="shared" ref="GB88" ca="1" si="153">IF(BE88,(BV88-$C88)/$C88,NA())</f>
        <v>0</v>
      </c>
      <c r="GC88" s="23">
        <f t="shared" ref="GC88" ca="1" si="154">IF(BF88,(BW88-$C88)/$C88,NA())</f>
        <v>0</v>
      </c>
      <c r="GD88" s="23">
        <f t="shared" ref="GD88" ca="1" si="155">IF(BG88,(BX88-$C88)/$C88,NA())</f>
        <v>0</v>
      </c>
      <c r="GE88" s="23">
        <f t="shared" ref="GE88" ca="1" si="156">IF(BH88,(BY88-$C88)/$C88,NA())</f>
        <v>0</v>
      </c>
      <c r="GF88" s="23">
        <f t="shared" ref="GF88" ca="1" si="157">IF(BI88,(BZ88-$C88)/$C88,NA())</f>
        <v>0</v>
      </c>
      <c r="GG88" s="23">
        <f t="shared" ref="GG88" ca="1" si="158">IF(BJ88,(CA88-$C88)/$C88,NA())</f>
        <v>0</v>
      </c>
      <c r="GH88" s="23">
        <f t="shared" ref="GH88" ca="1" si="159">IF(BK88,(CB88-$C88)/$C88,NA())</f>
        <v>0</v>
      </c>
      <c r="GI88" s="23">
        <f t="shared" ref="GI88" ca="1" si="160">IF(BL88,(CC88-$C88)/$C88,NA())</f>
        <v>0</v>
      </c>
      <c r="GJ88" s="23">
        <f t="shared" ref="GJ88" ca="1" si="161">IF(BM88,(CD88-$C88)/$C88,NA())</f>
        <v>0</v>
      </c>
      <c r="GK88" s="23">
        <f t="shared" ref="GK88" ca="1" si="162">IF(BN88,(CE88-$C88)/$C88,NA())</f>
        <v>0</v>
      </c>
      <c r="GL88" s="23">
        <f t="shared" ref="GL88" ca="1" si="163">IF(BO88,(CF88-$C88)/$C88,NA())</f>
        <v>0</v>
      </c>
      <c r="GM88" s="23"/>
      <c r="GN88">
        <f t="shared" ref="GN88" ca="1" si="164">B88</f>
        <v>1224</v>
      </c>
      <c r="GO88" s="5">
        <f t="shared" ref="GO88" ca="1" si="165">IF(AND(AM88&gt;0,DT88&gt;0),DC88/DT88,NA())</f>
        <v>395.60455541699997</v>
      </c>
      <c r="GP88" s="5">
        <f t="shared" ref="GP88" ca="1" si="166">IF(AND(AN88&gt;0,DU88&gt;0),DD88/DU88,NA())</f>
        <v>1619.775421155</v>
      </c>
      <c r="GQ88" s="5">
        <f t="shared" ref="GQ88" ca="1" si="167">IF(AND(AO88&gt;0,DV88&gt;0),DE88/DV88,NA())</f>
        <v>453.629795839</v>
      </c>
      <c r="GR88" s="5">
        <f t="shared" ref="GR88" ca="1" si="168">IF(AND(AP88&gt;0,DW88&gt;0),DF88/DW88,NA())</f>
        <v>9.1798936000003495E-2</v>
      </c>
      <c r="GS88" s="5" t="e">
        <f t="shared" ref="GS88" ca="1" si="169">IF(AND(AQ88&gt;0,DX88&gt;0),DG88/DX88,NA())</f>
        <v>#N/A</v>
      </c>
      <c r="GT88" s="5">
        <f t="shared" ref="GT88" ca="1" si="170">IF(DY88&gt;0,DH88/DY88,NA())</f>
        <v>14.960022197000001</v>
      </c>
      <c r="GU88" s="5">
        <f t="shared" ref="GU88" ca="1" si="171">IF(DZ88&gt;0,DI88/DZ88,NA())</f>
        <v>0.14737711527579206</v>
      </c>
      <c r="GV88" s="5">
        <f t="shared" ref="GV88" ca="1" si="172">IF(EA88&gt;0,DJ88/EA88,NA())</f>
        <v>0.15524534621738223</v>
      </c>
      <c r="GW88" s="5">
        <f t="shared" ref="GW88" ca="1" si="173">IF(EB88&gt;0,DK88/EB88,NA())</f>
        <v>5.9984894662360788E-2</v>
      </c>
      <c r="GX88" s="5">
        <f t="shared" ref="GX88" ca="1" si="174">IF(EC88&gt;0,DL88/EC88,NA())</f>
        <v>1.11586894399999</v>
      </c>
      <c r="GY88" s="5">
        <f t="shared" ref="GY88" ca="1" si="175">IF(ED88&gt;0,DM88/ED88,NA())</f>
        <v>0.78232529400000295</v>
      </c>
      <c r="GZ88" s="5">
        <f t="shared" ref="GZ88" ca="1" si="176">IF(EE88&gt;0,DN88/EE88,NA())</f>
        <v>0.63698149149999495</v>
      </c>
      <c r="HB88" s="13">
        <f t="shared" ref="HB88" ca="1" si="177">GN88</f>
        <v>1224</v>
      </c>
      <c r="HC88" s="4">
        <f t="shared" ref="HC88" ca="1" si="178">IF(FB88,DT88/FB88,)</f>
        <v>1</v>
      </c>
      <c r="HD88" s="4">
        <f t="shared" ref="HD88" ca="1" si="179">IF(FC88,DU88/FC88,)</f>
        <v>1</v>
      </c>
      <c r="HE88" s="4">
        <f t="shared" ref="HE88" ca="1" si="180">IF(FD88,DV88/FD88,)</f>
        <v>1</v>
      </c>
      <c r="HF88" s="4">
        <f t="shared" ref="HF88" ca="1" si="181">IF(FE88,DW88/FE88,)</f>
        <v>1</v>
      </c>
      <c r="HG88" s="4">
        <f t="shared" ref="HG88" ca="1" si="182">IF(FF88,DX88/FF88,)</f>
        <v>1</v>
      </c>
      <c r="HH88" s="4">
        <f t="shared" ref="HH88" ca="1" si="183">IF(FG88,DY88/FG88,)</f>
        <v>1</v>
      </c>
      <c r="HI88" s="4">
        <f t="shared" ref="HI88" ca="1" si="184">IF(FH88,DZ88/FH88,)</f>
        <v>0.99739999999999995</v>
      </c>
      <c r="HJ88" s="4">
        <f t="shared" ref="HJ88" ca="1" si="185">IF(FI88,EA88/FI88,)</f>
        <v>0.99970000000000003</v>
      </c>
      <c r="HK88" s="4">
        <f t="shared" ref="HK88" ca="1" si="186">IF(FJ88,EB88/FJ88,)</f>
        <v>0.78190000000000004</v>
      </c>
      <c r="HL88" s="4">
        <f t="shared" ref="HL88" ca="1" si="187">IF(FK88,EC88/FK88,)</f>
        <v>1</v>
      </c>
      <c r="HM88" s="4">
        <f t="shared" ref="HM88" ca="1" si="188">IF(FL88,ED88/FL88,)</f>
        <v>1</v>
      </c>
      <c r="HN88" s="4">
        <f t="shared" ref="HN88" ca="1" si="189">IF(FM88,EE88/FM88,)</f>
        <v>1</v>
      </c>
    </row>
    <row r="89" spans="1:222" x14ac:dyDescent="0.2">
      <c r="FB89" s="10"/>
      <c r="FC89" s="10"/>
      <c r="FD89" s="10"/>
      <c r="FE89" s="10"/>
      <c r="FF89" s="10"/>
      <c r="FG89" s="10"/>
      <c r="FH89" s="10"/>
      <c r="FI89" s="10"/>
      <c r="FJ89" s="10"/>
      <c r="FK89" s="10"/>
      <c r="FL89" s="10"/>
      <c r="FM89" s="10"/>
      <c r="FN89" s="10"/>
      <c r="FO89" s="10"/>
      <c r="FP89" s="10"/>
      <c r="FQ89" s="10"/>
      <c r="FW89" s="4"/>
      <c r="FX89" s="5"/>
      <c r="FZ89" s="13"/>
      <c r="GA89" s="23"/>
      <c r="GB89" s="23"/>
      <c r="GC89" s="23"/>
      <c r="GD89" s="23"/>
      <c r="GE89" s="23"/>
      <c r="GF89" s="23"/>
      <c r="GG89" s="23"/>
      <c r="GH89" s="23"/>
      <c r="GI89" s="23"/>
      <c r="GJ89" s="23"/>
      <c r="GK89" s="23"/>
      <c r="GL89" s="23"/>
      <c r="GM89" s="23"/>
      <c r="GO89" s="5"/>
      <c r="GP89" s="5"/>
      <c r="GQ89" s="5"/>
      <c r="GR89" s="5"/>
      <c r="GS89" s="5"/>
      <c r="GT89" s="5"/>
      <c r="GU89" s="5"/>
      <c r="GV89" s="5"/>
      <c r="GW89" s="5"/>
      <c r="GX89" s="5"/>
      <c r="GY89" s="5"/>
      <c r="GZ89" s="5"/>
      <c r="HB89" s="13"/>
      <c r="HC89" s="4"/>
      <c r="HD89" s="4"/>
      <c r="HE89" s="4"/>
      <c r="HF89" s="4"/>
      <c r="HG89" s="4"/>
      <c r="HH89" s="4"/>
      <c r="HI89" s="4"/>
      <c r="HJ89" s="4"/>
      <c r="HK89" s="4"/>
      <c r="HL89" s="4"/>
      <c r="HM89" s="4"/>
      <c r="HN89" s="4"/>
    </row>
    <row r="90" spans="1:222" x14ac:dyDescent="0.2">
      <c r="FB90" s="10"/>
      <c r="FC90" s="10"/>
      <c r="FD90" s="10"/>
      <c r="FE90" s="10"/>
      <c r="FF90" s="10"/>
      <c r="FG90" s="10"/>
      <c r="FH90" s="10"/>
      <c r="FI90" s="10"/>
      <c r="FJ90" s="10"/>
      <c r="FK90" s="10"/>
      <c r="FL90" s="10"/>
      <c r="FM90" s="10"/>
      <c r="FN90" s="10"/>
      <c r="FO90" s="10"/>
      <c r="FP90" s="10"/>
      <c r="FQ90" s="10"/>
      <c r="FW90" s="4"/>
      <c r="FX90" s="5"/>
      <c r="FZ90" s="13"/>
      <c r="GA90" s="23"/>
      <c r="GB90" s="23"/>
      <c r="GC90" s="23"/>
      <c r="GD90" s="23"/>
      <c r="GE90" s="23"/>
      <c r="GF90" s="23"/>
      <c r="GG90" s="23"/>
      <c r="GH90" s="23"/>
      <c r="GI90" s="23"/>
      <c r="GJ90" s="23"/>
      <c r="GK90" s="23"/>
      <c r="GL90" s="23"/>
      <c r="GM90" s="23"/>
      <c r="GO90" s="5"/>
      <c r="GP90" s="5"/>
      <c r="GQ90" s="5"/>
      <c r="GR90" s="5"/>
      <c r="GS90" s="5"/>
      <c r="GT90" s="5"/>
      <c r="GU90" s="5"/>
      <c r="GV90" s="5"/>
      <c r="GW90" s="5"/>
      <c r="GX90" s="5"/>
      <c r="GY90" s="5"/>
      <c r="GZ90" s="5"/>
      <c r="HB90" s="13"/>
      <c r="HC90" s="4"/>
      <c r="HD90" s="4"/>
      <c r="HE90" s="4"/>
      <c r="HF90" s="4"/>
      <c r="HG90" s="4"/>
      <c r="HH90" s="4"/>
      <c r="HI90" s="4"/>
      <c r="HJ90" s="4"/>
      <c r="HK90" s="4"/>
      <c r="HL90" s="4"/>
      <c r="HM90" s="4"/>
      <c r="HN90" s="4"/>
    </row>
    <row r="91" spans="1:222" x14ac:dyDescent="0.2">
      <c r="FB91" s="10"/>
      <c r="FC91" s="10"/>
      <c r="FD91" s="10"/>
      <c r="FE91" s="10"/>
      <c r="FF91" s="10"/>
      <c r="FG91" s="10"/>
      <c r="FH91" s="10"/>
      <c r="FI91" s="10"/>
      <c r="FJ91" s="10"/>
      <c r="FK91" s="10"/>
      <c r="FL91" s="10"/>
      <c r="FM91" s="10"/>
      <c r="FN91" s="10"/>
      <c r="FO91" s="10"/>
      <c r="FP91" s="10"/>
      <c r="FQ91" s="10"/>
      <c r="FW91" s="4"/>
      <c r="FX91" s="5"/>
      <c r="FZ91" s="13"/>
      <c r="GA91" s="23"/>
      <c r="GB91" s="23"/>
      <c r="GC91" s="23"/>
      <c r="GD91" s="23"/>
      <c r="GE91" s="23"/>
      <c r="GF91" s="23"/>
      <c r="GG91" s="23"/>
      <c r="GH91" s="23"/>
      <c r="GI91" s="23"/>
      <c r="GJ91" s="23"/>
      <c r="GK91" s="23"/>
      <c r="GL91" s="23"/>
      <c r="GM91" s="23"/>
      <c r="GO91" s="5"/>
      <c r="GP91" s="5"/>
      <c r="GQ91" s="5"/>
      <c r="GR91" s="5"/>
      <c r="GS91" s="5"/>
      <c r="GT91" s="5"/>
      <c r="GU91" s="5"/>
      <c r="GV91" s="5"/>
      <c r="GW91" s="5"/>
      <c r="GX91" s="5"/>
      <c r="GY91" s="5"/>
      <c r="GZ91" s="5"/>
      <c r="HB91" s="13"/>
      <c r="HC91" s="4"/>
      <c r="HD91" s="4"/>
      <c r="HE91" s="4"/>
      <c r="HF91" s="4"/>
      <c r="HG91" s="4"/>
      <c r="HH91" s="4"/>
      <c r="HI91" s="4"/>
      <c r="HJ91" s="4"/>
      <c r="HK91" s="4"/>
      <c r="HL91" s="4"/>
      <c r="HM91" s="4"/>
      <c r="HN91" s="4"/>
    </row>
    <row r="92" spans="1:222" x14ac:dyDescent="0.2">
      <c r="FB92" s="10"/>
      <c r="FC92" s="10"/>
      <c r="FD92" s="10"/>
      <c r="FE92" s="10"/>
      <c r="FF92" s="10"/>
      <c r="FG92" s="10"/>
      <c r="FH92" s="10"/>
      <c r="FI92" s="10"/>
      <c r="FJ92" s="10"/>
      <c r="FK92" s="10"/>
      <c r="FL92" s="10"/>
      <c r="FM92" s="10"/>
      <c r="FN92" s="10"/>
      <c r="FO92" s="10"/>
      <c r="FP92" s="10"/>
      <c r="FQ92" s="10"/>
      <c r="FW92" s="4"/>
      <c r="FX92" s="5"/>
      <c r="FZ92" s="13"/>
      <c r="GA92" s="23"/>
      <c r="GB92" s="23"/>
      <c r="GC92" s="23"/>
      <c r="GD92" s="23"/>
      <c r="GE92" s="23"/>
      <c r="GF92" s="23"/>
      <c r="GG92" s="23"/>
      <c r="GH92" s="23"/>
      <c r="GI92" s="23"/>
      <c r="GJ92" s="23"/>
      <c r="GK92" s="23"/>
      <c r="GL92" s="23"/>
      <c r="GM92" s="23"/>
      <c r="GO92" s="5"/>
      <c r="GP92" s="5"/>
      <c r="GQ92" s="5"/>
      <c r="GR92" s="5"/>
      <c r="GS92" s="5"/>
      <c r="GT92" s="5"/>
      <c r="GU92" s="5"/>
      <c r="GV92" s="5"/>
      <c r="GW92" s="5"/>
      <c r="GX92" s="5"/>
      <c r="GY92" s="5"/>
      <c r="GZ92" s="5"/>
      <c r="HB92" s="13"/>
      <c r="HC92" s="4"/>
      <c r="HD92" s="4"/>
      <c r="HE92" s="4"/>
      <c r="HF92" s="4"/>
      <c r="HG92" s="4"/>
      <c r="HH92" s="4"/>
      <c r="HI92" s="4"/>
      <c r="HJ92" s="4"/>
      <c r="HK92" s="4"/>
      <c r="HL92" s="4"/>
      <c r="HM92" s="4"/>
      <c r="HN92" s="4"/>
    </row>
    <row r="93" spans="1:222" x14ac:dyDescent="0.2">
      <c r="FB93" s="10"/>
      <c r="FC93" s="10"/>
      <c r="FD93" s="10"/>
      <c r="FE93" s="10"/>
      <c r="FF93" s="10"/>
      <c r="FG93" s="10"/>
      <c r="FH93" s="10"/>
      <c r="FI93" s="10"/>
      <c r="FJ93" s="10"/>
      <c r="FK93" s="10"/>
      <c r="FL93" s="10"/>
      <c r="FM93" s="10"/>
      <c r="FN93" s="10"/>
      <c r="FO93" s="10"/>
      <c r="FP93" s="10"/>
      <c r="FQ93" s="10"/>
      <c r="FW93" s="4"/>
      <c r="FX93" s="5"/>
      <c r="FZ93" s="13"/>
      <c r="GA93" s="23"/>
      <c r="GB93" s="23"/>
      <c r="GC93" s="23"/>
      <c r="GD93" s="23"/>
      <c r="GE93" s="23"/>
      <c r="GF93" s="23"/>
      <c r="GG93" s="23"/>
      <c r="GH93" s="23"/>
      <c r="GI93" s="23"/>
      <c r="GJ93" s="23"/>
      <c r="GK93" s="23"/>
      <c r="GL93" s="23"/>
      <c r="GM93" s="23"/>
      <c r="GO93" s="5"/>
      <c r="GP93" s="5"/>
      <c r="GQ93" s="5"/>
      <c r="GR93" s="5"/>
      <c r="GS93" s="5"/>
      <c r="GT93" s="5"/>
      <c r="GU93" s="5"/>
      <c r="GV93" s="5"/>
      <c r="GW93" s="5"/>
      <c r="GX93" s="5"/>
      <c r="GY93" s="5"/>
      <c r="GZ93" s="5"/>
      <c r="HB93" s="13"/>
      <c r="HC93" s="4"/>
      <c r="HD93" s="4"/>
      <c r="HE93" s="4"/>
      <c r="HF93" s="4"/>
      <c r="HG93" s="4"/>
      <c r="HH93" s="4"/>
      <c r="HI93" s="4"/>
      <c r="HJ93" s="4"/>
      <c r="HK93" s="4"/>
      <c r="HL93" s="4"/>
      <c r="HM93" s="4"/>
      <c r="HN93" s="4"/>
    </row>
    <row r="94" spans="1:222" x14ac:dyDescent="0.2">
      <c r="FB94" s="10"/>
      <c r="FC94" s="10"/>
      <c r="FD94" s="10"/>
      <c r="FE94" s="10"/>
      <c r="FF94" s="10"/>
      <c r="FG94" s="10"/>
      <c r="FH94" s="10"/>
      <c r="FI94" s="10"/>
      <c r="FJ94" s="10"/>
      <c r="FK94" s="10"/>
      <c r="FL94" s="10"/>
      <c r="FM94" s="10"/>
      <c r="FN94" s="10"/>
      <c r="FO94" s="10"/>
      <c r="FP94" s="10"/>
      <c r="FQ94" s="10"/>
      <c r="FW94" s="4"/>
      <c r="FX94" s="5"/>
      <c r="FZ94" s="13"/>
      <c r="GA94" s="23"/>
      <c r="GB94" s="23"/>
      <c r="GC94" s="23"/>
      <c r="GD94" s="23"/>
      <c r="GE94" s="23"/>
      <c r="GF94" s="23"/>
      <c r="GG94" s="23"/>
      <c r="GH94" s="23"/>
      <c r="GI94" s="23"/>
      <c r="GJ94" s="23"/>
      <c r="GK94" s="23"/>
      <c r="GL94" s="23"/>
      <c r="GM94" s="23"/>
      <c r="GO94" s="5"/>
      <c r="GP94" s="5"/>
      <c r="GQ94" s="5"/>
      <c r="GR94" s="5"/>
      <c r="GS94" s="5"/>
      <c r="GT94" s="5"/>
      <c r="GU94" s="5"/>
      <c r="GV94" s="5"/>
      <c r="GW94" s="5"/>
      <c r="GX94" s="5"/>
      <c r="GY94" s="5"/>
      <c r="GZ94" s="5"/>
      <c r="HB94" s="13"/>
      <c r="HC94" s="4"/>
      <c r="HD94" s="4"/>
      <c r="HE94" s="4"/>
      <c r="HF94" s="4"/>
      <c r="HG94" s="4"/>
      <c r="HH94" s="4"/>
      <c r="HI94" s="4"/>
      <c r="HJ94" s="4"/>
      <c r="HK94" s="4"/>
      <c r="HL94" s="4"/>
      <c r="HM94" s="4"/>
      <c r="HN94" s="4"/>
    </row>
    <row r="95" spans="1:222" x14ac:dyDescent="0.2">
      <c r="FB95" s="10"/>
      <c r="FC95" s="10"/>
      <c r="FD95" s="10"/>
      <c r="FE95" s="10"/>
      <c r="FF95" s="10"/>
      <c r="FG95" s="10"/>
      <c r="FH95" s="10"/>
      <c r="FI95" s="10"/>
      <c r="FJ95" s="10"/>
      <c r="FK95" s="10"/>
      <c r="FL95" s="10"/>
      <c r="FM95" s="10"/>
      <c r="FN95" s="10"/>
      <c r="FO95" s="10"/>
      <c r="FP95" s="10"/>
      <c r="FQ95" s="10"/>
      <c r="FW95" s="4"/>
      <c r="FX95" s="5"/>
      <c r="FZ95" s="13"/>
      <c r="GA95" s="23"/>
      <c r="GB95" s="23"/>
      <c r="GC95" s="23"/>
      <c r="GD95" s="23"/>
      <c r="GE95" s="23"/>
      <c r="GF95" s="23"/>
      <c r="GG95" s="23"/>
      <c r="GH95" s="23"/>
      <c r="GI95" s="23"/>
      <c r="GJ95" s="23"/>
      <c r="GK95" s="23"/>
      <c r="GL95" s="23"/>
      <c r="GM95" s="23"/>
      <c r="GO95" s="5"/>
      <c r="GP95" s="5"/>
      <c r="GQ95" s="5"/>
      <c r="GR95" s="5"/>
      <c r="GS95" s="5"/>
      <c r="GT95" s="5"/>
      <c r="GU95" s="5"/>
      <c r="GV95" s="5"/>
      <c r="GW95" s="5"/>
      <c r="GX95" s="5"/>
      <c r="GY95" s="5"/>
      <c r="GZ95" s="5"/>
      <c r="HB95" s="13"/>
      <c r="HC95" s="4"/>
      <c r="HD95" s="4"/>
      <c r="HE95" s="4"/>
      <c r="HF95" s="4"/>
      <c r="HG95" s="4"/>
      <c r="HH95" s="4"/>
      <c r="HI95" s="4"/>
      <c r="HJ95" s="4"/>
      <c r="HK95" s="4"/>
      <c r="HL95" s="4"/>
      <c r="HM95" s="4"/>
      <c r="HN95" s="4"/>
    </row>
    <row r="96" spans="1:222" x14ac:dyDescent="0.2">
      <c r="FB96" s="10"/>
      <c r="FC96" s="10"/>
      <c r="FD96" s="10"/>
      <c r="FE96" s="10"/>
      <c r="FF96" s="10"/>
      <c r="FG96" s="10"/>
      <c r="FH96" s="10"/>
      <c r="FI96" s="10"/>
      <c r="FJ96" s="10"/>
      <c r="FK96" s="10"/>
      <c r="FL96" s="10"/>
      <c r="FM96" s="10"/>
      <c r="FN96" s="10"/>
      <c r="FO96" s="10"/>
      <c r="FP96" s="10"/>
      <c r="FQ96" s="10"/>
      <c r="FW96" s="4"/>
      <c r="FX96" s="5"/>
      <c r="FZ96" s="13"/>
      <c r="GA96" s="23"/>
      <c r="GB96" s="23"/>
      <c r="GC96" s="23"/>
      <c r="GD96" s="23"/>
      <c r="GE96" s="23"/>
      <c r="GF96" s="23"/>
      <c r="GG96" s="23"/>
      <c r="GH96" s="23"/>
      <c r="GI96" s="23"/>
      <c r="GJ96" s="23"/>
      <c r="GK96" s="23"/>
      <c r="GL96" s="23"/>
      <c r="GM96" s="23"/>
      <c r="GO96" s="5"/>
      <c r="GP96" s="5"/>
      <c r="GQ96" s="5"/>
      <c r="GR96" s="5"/>
      <c r="GS96" s="5"/>
      <c r="GT96" s="5"/>
      <c r="GU96" s="5"/>
      <c r="GV96" s="5"/>
      <c r="GW96" s="5"/>
      <c r="GX96" s="5"/>
      <c r="GY96" s="5"/>
      <c r="GZ96" s="5"/>
      <c r="HB96" s="13"/>
      <c r="HC96" s="4"/>
      <c r="HD96" s="4"/>
      <c r="HE96" s="4"/>
      <c r="HF96" s="4"/>
      <c r="HG96" s="4"/>
      <c r="HH96" s="4"/>
      <c r="HI96" s="4"/>
      <c r="HJ96" s="4"/>
      <c r="HK96" s="4"/>
      <c r="HL96" s="4"/>
      <c r="HM96" s="4"/>
      <c r="HN96" s="4"/>
    </row>
    <row r="97" spans="158:222" x14ac:dyDescent="0.2">
      <c r="FB97" s="10"/>
      <c r="FC97" s="10"/>
      <c r="FD97" s="10"/>
      <c r="FE97" s="10"/>
      <c r="FF97" s="10"/>
      <c r="FG97" s="10"/>
      <c r="FH97" s="10"/>
      <c r="FI97" s="10"/>
      <c r="FJ97" s="10"/>
      <c r="FK97" s="10"/>
      <c r="FL97" s="10"/>
      <c r="FM97" s="10"/>
      <c r="FN97" s="10"/>
      <c r="FO97" s="10"/>
      <c r="FP97" s="10"/>
      <c r="FQ97" s="10"/>
      <c r="FW97" s="4"/>
      <c r="FX97" s="5"/>
      <c r="FZ97" s="13"/>
      <c r="GA97" s="23"/>
      <c r="GB97" s="23"/>
      <c r="GC97" s="23"/>
      <c r="GD97" s="23"/>
      <c r="GE97" s="23"/>
      <c r="GF97" s="23"/>
      <c r="GG97" s="23"/>
      <c r="GH97" s="23"/>
      <c r="GI97" s="23"/>
      <c r="GJ97" s="23"/>
      <c r="GK97" s="23"/>
      <c r="GL97" s="23"/>
      <c r="GM97" s="23"/>
      <c r="GO97" s="5"/>
      <c r="GP97" s="5"/>
      <c r="GQ97" s="5"/>
      <c r="GR97" s="5"/>
      <c r="GS97" s="5"/>
      <c r="GT97" s="5"/>
      <c r="GU97" s="5"/>
      <c r="GV97" s="5"/>
      <c r="GW97" s="5"/>
      <c r="GX97" s="5"/>
      <c r="GY97" s="5"/>
      <c r="GZ97" s="5"/>
      <c r="HB97" s="13"/>
      <c r="HC97" s="4"/>
      <c r="HD97" s="4"/>
      <c r="HE97" s="4"/>
      <c r="HF97" s="4"/>
      <c r="HG97" s="4"/>
      <c r="HH97" s="4"/>
      <c r="HI97" s="4"/>
      <c r="HJ97" s="4"/>
      <c r="HK97" s="4"/>
      <c r="HL97" s="4"/>
      <c r="HM97" s="4"/>
      <c r="HN97" s="4"/>
    </row>
    <row r="98" spans="158:222" x14ac:dyDescent="0.2">
      <c r="FB98" s="10"/>
      <c r="FC98" s="10"/>
      <c r="FD98" s="10"/>
      <c r="FE98" s="10"/>
      <c r="FF98" s="10"/>
      <c r="FG98" s="10"/>
      <c r="FH98" s="10"/>
      <c r="FI98" s="10"/>
      <c r="FJ98" s="10"/>
      <c r="FK98" s="10"/>
      <c r="FL98" s="10"/>
      <c r="FM98" s="10"/>
      <c r="FN98" s="10"/>
      <c r="FO98" s="10"/>
      <c r="FP98" s="10"/>
      <c r="FQ98" s="10"/>
      <c r="FW98" s="4"/>
      <c r="FX98" s="5"/>
      <c r="FZ98" s="13"/>
      <c r="GA98" s="23"/>
      <c r="GB98" s="23"/>
      <c r="GC98" s="23"/>
      <c r="GD98" s="23"/>
      <c r="GE98" s="23"/>
      <c r="GF98" s="23"/>
      <c r="GG98" s="23"/>
      <c r="GH98" s="23"/>
      <c r="GI98" s="23"/>
      <c r="GJ98" s="23"/>
      <c r="GK98" s="23"/>
      <c r="GL98" s="23"/>
      <c r="GM98" s="23"/>
      <c r="GO98" s="5"/>
      <c r="GP98" s="5"/>
      <c r="GQ98" s="5"/>
      <c r="GR98" s="5"/>
      <c r="GS98" s="5"/>
      <c r="GT98" s="5"/>
      <c r="GU98" s="5"/>
      <c r="GV98" s="5"/>
      <c r="GW98" s="5"/>
      <c r="GX98" s="5"/>
      <c r="GY98" s="5"/>
      <c r="GZ98" s="5"/>
      <c r="HB98" s="13"/>
      <c r="HC98" s="4"/>
      <c r="HD98" s="4"/>
      <c r="HE98" s="4"/>
      <c r="HF98" s="4"/>
      <c r="HG98" s="4"/>
      <c r="HH98" s="4"/>
      <c r="HI98" s="4"/>
      <c r="HJ98" s="4"/>
      <c r="HK98" s="4"/>
      <c r="HL98" s="4"/>
      <c r="HM98" s="4"/>
      <c r="HN98" s="4"/>
    </row>
    <row r="99" spans="158:222" x14ac:dyDescent="0.2">
      <c r="FB99" s="10"/>
      <c r="FC99" s="10"/>
      <c r="FD99" s="10"/>
      <c r="FE99" s="10"/>
      <c r="FF99" s="10"/>
      <c r="FG99" s="10"/>
      <c r="FH99" s="10"/>
      <c r="FI99" s="10"/>
      <c r="FJ99" s="10"/>
      <c r="FK99" s="10"/>
      <c r="FL99" s="10"/>
      <c r="FM99" s="10"/>
      <c r="FN99" s="10"/>
      <c r="FO99" s="10"/>
      <c r="FP99" s="10"/>
      <c r="FQ99" s="10"/>
      <c r="FW99" s="4"/>
      <c r="FX99" s="5"/>
      <c r="FZ99" s="13"/>
      <c r="GA99" s="23"/>
      <c r="GB99" s="23"/>
      <c r="GC99" s="23"/>
      <c r="GD99" s="23"/>
      <c r="GE99" s="23"/>
      <c r="GF99" s="23"/>
      <c r="GG99" s="23"/>
      <c r="GH99" s="23"/>
      <c r="GI99" s="23"/>
      <c r="GJ99" s="23"/>
      <c r="GK99" s="23"/>
      <c r="GL99" s="23"/>
      <c r="GM99" s="23"/>
      <c r="GO99" s="5"/>
      <c r="GP99" s="5"/>
      <c r="GQ99" s="5"/>
      <c r="GR99" s="5"/>
      <c r="GS99" s="5"/>
      <c r="GT99" s="5"/>
      <c r="GU99" s="5"/>
      <c r="GV99" s="5"/>
      <c r="GW99" s="5"/>
      <c r="GX99" s="5"/>
      <c r="GY99" s="5"/>
      <c r="GZ99" s="5"/>
      <c r="HB99" s="13"/>
      <c r="HC99" s="4"/>
      <c r="HD99" s="4"/>
      <c r="HE99" s="4"/>
      <c r="HF99" s="4"/>
      <c r="HG99" s="4"/>
      <c r="HH99" s="4"/>
      <c r="HI99" s="4"/>
      <c r="HJ99" s="4"/>
      <c r="HK99" s="4"/>
      <c r="HL99" s="4"/>
      <c r="HM99" s="4"/>
      <c r="HN99" s="4"/>
    </row>
    <row r="100" spans="158:222" x14ac:dyDescent="0.2">
      <c r="FB100" s="10"/>
      <c r="FC100" s="10"/>
      <c r="FD100" s="10"/>
      <c r="FE100" s="10"/>
      <c r="FF100" s="10"/>
      <c r="FG100" s="10"/>
      <c r="FH100" s="10"/>
      <c r="FI100" s="10"/>
      <c r="FJ100" s="10"/>
      <c r="FK100" s="10"/>
      <c r="FL100" s="10"/>
      <c r="FM100" s="10"/>
      <c r="FN100" s="10"/>
      <c r="FO100" s="10"/>
      <c r="FP100" s="10"/>
      <c r="FQ100" s="10"/>
      <c r="FW100" s="4"/>
      <c r="FX100" s="5"/>
      <c r="FZ100" s="13"/>
      <c r="GA100" s="23"/>
      <c r="GB100" s="23"/>
      <c r="GC100" s="23"/>
      <c r="GD100" s="23"/>
      <c r="GE100" s="23"/>
      <c r="GF100" s="23"/>
      <c r="GG100" s="23"/>
      <c r="GH100" s="23"/>
      <c r="GI100" s="23"/>
      <c r="GJ100" s="23"/>
      <c r="GK100" s="23"/>
      <c r="GL100" s="23"/>
      <c r="GM100" s="23"/>
      <c r="GO100" s="5"/>
      <c r="GP100" s="5"/>
      <c r="GQ100" s="5"/>
      <c r="GR100" s="5"/>
      <c r="GS100" s="5"/>
      <c r="GT100" s="5"/>
      <c r="GU100" s="5"/>
      <c r="GV100" s="5"/>
      <c r="GW100" s="5"/>
      <c r="GX100" s="5"/>
      <c r="GY100" s="5"/>
      <c r="GZ100" s="5"/>
      <c r="HB100" s="13"/>
      <c r="HC100" s="4"/>
      <c r="HD100" s="4"/>
      <c r="HE100" s="4"/>
      <c r="HF100" s="4"/>
      <c r="HG100" s="4"/>
      <c r="HH100" s="4"/>
      <c r="HI100" s="4"/>
      <c r="HJ100" s="4"/>
      <c r="HK100" s="4"/>
      <c r="HL100" s="4"/>
      <c r="HM100" s="4"/>
      <c r="HN100" s="4"/>
    </row>
    <row r="101" spans="158:222" x14ac:dyDescent="0.2">
      <c r="FB101" s="10"/>
      <c r="FC101" s="10"/>
      <c r="FD101" s="10"/>
      <c r="FE101" s="10"/>
      <c r="FF101" s="10"/>
      <c r="FG101" s="10"/>
      <c r="FH101" s="10"/>
      <c r="FI101" s="10"/>
      <c r="FJ101" s="10"/>
      <c r="FK101" s="10"/>
      <c r="FL101" s="10"/>
      <c r="FM101" s="10"/>
      <c r="FN101" s="10"/>
      <c r="FO101" s="10"/>
      <c r="FP101" s="10"/>
      <c r="FQ101" s="10"/>
      <c r="FW101" s="4"/>
      <c r="FX101" s="5"/>
      <c r="FZ101" s="13"/>
      <c r="GA101" s="23"/>
      <c r="GB101" s="23"/>
      <c r="GC101" s="23"/>
      <c r="GD101" s="23"/>
      <c r="GE101" s="23"/>
      <c r="GF101" s="23"/>
      <c r="GG101" s="23"/>
      <c r="GH101" s="23"/>
      <c r="GI101" s="23"/>
      <c r="GJ101" s="23"/>
      <c r="GK101" s="23"/>
      <c r="GL101" s="23"/>
      <c r="GM101" s="23"/>
      <c r="GO101" s="5"/>
      <c r="GP101" s="5"/>
      <c r="GQ101" s="5"/>
      <c r="GR101" s="5"/>
      <c r="GS101" s="5"/>
      <c r="GT101" s="5"/>
      <c r="GU101" s="5"/>
      <c r="GV101" s="5"/>
      <c r="GW101" s="5"/>
      <c r="GX101" s="5"/>
      <c r="GY101" s="5"/>
      <c r="GZ101" s="5"/>
      <c r="HB101" s="13"/>
      <c r="HC101" s="4"/>
      <c r="HD101" s="4"/>
      <c r="HE101" s="4"/>
      <c r="HF101" s="4"/>
      <c r="HG101" s="4"/>
      <c r="HH101" s="4"/>
      <c r="HI101" s="4"/>
      <c r="HJ101" s="4"/>
      <c r="HK101" s="4"/>
      <c r="HL101" s="4"/>
      <c r="HM101" s="4"/>
      <c r="HN101" s="4"/>
    </row>
    <row r="102" spans="158:222" x14ac:dyDescent="0.2">
      <c r="FB102" s="10"/>
      <c r="FC102" s="10"/>
      <c r="FD102" s="10"/>
      <c r="FE102" s="10"/>
      <c r="FF102" s="10"/>
      <c r="FG102" s="10"/>
      <c r="FH102" s="10"/>
      <c r="FI102" s="10"/>
      <c r="FJ102" s="10"/>
      <c r="FK102" s="10"/>
      <c r="FL102" s="10"/>
      <c r="FM102" s="10"/>
      <c r="FN102" s="10"/>
      <c r="FO102" s="10"/>
      <c r="FP102" s="10"/>
      <c r="FQ102" s="10"/>
      <c r="FW102" s="4"/>
      <c r="FX102" s="5"/>
      <c r="FZ102" s="13"/>
      <c r="GA102" s="23"/>
      <c r="GB102" s="23"/>
      <c r="GC102" s="23"/>
      <c r="GD102" s="23"/>
      <c r="GE102" s="23"/>
      <c r="GF102" s="23"/>
      <c r="GG102" s="23"/>
      <c r="GH102" s="23"/>
      <c r="GI102" s="23"/>
      <c r="GJ102" s="23"/>
      <c r="GK102" s="23"/>
      <c r="GL102" s="23"/>
      <c r="GM102" s="23"/>
      <c r="GO102" s="5"/>
      <c r="GP102" s="5"/>
      <c r="GQ102" s="5"/>
      <c r="GR102" s="5"/>
      <c r="GS102" s="5"/>
      <c r="GT102" s="5"/>
      <c r="GU102" s="5"/>
      <c r="GV102" s="5"/>
      <c r="GW102" s="5"/>
      <c r="GX102" s="5"/>
      <c r="GY102" s="5"/>
      <c r="GZ102" s="5"/>
      <c r="HB102" s="13"/>
      <c r="HC102" s="4"/>
      <c r="HD102" s="4"/>
      <c r="HE102" s="4"/>
      <c r="HF102" s="4"/>
      <c r="HG102" s="4"/>
      <c r="HH102" s="4"/>
      <c r="HI102" s="4"/>
      <c r="HJ102" s="4"/>
      <c r="HK102" s="4"/>
      <c r="HL102" s="4"/>
      <c r="HM102" s="4"/>
      <c r="HN102" s="4"/>
    </row>
    <row r="103" spans="158:222" x14ac:dyDescent="0.2">
      <c r="FB103" s="10"/>
      <c r="FC103" s="10"/>
      <c r="FD103" s="10"/>
      <c r="FE103" s="10"/>
      <c r="FF103" s="10"/>
      <c r="FG103" s="10"/>
      <c r="FH103" s="10"/>
      <c r="FI103" s="10"/>
      <c r="FJ103" s="10"/>
      <c r="FK103" s="10"/>
      <c r="FL103" s="10"/>
      <c r="FM103" s="10"/>
      <c r="FN103" s="10"/>
      <c r="FO103" s="10"/>
      <c r="FP103" s="10"/>
      <c r="FQ103" s="10"/>
      <c r="FW103" s="4"/>
      <c r="FX103" s="5"/>
      <c r="FZ103" s="13"/>
      <c r="GA103" s="23"/>
      <c r="GB103" s="23"/>
      <c r="GC103" s="23"/>
      <c r="GD103" s="23"/>
      <c r="GE103" s="23"/>
      <c r="GF103" s="23"/>
      <c r="GG103" s="23"/>
      <c r="GH103" s="23"/>
      <c r="GI103" s="23"/>
      <c r="GJ103" s="23"/>
      <c r="GK103" s="23"/>
      <c r="GL103" s="23"/>
      <c r="GM103" s="23"/>
      <c r="GO103" s="5"/>
      <c r="GP103" s="5"/>
      <c r="GQ103" s="5"/>
      <c r="GR103" s="5"/>
      <c r="GS103" s="5"/>
      <c r="GT103" s="5"/>
      <c r="GU103" s="5"/>
      <c r="GV103" s="5"/>
      <c r="GW103" s="5"/>
      <c r="GX103" s="5"/>
      <c r="GY103" s="5"/>
      <c r="GZ103" s="5"/>
      <c r="HB103" s="13"/>
      <c r="HC103" s="4"/>
      <c r="HD103" s="4"/>
      <c r="HE103" s="4"/>
      <c r="HF103" s="4"/>
      <c r="HG103" s="4"/>
      <c r="HH103" s="4"/>
      <c r="HI103" s="4"/>
      <c r="HJ103" s="4"/>
      <c r="HK103" s="4"/>
      <c r="HL103" s="4"/>
      <c r="HM103" s="4"/>
      <c r="HN103" s="4"/>
    </row>
    <row r="104" spans="158:222" x14ac:dyDescent="0.2">
      <c r="FB104" s="10"/>
      <c r="FC104" s="10"/>
      <c r="FD104" s="10"/>
      <c r="FE104" s="10"/>
      <c r="FF104" s="10"/>
      <c r="FG104" s="10"/>
      <c r="FH104" s="10"/>
      <c r="FI104" s="10"/>
      <c r="FJ104" s="10"/>
      <c r="FK104" s="10"/>
      <c r="FL104" s="10"/>
      <c r="FM104" s="10"/>
      <c r="FN104" s="10"/>
      <c r="FO104" s="10"/>
      <c r="FP104" s="10"/>
      <c r="FQ104" s="10"/>
      <c r="FW104" s="4"/>
      <c r="FX104" s="5"/>
      <c r="FZ104" s="13"/>
      <c r="GA104" s="23"/>
      <c r="GB104" s="23"/>
      <c r="GC104" s="23"/>
      <c r="GD104" s="23"/>
      <c r="GE104" s="23"/>
      <c r="GF104" s="23"/>
      <c r="GG104" s="23"/>
      <c r="GH104" s="23"/>
      <c r="GI104" s="23"/>
      <c r="GJ104" s="23"/>
      <c r="GK104" s="23"/>
      <c r="GL104" s="23"/>
      <c r="GM104" s="23"/>
      <c r="GO104" s="5"/>
      <c r="GP104" s="5"/>
      <c r="GQ104" s="5"/>
      <c r="GR104" s="5"/>
      <c r="GS104" s="5"/>
      <c r="GT104" s="5"/>
      <c r="GU104" s="5"/>
      <c r="GV104" s="5"/>
      <c r="GW104" s="5"/>
      <c r="GX104" s="5"/>
      <c r="GY104" s="5"/>
      <c r="GZ104" s="5"/>
      <c r="HB104" s="13"/>
      <c r="HC104" s="4"/>
      <c r="HD104" s="4"/>
      <c r="HE104" s="4"/>
      <c r="HF104" s="4"/>
      <c r="HG104" s="4"/>
      <c r="HH104" s="4"/>
      <c r="HI104" s="4"/>
      <c r="HJ104" s="4"/>
      <c r="HK104" s="4"/>
      <c r="HL104" s="4"/>
      <c r="HM104" s="4"/>
      <c r="HN104" s="4"/>
    </row>
    <row r="105" spans="158:222" x14ac:dyDescent="0.2">
      <c r="FB105" s="10"/>
      <c r="FC105" s="10"/>
      <c r="FD105" s="10"/>
      <c r="FE105" s="10"/>
      <c r="FF105" s="10"/>
      <c r="FG105" s="10"/>
      <c r="FH105" s="10"/>
      <c r="FI105" s="10"/>
      <c r="FJ105" s="10"/>
      <c r="FK105" s="10"/>
      <c r="FL105" s="10"/>
      <c r="FM105" s="10"/>
      <c r="FN105" s="10"/>
      <c r="FO105" s="10"/>
      <c r="FP105" s="10"/>
      <c r="FQ105" s="10"/>
      <c r="FW105" s="4"/>
      <c r="FX105" s="5"/>
      <c r="FZ105" s="13"/>
      <c r="GA105" s="23"/>
      <c r="GB105" s="23"/>
      <c r="GC105" s="23"/>
      <c r="GD105" s="23"/>
      <c r="GE105" s="23"/>
      <c r="GF105" s="23"/>
      <c r="GG105" s="23"/>
      <c r="GH105" s="23"/>
      <c r="GI105" s="23"/>
      <c r="GJ105" s="23"/>
      <c r="GK105" s="23"/>
      <c r="GL105" s="23"/>
      <c r="GM105" s="23"/>
      <c r="GO105" s="5"/>
      <c r="GP105" s="5"/>
      <c r="GQ105" s="5"/>
      <c r="GR105" s="5"/>
      <c r="GS105" s="5"/>
      <c r="GT105" s="5"/>
      <c r="GU105" s="5"/>
      <c r="GV105" s="5"/>
      <c r="GW105" s="5"/>
      <c r="GX105" s="5"/>
      <c r="GY105" s="5"/>
      <c r="GZ105" s="5"/>
      <c r="HB105" s="13"/>
      <c r="HC105" s="4"/>
      <c r="HD105" s="4"/>
      <c r="HE105" s="4"/>
      <c r="HF105" s="4"/>
      <c r="HG105" s="4"/>
      <c r="HH105" s="4"/>
      <c r="HI105" s="4"/>
      <c r="HJ105" s="4"/>
      <c r="HK105" s="4"/>
      <c r="HL105" s="4"/>
      <c r="HM105" s="4"/>
      <c r="HN105" s="4"/>
    </row>
    <row r="106" spans="158:222" x14ac:dyDescent="0.2">
      <c r="FB106" s="10"/>
      <c r="FC106" s="10"/>
      <c r="FD106" s="10"/>
      <c r="FE106" s="10"/>
      <c r="FF106" s="10"/>
      <c r="FG106" s="10"/>
      <c r="FH106" s="10"/>
      <c r="FI106" s="10"/>
      <c r="FJ106" s="10"/>
      <c r="FK106" s="10"/>
      <c r="FL106" s="10"/>
      <c r="FM106" s="10"/>
      <c r="FN106" s="10"/>
      <c r="FO106" s="10"/>
      <c r="FP106" s="10"/>
      <c r="FQ106" s="10"/>
      <c r="FW106" s="4"/>
      <c r="FX106" s="5"/>
      <c r="FZ106" s="13"/>
      <c r="GA106" s="23"/>
      <c r="GB106" s="23"/>
      <c r="GC106" s="23"/>
      <c r="GD106" s="23"/>
      <c r="GE106" s="23"/>
      <c r="GF106" s="23"/>
      <c r="GG106" s="23"/>
      <c r="GH106" s="23"/>
      <c r="GI106" s="23"/>
      <c r="GJ106" s="23"/>
      <c r="GK106" s="23"/>
      <c r="GL106" s="23"/>
      <c r="GM106" s="23"/>
      <c r="GO106" s="5"/>
      <c r="GP106" s="5"/>
      <c r="GQ106" s="5"/>
      <c r="GR106" s="5"/>
      <c r="GS106" s="5"/>
      <c r="GT106" s="5"/>
      <c r="GU106" s="5"/>
      <c r="GV106" s="5"/>
      <c r="GW106" s="5"/>
      <c r="GX106" s="5"/>
      <c r="GY106" s="5"/>
      <c r="GZ106" s="5"/>
      <c r="HB106" s="13"/>
      <c r="HC106" s="4"/>
      <c r="HD106" s="4"/>
      <c r="HE106" s="4"/>
      <c r="HF106" s="4"/>
      <c r="HG106" s="4"/>
      <c r="HH106" s="4"/>
      <c r="HI106" s="4"/>
      <c r="HJ106" s="4"/>
      <c r="HK106" s="4"/>
      <c r="HL106" s="4"/>
      <c r="HM106" s="4"/>
      <c r="HN106" s="4"/>
    </row>
    <row r="107" spans="158:222" x14ac:dyDescent="0.2">
      <c r="FB107" s="10"/>
      <c r="FC107" s="10"/>
      <c r="FD107" s="10"/>
      <c r="FE107" s="10"/>
      <c r="FF107" s="10"/>
      <c r="FG107" s="10"/>
      <c r="FH107" s="10"/>
      <c r="FI107" s="10"/>
      <c r="FJ107" s="10"/>
      <c r="FK107" s="10"/>
      <c r="FL107" s="10"/>
      <c r="FM107" s="10"/>
      <c r="FN107" s="10"/>
      <c r="FO107" s="10"/>
      <c r="FP107" s="10"/>
      <c r="FQ107" s="10"/>
      <c r="FW107" s="4"/>
      <c r="FX107" s="5"/>
      <c r="FZ107" s="13"/>
      <c r="GA107" s="23"/>
      <c r="GB107" s="23"/>
      <c r="GC107" s="23"/>
      <c r="GD107" s="23"/>
      <c r="GE107" s="23"/>
      <c r="GF107" s="23"/>
      <c r="GG107" s="23"/>
      <c r="GH107" s="23"/>
      <c r="GI107" s="23"/>
      <c r="GJ107" s="23"/>
      <c r="GK107" s="23"/>
      <c r="GL107" s="23"/>
      <c r="GM107" s="23"/>
      <c r="GO107" s="5"/>
      <c r="GP107" s="5"/>
      <c r="GQ107" s="5"/>
      <c r="GR107" s="5"/>
      <c r="GS107" s="5"/>
      <c r="GT107" s="5"/>
      <c r="GU107" s="5"/>
      <c r="GV107" s="5"/>
      <c r="GW107" s="5"/>
      <c r="GX107" s="5"/>
      <c r="GY107" s="5"/>
      <c r="GZ107" s="5"/>
      <c r="HB107" s="13"/>
      <c r="HC107" s="4"/>
      <c r="HD107" s="4"/>
      <c r="HE107" s="4"/>
      <c r="HF107" s="4"/>
      <c r="HG107" s="4"/>
      <c r="HH107" s="4"/>
      <c r="HI107" s="4"/>
      <c r="HJ107" s="4"/>
      <c r="HK107" s="4"/>
      <c r="HL107" s="4"/>
      <c r="HM107" s="4"/>
      <c r="HN107" s="4"/>
    </row>
    <row r="108" spans="158:222" x14ac:dyDescent="0.2">
      <c r="FB108" s="10"/>
      <c r="FC108" s="10"/>
      <c r="FD108" s="10"/>
      <c r="FE108" s="10"/>
      <c r="FF108" s="10"/>
      <c r="FG108" s="10"/>
      <c r="FH108" s="10"/>
      <c r="FI108" s="10"/>
      <c r="FJ108" s="10"/>
      <c r="FK108" s="10"/>
      <c r="FL108" s="10"/>
      <c r="FM108" s="10"/>
      <c r="FN108" s="10"/>
      <c r="FO108" s="10"/>
      <c r="FP108" s="10"/>
      <c r="FQ108" s="10"/>
      <c r="FW108" s="4"/>
      <c r="FX108" s="5"/>
      <c r="FZ108" s="13"/>
      <c r="GA108" s="23"/>
      <c r="GB108" s="23"/>
      <c r="GC108" s="23"/>
      <c r="GD108" s="23"/>
      <c r="GE108" s="23"/>
      <c r="GF108" s="23"/>
      <c r="GG108" s="23"/>
      <c r="GH108" s="23"/>
      <c r="GI108" s="23"/>
      <c r="GJ108" s="23"/>
      <c r="GK108" s="23"/>
      <c r="GL108" s="23"/>
      <c r="GM108" s="23"/>
      <c r="GO108" s="5"/>
      <c r="GP108" s="5"/>
      <c r="GQ108" s="5"/>
      <c r="GR108" s="5"/>
      <c r="GS108" s="5"/>
      <c r="GT108" s="5"/>
      <c r="GU108" s="5"/>
      <c r="GV108" s="5"/>
      <c r="GW108" s="5"/>
      <c r="GX108" s="5"/>
      <c r="GY108" s="5"/>
      <c r="GZ108" s="5"/>
      <c r="HB108" s="13"/>
      <c r="HC108" s="4"/>
      <c r="HD108" s="4"/>
      <c r="HE108" s="4"/>
      <c r="HF108" s="4"/>
      <c r="HG108" s="4"/>
      <c r="HH108" s="4"/>
      <c r="HI108" s="4"/>
      <c r="HJ108" s="4"/>
      <c r="HK108" s="4"/>
      <c r="HL108" s="4"/>
      <c r="HM108" s="4"/>
      <c r="HN108" s="4"/>
    </row>
    <row r="109" spans="158:222" x14ac:dyDescent="0.2">
      <c r="FB109" s="10"/>
      <c r="FC109" s="10"/>
      <c r="FD109" s="10"/>
      <c r="FE109" s="10"/>
      <c r="FF109" s="10"/>
      <c r="FG109" s="10"/>
      <c r="FH109" s="10"/>
      <c r="FI109" s="10"/>
      <c r="FJ109" s="10"/>
      <c r="FK109" s="10"/>
      <c r="FL109" s="10"/>
      <c r="FM109" s="10"/>
      <c r="FN109" s="10"/>
      <c r="FO109" s="10"/>
      <c r="FP109" s="10"/>
      <c r="FQ109" s="10"/>
      <c r="FW109" s="4"/>
      <c r="FX109" s="5"/>
      <c r="FZ109" s="13"/>
      <c r="GA109" s="23"/>
      <c r="GB109" s="23"/>
      <c r="GC109" s="23"/>
      <c r="GD109" s="23"/>
      <c r="GE109" s="23"/>
      <c r="GF109" s="23"/>
      <c r="GG109" s="23"/>
      <c r="GH109" s="23"/>
      <c r="GI109" s="23"/>
      <c r="GJ109" s="23"/>
      <c r="GK109" s="23"/>
      <c r="GL109" s="23"/>
      <c r="GM109" s="23"/>
      <c r="GO109" s="5"/>
      <c r="GP109" s="5"/>
      <c r="GQ109" s="5"/>
      <c r="GR109" s="5"/>
      <c r="GS109" s="5"/>
      <c r="GT109" s="5"/>
      <c r="GU109" s="5"/>
      <c r="GV109" s="5"/>
      <c r="GW109" s="5"/>
      <c r="GX109" s="5"/>
      <c r="GY109" s="5"/>
      <c r="GZ109" s="5"/>
      <c r="HB109" s="13"/>
      <c r="HC109" s="4"/>
      <c r="HD109" s="4"/>
      <c r="HE109" s="4"/>
      <c r="HF109" s="4"/>
      <c r="HG109" s="4"/>
      <c r="HH109" s="4"/>
      <c r="HI109" s="4"/>
      <c r="HJ109" s="4"/>
      <c r="HK109" s="4"/>
      <c r="HL109" s="4"/>
      <c r="HM109" s="4"/>
      <c r="HN109" s="4"/>
    </row>
    <row r="110" spans="158:222" x14ac:dyDescent="0.2">
      <c r="FB110" s="10"/>
      <c r="FC110" s="10"/>
      <c r="FD110" s="10"/>
      <c r="FE110" s="10"/>
      <c r="FF110" s="10"/>
      <c r="FG110" s="10"/>
      <c r="FH110" s="10"/>
      <c r="FI110" s="10"/>
      <c r="FJ110" s="10"/>
      <c r="FK110" s="10"/>
      <c r="FL110" s="10"/>
      <c r="FM110" s="10"/>
      <c r="FN110" s="10"/>
      <c r="FO110" s="10"/>
      <c r="FP110" s="10"/>
      <c r="FQ110" s="10"/>
      <c r="FW110" s="4"/>
      <c r="FX110" s="5"/>
      <c r="FZ110" s="13"/>
      <c r="GA110" s="23"/>
      <c r="GB110" s="23"/>
      <c r="GC110" s="23"/>
      <c r="GD110" s="23"/>
      <c r="GE110" s="23"/>
      <c r="GF110" s="23"/>
      <c r="GG110" s="23"/>
      <c r="GH110" s="23"/>
      <c r="GI110" s="23"/>
      <c r="GJ110" s="23"/>
      <c r="GK110" s="23"/>
      <c r="GL110" s="23"/>
      <c r="GM110" s="23"/>
      <c r="GO110" s="5"/>
      <c r="GP110" s="5"/>
      <c r="GQ110" s="5"/>
      <c r="GR110" s="5"/>
      <c r="GS110" s="5"/>
      <c r="GT110" s="5"/>
      <c r="GU110" s="5"/>
      <c r="GV110" s="5"/>
      <c r="GW110" s="5"/>
      <c r="GX110" s="5"/>
      <c r="GY110" s="5"/>
      <c r="GZ110" s="5"/>
      <c r="HB110" s="13"/>
      <c r="HC110" s="4"/>
      <c r="HD110" s="4"/>
      <c r="HE110" s="4"/>
      <c r="HF110" s="4"/>
      <c r="HG110" s="4"/>
      <c r="HH110" s="4"/>
      <c r="HI110" s="4"/>
      <c r="HJ110" s="4"/>
      <c r="HK110" s="4"/>
      <c r="HL110" s="4"/>
      <c r="HM110" s="4"/>
      <c r="HN110" s="4"/>
    </row>
    <row r="111" spans="158:222" x14ac:dyDescent="0.2">
      <c r="FB111" s="10"/>
      <c r="FC111" s="10"/>
      <c r="FD111" s="10"/>
      <c r="FE111" s="10"/>
      <c r="FF111" s="10"/>
      <c r="FG111" s="10"/>
      <c r="FH111" s="10"/>
      <c r="FI111" s="10"/>
      <c r="FJ111" s="10"/>
      <c r="FK111" s="10"/>
      <c r="FL111" s="10"/>
      <c r="FM111" s="10"/>
      <c r="FN111" s="10"/>
      <c r="FO111" s="10"/>
      <c r="FP111" s="10"/>
      <c r="FQ111" s="10"/>
      <c r="FW111" s="4"/>
      <c r="FX111" s="5"/>
      <c r="FZ111" s="13"/>
      <c r="GA111" s="23"/>
      <c r="GB111" s="23"/>
      <c r="GC111" s="23"/>
      <c r="GD111" s="23"/>
      <c r="GE111" s="23"/>
      <c r="GF111" s="23"/>
      <c r="GG111" s="23"/>
      <c r="GH111" s="23"/>
      <c r="GI111" s="23"/>
      <c r="GJ111" s="23"/>
      <c r="GK111" s="23"/>
      <c r="GL111" s="23"/>
      <c r="GM111" s="23"/>
      <c r="GO111" s="5"/>
      <c r="GP111" s="5"/>
      <c r="GQ111" s="5"/>
      <c r="GR111" s="5"/>
      <c r="GS111" s="5"/>
      <c r="GT111" s="5"/>
      <c r="GU111" s="5"/>
      <c r="GV111" s="5"/>
      <c r="GW111" s="5"/>
      <c r="GX111" s="5"/>
      <c r="GY111" s="5"/>
      <c r="GZ111" s="5"/>
      <c r="HB111" s="13"/>
      <c r="HC111" s="4"/>
      <c r="HD111" s="4"/>
      <c r="HE111" s="4"/>
      <c r="HF111" s="4"/>
      <c r="HG111" s="4"/>
      <c r="HH111" s="4"/>
      <c r="HI111" s="4"/>
      <c r="HJ111" s="4"/>
      <c r="HK111" s="4"/>
      <c r="HL111" s="4"/>
      <c r="HM111" s="4"/>
      <c r="HN111" s="4"/>
    </row>
    <row r="112" spans="158:222" x14ac:dyDescent="0.2">
      <c r="FB112" s="10"/>
      <c r="FC112" s="10"/>
      <c r="FD112" s="10"/>
      <c r="FE112" s="10"/>
      <c r="FF112" s="10"/>
      <c r="FG112" s="10"/>
      <c r="FH112" s="10"/>
      <c r="FI112" s="10"/>
      <c r="FJ112" s="10"/>
      <c r="FK112" s="10"/>
      <c r="FL112" s="10"/>
      <c r="FM112" s="10"/>
      <c r="FN112" s="10"/>
      <c r="FO112" s="10"/>
      <c r="FP112" s="10"/>
      <c r="FQ112" s="10"/>
      <c r="FW112" s="4"/>
      <c r="FX112" s="5"/>
      <c r="FZ112" s="13"/>
      <c r="GA112" s="23"/>
      <c r="GB112" s="23"/>
      <c r="GC112" s="23"/>
      <c r="GD112" s="23"/>
      <c r="GE112" s="23"/>
      <c r="GF112" s="23"/>
      <c r="GG112" s="23"/>
      <c r="GH112" s="23"/>
      <c r="GI112" s="23"/>
      <c r="GJ112" s="23"/>
      <c r="GK112" s="23"/>
      <c r="GL112" s="23"/>
      <c r="GM112" s="23"/>
      <c r="GO112" s="5"/>
      <c r="GP112" s="5"/>
      <c r="GQ112" s="5"/>
      <c r="GR112" s="5"/>
      <c r="GS112" s="5"/>
      <c r="GT112" s="5"/>
      <c r="GU112" s="5"/>
      <c r="GV112" s="5"/>
      <c r="GW112" s="5"/>
      <c r="GX112" s="5"/>
      <c r="GY112" s="5"/>
      <c r="GZ112" s="5"/>
      <c r="HB112" s="13"/>
      <c r="HC112" s="4"/>
      <c r="HD112" s="4"/>
      <c r="HE112" s="4"/>
      <c r="HF112" s="4"/>
      <c r="HG112" s="4"/>
      <c r="HH112" s="4"/>
      <c r="HI112" s="4"/>
      <c r="HJ112" s="4"/>
      <c r="HK112" s="4"/>
      <c r="HL112" s="4"/>
      <c r="HM112" s="4"/>
      <c r="HN112" s="4"/>
    </row>
    <row r="113" spans="158:222" x14ac:dyDescent="0.2">
      <c r="FB113" s="10"/>
      <c r="FC113" s="10"/>
      <c r="FD113" s="10"/>
      <c r="FE113" s="10"/>
      <c r="FF113" s="10"/>
      <c r="FG113" s="10"/>
      <c r="FH113" s="10"/>
      <c r="FI113" s="10"/>
      <c r="FJ113" s="10"/>
      <c r="FK113" s="10"/>
      <c r="FL113" s="10"/>
      <c r="FM113" s="10"/>
      <c r="FN113" s="10"/>
      <c r="FO113" s="10"/>
      <c r="FP113" s="10"/>
      <c r="FQ113" s="10"/>
      <c r="FW113" s="4"/>
      <c r="FX113" s="5"/>
      <c r="FZ113" s="13"/>
      <c r="GA113" s="23"/>
      <c r="GB113" s="23"/>
      <c r="GC113" s="23"/>
      <c r="GD113" s="23"/>
      <c r="GE113" s="23"/>
      <c r="GF113" s="23"/>
      <c r="GG113" s="23"/>
      <c r="GH113" s="23"/>
      <c r="GI113" s="23"/>
      <c r="GJ113" s="23"/>
      <c r="GK113" s="23"/>
      <c r="GL113" s="23"/>
      <c r="GM113" s="23"/>
      <c r="GO113" s="5"/>
      <c r="GP113" s="5"/>
      <c r="GQ113" s="5"/>
      <c r="GR113" s="5"/>
      <c r="GS113" s="5"/>
      <c r="GT113" s="5"/>
      <c r="GU113" s="5"/>
      <c r="GV113" s="5"/>
      <c r="GW113" s="5"/>
      <c r="GX113" s="5"/>
      <c r="GY113" s="5"/>
      <c r="GZ113" s="5"/>
      <c r="HB113" s="13"/>
      <c r="HC113" s="4"/>
      <c r="HD113" s="4"/>
      <c r="HE113" s="4"/>
      <c r="HF113" s="4"/>
      <c r="HG113" s="4"/>
      <c r="HH113" s="4"/>
      <c r="HI113" s="4"/>
      <c r="HJ113" s="4"/>
      <c r="HK113" s="4"/>
      <c r="HL113" s="4"/>
      <c r="HM113" s="4"/>
      <c r="HN113" s="4"/>
    </row>
    <row r="114" spans="158:222" x14ac:dyDescent="0.2">
      <c r="FB114" s="10"/>
      <c r="FC114" s="10"/>
      <c r="FD114" s="10"/>
      <c r="FE114" s="10"/>
      <c r="FF114" s="10"/>
      <c r="FG114" s="10"/>
      <c r="FH114" s="10"/>
      <c r="FI114" s="10"/>
      <c r="FJ114" s="10"/>
      <c r="FK114" s="10"/>
      <c r="FL114" s="10"/>
      <c r="FM114" s="10"/>
      <c r="FN114" s="10"/>
      <c r="FO114" s="10"/>
      <c r="FP114" s="10"/>
      <c r="FQ114" s="10"/>
      <c r="FW114" s="4"/>
      <c r="FX114" s="5"/>
      <c r="FZ114" s="13"/>
      <c r="GA114" s="23"/>
      <c r="GB114" s="23"/>
      <c r="GC114" s="23"/>
      <c r="GD114" s="23"/>
      <c r="GE114" s="23"/>
      <c r="GF114" s="23"/>
      <c r="GG114" s="23"/>
      <c r="GH114" s="23"/>
      <c r="GI114" s="23"/>
      <c r="GJ114" s="23"/>
      <c r="GK114" s="23"/>
      <c r="GL114" s="23"/>
      <c r="GM114" s="23"/>
      <c r="GO114" s="5"/>
      <c r="GP114" s="5"/>
      <c r="GQ114" s="5"/>
      <c r="GR114" s="5"/>
      <c r="GS114" s="5"/>
      <c r="GT114" s="5"/>
      <c r="GU114" s="5"/>
      <c r="GV114" s="5"/>
      <c r="GW114" s="5"/>
      <c r="GX114" s="5"/>
      <c r="GY114" s="5"/>
      <c r="GZ114" s="5"/>
      <c r="HB114" s="13"/>
      <c r="HC114" s="4"/>
      <c r="HD114" s="4"/>
      <c r="HE114" s="4"/>
      <c r="HF114" s="4"/>
      <c r="HG114" s="4"/>
      <c r="HH114" s="4"/>
      <c r="HI114" s="4"/>
      <c r="HJ114" s="4"/>
      <c r="HK114" s="4"/>
      <c r="HL114" s="4"/>
      <c r="HM114" s="4"/>
      <c r="HN114" s="4"/>
    </row>
    <row r="115" spans="158:222" x14ac:dyDescent="0.2">
      <c r="FB115" s="10"/>
      <c r="FC115" s="10"/>
      <c r="FD115" s="10"/>
      <c r="FE115" s="10"/>
      <c r="FF115" s="10"/>
      <c r="FG115" s="10"/>
      <c r="FH115" s="10"/>
      <c r="FI115" s="10"/>
      <c r="FJ115" s="10"/>
      <c r="FK115" s="10"/>
      <c r="FL115" s="10"/>
      <c r="FM115" s="10"/>
      <c r="FN115" s="10"/>
      <c r="FO115" s="10"/>
      <c r="FP115" s="10"/>
      <c r="FQ115" s="10"/>
      <c r="FW115" s="4"/>
      <c r="FX115" s="5"/>
      <c r="FZ115" s="13"/>
      <c r="GA115" s="23"/>
      <c r="GB115" s="23"/>
      <c r="GC115" s="23"/>
      <c r="GD115" s="23"/>
      <c r="GE115" s="23"/>
      <c r="GF115" s="23"/>
      <c r="GG115" s="23"/>
      <c r="GH115" s="23"/>
      <c r="GI115" s="23"/>
      <c r="GJ115" s="23"/>
      <c r="GK115" s="23"/>
      <c r="GL115" s="23"/>
      <c r="GM115" s="23"/>
      <c r="GO115" s="5"/>
      <c r="GP115" s="5"/>
      <c r="GQ115" s="5"/>
      <c r="GR115" s="5"/>
      <c r="GS115" s="5"/>
      <c r="GT115" s="5"/>
      <c r="GU115" s="5"/>
      <c r="GV115" s="5"/>
      <c r="GW115" s="5"/>
      <c r="GX115" s="5"/>
      <c r="GY115" s="5"/>
      <c r="GZ115" s="5"/>
      <c r="HB115" s="13"/>
      <c r="HC115" s="4"/>
      <c r="HD115" s="4"/>
      <c r="HE115" s="4"/>
      <c r="HF115" s="4"/>
      <c r="HG115" s="4"/>
      <c r="HH115" s="4"/>
      <c r="HI115" s="4"/>
      <c r="HJ115" s="4"/>
      <c r="HK115" s="4"/>
      <c r="HL115" s="4"/>
      <c r="HM115" s="4"/>
      <c r="HN115" s="4"/>
    </row>
    <row r="116" spans="158:222" x14ac:dyDescent="0.2">
      <c r="FB116" s="10"/>
      <c r="FC116" s="10"/>
      <c r="FD116" s="10"/>
      <c r="FE116" s="10"/>
      <c r="FF116" s="10"/>
      <c r="FG116" s="10"/>
      <c r="FH116" s="10"/>
      <c r="FI116" s="10"/>
      <c r="FJ116" s="10"/>
      <c r="FK116" s="10"/>
      <c r="FL116" s="10"/>
      <c r="FM116" s="10"/>
      <c r="FN116" s="10"/>
      <c r="FO116" s="10"/>
      <c r="FP116" s="10"/>
      <c r="FQ116" s="10"/>
      <c r="FW116" s="4"/>
      <c r="FX116" s="5"/>
      <c r="FZ116" s="13"/>
      <c r="GA116" s="23"/>
      <c r="GB116" s="23"/>
      <c r="GC116" s="23"/>
      <c r="GD116" s="23"/>
      <c r="GE116" s="23"/>
      <c r="GF116" s="23"/>
      <c r="GG116" s="23"/>
      <c r="GH116" s="23"/>
      <c r="GI116" s="23"/>
      <c r="GJ116" s="23"/>
      <c r="GK116" s="23"/>
      <c r="GL116" s="23"/>
      <c r="GM116" s="23"/>
      <c r="GO116" s="5"/>
      <c r="GP116" s="5"/>
      <c r="GQ116" s="5"/>
      <c r="GR116" s="5"/>
      <c r="GS116" s="5"/>
      <c r="GT116" s="5"/>
      <c r="GU116" s="5"/>
      <c r="GV116" s="5"/>
      <c r="GW116" s="5"/>
      <c r="GX116" s="5"/>
      <c r="GY116" s="5"/>
      <c r="GZ116" s="5"/>
      <c r="HB116" s="13"/>
      <c r="HC116" s="4"/>
      <c r="HD116" s="4"/>
      <c r="HE116" s="4"/>
      <c r="HF116" s="4"/>
      <c r="HG116" s="4"/>
      <c r="HH116" s="4"/>
      <c r="HI116" s="4"/>
      <c r="HJ116" s="4"/>
      <c r="HK116" s="4"/>
      <c r="HL116" s="4"/>
      <c r="HM116" s="4"/>
      <c r="HN116" s="4"/>
    </row>
    <row r="117" spans="158:222" x14ac:dyDescent="0.2">
      <c r="FB117" s="10"/>
      <c r="FC117" s="10"/>
      <c r="FD117" s="10"/>
      <c r="FE117" s="10"/>
      <c r="FF117" s="10"/>
      <c r="FG117" s="10"/>
      <c r="FH117" s="10"/>
      <c r="FI117" s="10"/>
      <c r="FJ117" s="10"/>
      <c r="FK117" s="10"/>
      <c r="FL117" s="10"/>
      <c r="FM117" s="10"/>
      <c r="FN117" s="10"/>
      <c r="FO117" s="10"/>
      <c r="FP117" s="10"/>
      <c r="FQ117" s="10"/>
      <c r="FW117" s="4"/>
      <c r="FX117" s="5"/>
      <c r="FZ117" s="13"/>
      <c r="GA117" s="23"/>
      <c r="GB117" s="23"/>
      <c r="GC117" s="23"/>
      <c r="GD117" s="23"/>
      <c r="GE117" s="23"/>
      <c r="GF117" s="23"/>
      <c r="GG117" s="23"/>
      <c r="GH117" s="23"/>
      <c r="GI117" s="23"/>
      <c r="GJ117" s="23"/>
      <c r="GK117" s="23"/>
      <c r="GL117" s="23"/>
      <c r="GM117" s="23"/>
      <c r="GO117" s="5"/>
      <c r="GP117" s="5"/>
      <c r="GQ117" s="5"/>
      <c r="GR117" s="5"/>
      <c r="GS117" s="5"/>
      <c r="GT117" s="5"/>
      <c r="GU117" s="5"/>
      <c r="GV117" s="5"/>
      <c r="GW117" s="5"/>
      <c r="GX117" s="5"/>
      <c r="GY117" s="5"/>
      <c r="GZ117" s="5"/>
      <c r="HB117" s="13"/>
      <c r="HC117" s="4"/>
      <c r="HD117" s="4"/>
      <c r="HE117" s="4"/>
      <c r="HF117" s="4"/>
      <c r="HG117" s="4"/>
      <c r="HH117" s="4"/>
      <c r="HI117" s="4"/>
      <c r="HJ117" s="4"/>
      <c r="HK117" s="4"/>
      <c r="HL117" s="4"/>
      <c r="HM117" s="4"/>
      <c r="HN117" s="4"/>
    </row>
    <row r="118" spans="158:222" x14ac:dyDescent="0.2">
      <c r="FB118" s="10"/>
      <c r="FC118" s="10"/>
      <c r="FD118" s="10"/>
      <c r="FE118" s="10"/>
      <c r="FF118" s="10"/>
      <c r="FG118" s="10"/>
      <c r="FH118" s="10"/>
      <c r="FI118" s="10"/>
      <c r="FJ118" s="10"/>
      <c r="FK118" s="10"/>
      <c r="FL118" s="10"/>
      <c r="FM118" s="10"/>
      <c r="FN118" s="10"/>
      <c r="FO118" s="10"/>
      <c r="FP118" s="10"/>
      <c r="FQ118" s="10"/>
      <c r="FW118" s="4"/>
      <c r="FX118" s="5"/>
      <c r="FZ118" s="13"/>
      <c r="GA118" s="23"/>
      <c r="GB118" s="23"/>
      <c r="GC118" s="23"/>
      <c r="GD118" s="23"/>
      <c r="GE118" s="23"/>
      <c r="GF118" s="23"/>
      <c r="GG118" s="23"/>
      <c r="GH118" s="23"/>
      <c r="GI118" s="23"/>
      <c r="GJ118" s="23"/>
      <c r="GK118" s="23"/>
      <c r="GL118" s="23"/>
      <c r="GM118" s="23"/>
      <c r="GO118" s="5"/>
      <c r="GP118" s="5"/>
      <c r="GQ118" s="5"/>
      <c r="GR118" s="5"/>
      <c r="GS118" s="5"/>
      <c r="GT118" s="5"/>
      <c r="GU118" s="5"/>
      <c r="GV118" s="5"/>
      <c r="GW118" s="5"/>
      <c r="GX118" s="5"/>
      <c r="GY118" s="5"/>
      <c r="GZ118" s="5"/>
      <c r="HB118" s="13"/>
      <c r="HC118" s="4"/>
      <c r="HD118" s="4"/>
      <c r="HE118" s="4"/>
      <c r="HF118" s="4"/>
      <c r="HG118" s="4"/>
      <c r="HH118" s="4"/>
      <c r="HI118" s="4"/>
      <c r="HJ118" s="4"/>
      <c r="HK118" s="4"/>
      <c r="HL118" s="4"/>
      <c r="HM118" s="4"/>
      <c r="HN118" s="4"/>
    </row>
    <row r="119" spans="158:222" x14ac:dyDescent="0.2">
      <c r="FB119" s="10"/>
      <c r="FC119" s="10"/>
      <c r="FD119" s="10"/>
      <c r="FE119" s="10"/>
      <c r="FF119" s="10"/>
      <c r="FG119" s="10"/>
      <c r="FH119" s="10"/>
      <c r="FI119" s="10"/>
      <c r="FJ119" s="10"/>
      <c r="FK119" s="10"/>
      <c r="FL119" s="10"/>
      <c r="FM119" s="10"/>
      <c r="FN119" s="10"/>
      <c r="FO119" s="10"/>
      <c r="FP119" s="10"/>
      <c r="FQ119" s="10"/>
      <c r="FW119" s="4"/>
      <c r="FX119" s="5"/>
      <c r="FZ119" s="13"/>
      <c r="GA119" s="23"/>
      <c r="GB119" s="23"/>
      <c r="GC119" s="23"/>
      <c r="GD119" s="23"/>
      <c r="GE119" s="23"/>
      <c r="GF119" s="23"/>
      <c r="GG119" s="23"/>
      <c r="GH119" s="23"/>
      <c r="GI119" s="23"/>
      <c r="GJ119" s="23"/>
      <c r="GK119" s="23"/>
      <c r="GL119" s="23"/>
      <c r="GM119" s="23"/>
      <c r="GO119" s="5"/>
      <c r="GP119" s="5"/>
      <c r="GQ119" s="5"/>
      <c r="GR119" s="5"/>
      <c r="GS119" s="5"/>
      <c r="GT119" s="5"/>
      <c r="GU119" s="5"/>
      <c r="GV119" s="5"/>
      <c r="GW119" s="5"/>
      <c r="GX119" s="5"/>
      <c r="GY119" s="5"/>
      <c r="GZ119" s="5"/>
      <c r="HB119" s="13"/>
      <c r="HC119" s="4"/>
      <c r="HD119" s="4"/>
      <c r="HE119" s="4"/>
      <c r="HF119" s="4"/>
      <c r="HG119" s="4"/>
      <c r="HH119" s="4"/>
      <c r="HI119" s="4"/>
      <c r="HJ119" s="4"/>
      <c r="HK119" s="4"/>
      <c r="HL119" s="4"/>
      <c r="HM119" s="4"/>
      <c r="HN119" s="4"/>
    </row>
    <row r="120" spans="158:222" x14ac:dyDescent="0.2">
      <c r="FB120" s="10"/>
      <c r="FC120" s="10"/>
      <c r="FD120" s="10"/>
      <c r="FE120" s="10"/>
      <c r="FF120" s="10"/>
      <c r="FG120" s="10"/>
      <c r="FH120" s="10"/>
      <c r="FI120" s="10"/>
      <c r="FJ120" s="10"/>
      <c r="FK120" s="10"/>
      <c r="FL120" s="10"/>
      <c r="FM120" s="10"/>
      <c r="FN120" s="10"/>
      <c r="FO120" s="10"/>
      <c r="FP120" s="10"/>
      <c r="FQ120" s="10"/>
      <c r="FW120" s="4"/>
      <c r="FX120" s="5"/>
      <c r="FZ120" s="13"/>
      <c r="GA120" s="23"/>
      <c r="GB120" s="23"/>
      <c r="GC120" s="23"/>
      <c r="GD120" s="23"/>
      <c r="GE120" s="23"/>
      <c r="GF120" s="23"/>
      <c r="GG120" s="23"/>
      <c r="GH120" s="23"/>
      <c r="GI120" s="23"/>
      <c r="GJ120" s="23"/>
      <c r="GK120" s="23"/>
      <c r="GL120" s="23"/>
      <c r="GM120" s="23"/>
      <c r="GO120" s="5"/>
      <c r="GP120" s="5"/>
      <c r="GQ120" s="5"/>
      <c r="GR120" s="5"/>
      <c r="GS120" s="5"/>
      <c r="GT120" s="5"/>
      <c r="GU120" s="5"/>
      <c r="GV120" s="5"/>
      <c r="GW120" s="5"/>
      <c r="GX120" s="5"/>
      <c r="GY120" s="5"/>
      <c r="GZ120" s="5"/>
      <c r="HB120" s="13"/>
      <c r="HC120" s="4"/>
      <c r="HD120" s="4"/>
      <c r="HE120" s="4"/>
      <c r="HF120" s="4"/>
      <c r="HG120" s="4"/>
      <c r="HH120" s="4"/>
      <c r="HI120" s="4"/>
      <c r="HJ120" s="4"/>
      <c r="HK120" s="4"/>
      <c r="HL120" s="4"/>
      <c r="HM120" s="4"/>
      <c r="HN120" s="4"/>
    </row>
    <row r="121" spans="158:222" x14ac:dyDescent="0.2">
      <c r="FB121" s="10"/>
      <c r="FC121" s="10"/>
      <c r="FD121" s="10"/>
      <c r="FE121" s="10"/>
      <c r="FF121" s="10"/>
      <c r="FG121" s="10"/>
      <c r="FH121" s="10"/>
      <c r="FI121" s="10"/>
      <c r="FJ121" s="10"/>
      <c r="FK121" s="10"/>
      <c r="FL121" s="10"/>
      <c r="FM121" s="10"/>
      <c r="FN121" s="10"/>
      <c r="FO121" s="10"/>
      <c r="FP121" s="10"/>
      <c r="FQ121" s="10"/>
      <c r="FW121" s="4"/>
      <c r="FX121" s="5"/>
      <c r="FZ121" s="13"/>
      <c r="GA121" s="23"/>
      <c r="GB121" s="23"/>
      <c r="GC121" s="23"/>
      <c r="GD121" s="23"/>
      <c r="GE121" s="23"/>
      <c r="GF121" s="23"/>
      <c r="GG121" s="23"/>
      <c r="GH121" s="23"/>
      <c r="GI121" s="23"/>
      <c r="GJ121" s="23"/>
      <c r="GK121" s="23"/>
      <c r="GL121" s="23"/>
      <c r="GM121" s="23"/>
      <c r="GO121" s="5"/>
      <c r="GP121" s="5"/>
      <c r="GQ121" s="5"/>
      <c r="GR121" s="5"/>
      <c r="GS121" s="5"/>
      <c r="GT121" s="5"/>
      <c r="GU121" s="5"/>
      <c r="GV121" s="5"/>
      <c r="GW121" s="5"/>
      <c r="GX121" s="5"/>
      <c r="GY121" s="5"/>
      <c r="GZ121" s="5"/>
      <c r="HB121" s="13"/>
      <c r="HC121" s="4"/>
      <c r="HD121" s="4"/>
      <c r="HE121" s="4"/>
      <c r="HF121" s="4"/>
      <c r="HG121" s="4"/>
      <c r="HH121" s="4"/>
      <c r="HI121" s="4"/>
      <c r="HJ121" s="4"/>
      <c r="HK121" s="4"/>
      <c r="HL121" s="4"/>
      <c r="HM121" s="4"/>
      <c r="HN121" s="4"/>
    </row>
    <row r="122" spans="158:222" x14ac:dyDescent="0.2">
      <c r="FB122" s="10"/>
      <c r="FC122" s="10"/>
      <c r="FD122" s="10"/>
      <c r="FE122" s="10"/>
      <c r="FF122" s="10"/>
      <c r="FG122" s="10"/>
      <c r="FH122" s="10"/>
      <c r="FI122" s="10"/>
      <c r="FJ122" s="10"/>
      <c r="FK122" s="10"/>
      <c r="FL122" s="10"/>
      <c r="FM122" s="10"/>
      <c r="FN122" s="10"/>
      <c r="FO122" s="10"/>
      <c r="FP122" s="10"/>
      <c r="FQ122" s="10"/>
      <c r="FW122" s="4"/>
      <c r="FX122" s="5"/>
      <c r="FZ122" s="13"/>
      <c r="GA122" s="23"/>
      <c r="GB122" s="23"/>
      <c r="GC122" s="23"/>
      <c r="GD122" s="23"/>
      <c r="GE122" s="23"/>
      <c r="GF122" s="23"/>
      <c r="GG122" s="23"/>
      <c r="GH122" s="23"/>
      <c r="GI122" s="23"/>
      <c r="GJ122" s="23"/>
      <c r="GK122" s="23"/>
      <c r="GL122" s="23"/>
      <c r="GM122" s="23"/>
      <c r="GO122" s="5"/>
      <c r="GP122" s="5"/>
      <c r="GQ122" s="5"/>
      <c r="GR122" s="5"/>
      <c r="GS122" s="5"/>
      <c r="GT122" s="5"/>
      <c r="GU122" s="5"/>
      <c r="GV122" s="5"/>
      <c r="GW122" s="5"/>
      <c r="GX122" s="5"/>
      <c r="GY122" s="5"/>
      <c r="GZ122" s="5"/>
      <c r="HB122" s="13"/>
      <c r="HC122" s="4"/>
      <c r="HD122" s="4"/>
      <c r="HE122" s="4"/>
      <c r="HF122" s="4"/>
      <c r="HG122" s="4"/>
      <c r="HH122" s="4"/>
      <c r="HI122" s="4"/>
      <c r="HJ122" s="4"/>
      <c r="HK122" s="4"/>
      <c r="HL122" s="4"/>
      <c r="HM122" s="4"/>
      <c r="HN122" s="4"/>
    </row>
    <row r="123" spans="158:222" x14ac:dyDescent="0.2">
      <c r="FB123" s="10"/>
      <c r="FC123" s="10"/>
      <c r="FD123" s="10"/>
      <c r="FE123" s="10"/>
      <c r="FF123" s="10"/>
      <c r="FG123" s="10"/>
      <c r="FH123" s="10"/>
      <c r="FI123" s="10"/>
      <c r="FJ123" s="10"/>
      <c r="FK123" s="10"/>
      <c r="FL123" s="10"/>
      <c r="FM123" s="10"/>
      <c r="FN123" s="10"/>
      <c r="FO123" s="10"/>
      <c r="FP123" s="10"/>
      <c r="FQ123" s="10"/>
      <c r="FW123" s="4"/>
      <c r="FX123" s="5"/>
      <c r="FZ123" s="13"/>
      <c r="GA123" s="23"/>
      <c r="GB123" s="23"/>
      <c r="GC123" s="23"/>
      <c r="GD123" s="23"/>
      <c r="GE123" s="23"/>
      <c r="GF123" s="23"/>
      <c r="GG123" s="23"/>
      <c r="GH123" s="23"/>
      <c r="GI123" s="23"/>
      <c r="GJ123" s="23"/>
      <c r="GK123" s="23"/>
      <c r="GL123" s="23"/>
      <c r="GM123" s="23"/>
      <c r="GO123" s="5"/>
      <c r="GP123" s="5"/>
      <c r="GQ123" s="5"/>
      <c r="GR123" s="5"/>
      <c r="GS123" s="5"/>
      <c r="GT123" s="5"/>
      <c r="GU123" s="5"/>
      <c r="GV123" s="5"/>
      <c r="GW123" s="5"/>
      <c r="GX123" s="5"/>
      <c r="GY123" s="5"/>
      <c r="GZ123" s="5"/>
      <c r="HB123" s="13"/>
      <c r="HC123" s="4"/>
      <c r="HD123" s="4"/>
      <c r="HE123" s="4"/>
      <c r="HF123" s="4"/>
      <c r="HG123" s="4"/>
      <c r="HH123" s="4"/>
      <c r="HI123" s="4"/>
      <c r="HJ123" s="4"/>
      <c r="HK123" s="4"/>
      <c r="HL123" s="4"/>
      <c r="HM123" s="4"/>
      <c r="HN123" s="4"/>
    </row>
    <row r="124" spans="158:222" x14ac:dyDescent="0.2">
      <c r="FB124" s="10"/>
      <c r="FC124" s="10"/>
      <c r="FD124" s="10"/>
      <c r="FE124" s="10"/>
      <c r="FF124" s="10"/>
      <c r="FG124" s="10"/>
      <c r="FH124" s="10"/>
      <c r="FI124" s="10"/>
      <c r="FJ124" s="10"/>
      <c r="FK124" s="10"/>
      <c r="FL124" s="10"/>
      <c r="FM124" s="10"/>
      <c r="FN124" s="10"/>
      <c r="FO124" s="10"/>
      <c r="FP124" s="10"/>
      <c r="FQ124" s="10"/>
      <c r="FW124" s="4"/>
      <c r="FX124" s="5"/>
      <c r="FZ124" s="13"/>
      <c r="GA124" s="23"/>
      <c r="GB124" s="23"/>
      <c r="GC124" s="23"/>
      <c r="GD124" s="23"/>
      <c r="GE124" s="23"/>
      <c r="GF124" s="23"/>
      <c r="GG124" s="23"/>
      <c r="GH124" s="23"/>
      <c r="GI124" s="23"/>
      <c r="GJ124" s="23"/>
      <c r="GK124" s="23"/>
      <c r="GL124" s="23"/>
      <c r="GM124" s="23"/>
      <c r="GO124" s="5"/>
      <c r="GP124" s="5"/>
      <c r="GQ124" s="5"/>
      <c r="GR124" s="5"/>
      <c r="GS124" s="5"/>
      <c r="GT124" s="5"/>
      <c r="GU124" s="5"/>
      <c r="GV124" s="5"/>
      <c r="GW124" s="5"/>
      <c r="GX124" s="5"/>
      <c r="GY124" s="5"/>
      <c r="GZ124" s="5"/>
      <c r="HB124" s="13"/>
      <c r="HC124" s="4"/>
      <c r="HD124" s="4"/>
      <c r="HE124" s="4"/>
      <c r="HF124" s="4"/>
      <c r="HG124" s="4"/>
      <c r="HH124" s="4"/>
      <c r="HI124" s="4"/>
      <c r="HJ124" s="4"/>
      <c r="HK124" s="4"/>
      <c r="HL124" s="4"/>
      <c r="HM124" s="4"/>
      <c r="HN124" s="4"/>
    </row>
    <row r="125" spans="158:222" x14ac:dyDescent="0.2">
      <c r="FB125" s="10"/>
      <c r="FC125" s="10"/>
      <c r="FD125" s="10"/>
      <c r="FE125" s="10"/>
      <c r="FF125" s="10"/>
      <c r="FG125" s="10"/>
      <c r="FH125" s="10"/>
      <c r="FI125" s="10"/>
      <c r="FJ125" s="10"/>
      <c r="FK125" s="10"/>
      <c r="FL125" s="10"/>
      <c r="FM125" s="10"/>
      <c r="FN125" s="10"/>
      <c r="FO125" s="10"/>
      <c r="FP125" s="10"/>
      <c r="FQ125" s="10"/>
      <c r="FW125" s="4"/>
      <c r="FX125" s="5"/>
      <c r="FZ125" s="13"/>
      <c r="GA125" s="23"/>
      <c r="GB125" s="23"/>
      <c r="GC125" s="23"/>
      <c r="GD125" s="23"/>
      <c r="GE125" s="23"/>
      <c r="GF125" s="23"/>
      <c r="GG125" s="23"/>
      <c r="GH125" s="23"/>
      <c r="GI125" s="23"/>
      <c r="GJ125" s="23"/>
      <c r="GK125" s="23"/>
      <c r="GL125" s="23"/>
      <c r="GM125" s="23"/>
      <c r="GO125" s="5"/>
      <c r="GP125" s="5"/>
      <c r="GQ125" s="5"/>
      <c r="GR125" s="5"/>
      <c r="GS125" s="5"/>
      <c r="GT125" s="5"/>
      <c r="GU125" s="5"/>
      <c r="GV125" s="5"/>
      <c r="GW125" s="5"/>
      <c r="GX125" s="5"/>
      <c r="GY125" s="5"/>
      <c r="GZ125" s="5"/>
      <c r="HB125" s="13"/>
      <c r="HC125" s="4"/>
      <c r="HD125" s="4"/>
      <c r="HE125" s="4"/>
      <c r="HF125" s="4"/>
      <c r="HG125" s="4"/>
      <c r="HH125" s="4"/>
      <c r="HI125" s="4"/>
      <c r="HJ125" s="4"/>
      <c r="HK125" s="4"/>
      <c r="HL125" s="4"/>
      <c r="HM125" s="4"/>
      <c r="HN125" s="4"/>
    </row>
    <row r="126" spans="158:222" x14ac:dyDescent="0.2">
      <c r="FB126" s="10"/>
      <c r="FC126" s="10"/>
      <c r="FD126" s="10"/>
      <c r="FE126" s="10"/>
      <c r="FF126" s="10"/>
      <c r="FG126" s="10"/>
      <c r="FH126" s="10"/>
      <c r="FI126" s="10"/>
      <c r="FJ126" s="10"/>
      <c r="FK126" s="10"/>
      <c r="FL126" s="10"/>
      <c r="FM126" s="10"/>
      <c r="FN126" s="10"/>
      <c r="FO126" s="10"/>
      <c r="FP126" s="10"/>
      <c r="FQ126" s="10"/>
      <c r="FW126" s="4"/>
      <c r="FX126" s="5"/>
      <c r="FZ126" s="13"/>
      <c r="GA126" s="23"/>
      <c r="GB126" s="23"/>
      <c r="GC126" s="23"/>
      <c r="GD126" s="23"/>
      <c r="GE126" s="23"/>
      <c r="GF126" s="23"/>
      <c r="GG126" s="23"/>
      <c r="GH126" s="23"/>
      <c r="GI126" s="23"/>
      <c r="GJ126" s="23"/>
      <c r="GK126" s="23"/>
      <c r="GL126" s="23"/>
      <c r="GM126" s="23"/>
      <c r="GO126" s="5"/>
      <c r="GP126" s="5"/>
      <c r="GQ126" s="5"/>
      <c r="GR126" s="5"/>
      <c r="GS126" s="5"/>
      <c r="GT126" s="5"/>
      <c r="GU126" s="5"/>
      <c r="GV126" s="5"/>
      <c r="GW126" s="5"/>
      <c r="GX126" s="5"/>
      <c r="GY126" s="5"/>
      <c r="GZ126" s="5"/>
      <c r="HB126" s="13"/>
      <c r="HC126" s="4"/>
      <c r="HD126" s="4"/>
      <c r="HE126" s="4"/>
      <c r="HF126" s="4"/>
      <c r="HG126" s="4"/>
      <c r="HH126" s="4"/>
      <c r="HI126" s="4"/>
      <c r="HJ126" s="4"/>
      <c r="HK126" s="4"/>
      <c r="HL126" s="4"/>
      <c r="HM126" s="4"/>
      <c r="HN126" s="4"/>
    </row>
    <row r="127" spans="158:222" x14ac:dyDescent="0.2">
      <c r="FB127" s="10"/>
      <c r="FC127" s="10"/>
      <c r="FD127" s="10"/>
      <c r="FE127" s="10"/>
      <c r="FF127" s="10"/>
      <c r="FG127" s="10"/>
      <c r="FH127" s="10"/>
      <c r="FI127" s="10"/>
      <c r="FJ127" s="10"/>
      <c r="FK127" s="10"/>
      <c r="FL127" s="10"/>
      <c r="FM127" s="10"/>
      <c r="FN127" s="10"/>
      <c r="FO127" s="10"/>
      <c r="FP127" s="10"/>
      <c r="FQ127" s="10"/>
      <c r="FW127" s="4"/>
      <c r="FX127" s="5"/>
      <c r="FZ127" s="13"/>
      <c r="GA127" s="23"/>
      <c r="GB127" s="23"/>
      <c r="GC127" s="23"/>
      <c r="GD127" s="23"/>
      <c r="GE127" s="23"/>
      <c r="GF127" s="23"/>
      <c r="GG127" s="23"/>
      <c r="GH127" s="23"/>
      <c r="GI127" s="23"/>
      <c r="GJ127" s="23"/>
      <c r="GK127" s="23"/>
      <c r="GL127" s="23"/>
      <c r="GM127" s="23"/>
      <c r="GO127" s="5"/>
      <c r="GP127" s="5"/>
      <c r="GQ127" s="5"/>
      <c r="GR127" s="5"/>
      <c r="GS127" s="5"/>
      <c r="GT127" s="5"/>
      <c r="GU127" s="5"/>
      <c r="GV127" s="5"/>
      <c r="GW127" s="5"/>
      <c r="GX127" s="5"/>
      <c r="GY127" s="5"/>
      <c r="GZ127" s="5"/>
      <c r="HB127" s="13"/>
      <c r="HC127" s="4"/>
      <c r="HD127" s="4"/>
      <c r="HE127" s="4"/>
      <c r="HF127" s="4"/>
      <c r="HG127" s="4"/>
      <c r="HH127" s="4"/>
      <c r="HI127" s="4"/>
      <c r="HJ127" s="4"/>
      <c r="HK127" s="4"/>
      <c r="HL127" s="4"/>
      <c r="HM127" s="4"/>
      <c r="HN127" s="4"/>
    </row>
    <row r="128" spans="158:222" x14ac:dyDescent="0.2">
      <c r="FB128" s="10"/>
      <c r="FC128" s="10"/>
      <c r="FD128" s="10"/>
      <c r="FE128" s="10"/>
      <c r="FF128" s="10"/>
      <c r="FG128" s="10"/>
      <c r="FH128" s="10"/>
      <c r="FI128" s="10"/>
      <c r="FJ128" s="10"/>
      <c r="FK128" s="10"/>
      <c r="FL128" s="10"/>
      <c r="FM128" s="10"/>
      <c r="FN128" s="10"/>
      <c r="FO128" s="10"/>
      <c r="FP128" s="10"/>
      <c r="FQ128" s="10"/>
      <c r="FW128" s="4"/>
      <c r="FX128" s="5"/>
      <c r="FZ128" s="13"/>
      <c r="GA128" s="23"/>
      <c r="GB128" s="23"/>
      <c r="GC128" s="23"/>
      <c r="GD128" s="23"/>
      <c r="GE128" s="23"/>
      <c r="GF128" s="23"/>
      <c r="GG128" s="23"/>
      <c r="GH128" s="23"/>
      <c r="GI128" s="23"/>
      <c r="GJ128" s="23"/>
      <c r="GK128" s="23"/>
      <c r="GL128" s="23"/>
      <c r="GM128" s="23"/>
      <c r="GO128" s="5"/>
      <c r="GP128" s="5"/>
      <c r="GQ128" s="5"/>
      <c r="GR128" s="5"/>
      <c r="GS128" s="5"/>
      <c r="GT128" s="5"/>
      <c r="GU128" s="5"/>
      <c r="GV128" s="5"/>
      <c r="GW128" s="5"/>
      <c r="GX128" s="5"/>
      <c r="GY128" s="5"/>
      <c r="GZ128" s="5"/>
      <c r="HB128" s="13"/>
      <c r="HC128" s="4"/>
      <c r="HD128" s="4"/>
      <c r="HE128" s="4"/>
      <c r="HF128" s="4"/>
      <c r="HG128" s="4"/>
      <c r="HH128" s="4"/>
      <c r="HI128" s="4"/>
      <c r="HJ128" s="4"/>
      <c r="HK128" s="4"/>
      <c r="HL128" s="4"/>
      <c r="HM128" s="4"/>
      <c r="HN128" s="4"/>
    </row>
    <row r="129" spans="158:222" x14ac:dyDescent="0.2">
      <c r="FB129" s="10"/>
      <c r="FC129" s="10"/>
      <c r="FD129" s="10"/>
      <c r="FE129" s="10"/>
      <c r="FF129" s="10"/>
      <c r="FG129" s="10"/>
      <c r="FH129" s="10"/>
      <c r="FI129" s="10"/>
      <c r="FJ129" s="10"/>
      <c r="FK129" s="10"/>
      <c r="FL129" s="10"/>
      <c r="FM129" s="10"/>
      <c r="FN129" s="10"/>
      <c r="FO129" s="10"/>
      <c r="FP129" s="10"/>
      <c r="FQ129" s="10"/>
      <c r="FW129" s="4"/>
      <c r="FX129" s="5"/>
      <c r="FZ129" s="13"/>
      <c r="GA129" s="23"/>
      <c r="GB129" s="23"/>
      <c r="GC129" s="23"/>
      <c r="GD129" s="23"/>
      <c r="GE129" s="23"/>
      <c r="GF129" s="23"/>
      <c r="GG129" s="23"/>
      <c r="GH129" s="23"/>
      <c r="GI129" s="23"/>
      <c r="GJ129" s="23"/>
      <c r="GK129" s="23"/>
      <c r="GL129" s="23"/>
      <c r="GM129" s="23"/>
      <c r="GO129" s="5"/>
      <c r="GP129" s="5"/>
      <c r="GQ129" s="5"/>
      <c r="GR129" s="5"/>
      <c r="GS129" s="5"/>
      <c r="GT129" s="5"/>
      <c r="GU129" s="5"/>
      <c r="GV129" s="5"/>
      <c r="GW129" s="5"/>
      <c r="GX129" s="5"/>
      <c r="GY129" s="5"/>
      <c r="GZ129" s="5"/>
      <c r="HB129" s="13"/>
      <c r="HC129" s="4"/>
      <c r="HD129" s="4"/>
      <c r="HE129" s="4"/>
      <c r="HF129" s="4"/>
      <c r="HG129" s="4"/>
      <c r="HH129" s="4"/>
      <c r="HI129" s="4"/>
      <c r="HJ129" s="4"/>
      <c r="HK129" s="4"/>
      <c r="HL129" s="4"/>
      <c r="HM129" s="4"/>
      <c r="HN129" s="4"/>
    </row>
    <row r="130" spans="158:222" x14ac:dyDescent="0.2">
      <c r="FB130" s="10"/>
      <c r="FC130" s="10"/>
      <c r="FD130" s="10"/>
      <c r="FE130" s="10"/>
      <c r="FF130" s="10"/>
      <c r="FG130" s="10"/>
      <c r="FH130" s="10"/>
      <c r="FI130" s="10"/>
      <c r="FJ130" s="10"/>
      <c r="FK130" s="10"/>
      <c r="FL130" s="10"/>
      <c r="FM130" s="10"/>
      <c r="FN130" s="10"/>
      <c r="FO130" s="10"/>
      <c r="FP130" s="10"/>
      <c r="FQ130" s="10"/>
      <c r="FW130" s="4"/>
      <c r="FX130" s="5"/>
      <c r="FZ130" s="13"/>
      <c r="GA130" s="23"/>
      <c r="GB130" s="23"/>
      <c r="GC130" s="23"/>
      <c r="GD130" s="23"/>
      <c r="GE130" s="23"/>
      <c r="GF130" s="23"/>
      <c r="GG130" s="23"/>
      <c r="GH130" s="23"/>
      <c r="GI130" s="23"/>
      <c r="GJ130" s="23"/>
      <c r="GK130" s="23"/>
      <c r="GL130" s="23"/>
      <c r="GM130" s="23"/>
      <c r="GO130" s="5"/>
      <c r="GP130" s="5"/>
      <c r="GQ130" s="5"/>
      <c r="GR130" s="5"/>
      <c r="GS130" s="5"/>
      <c r="GT130" s="5"/>
      <c r="GU130" s="5"/>
      <c r="GV130" s="5"/>
      <c r="GW130" s="5"/>
      <c r="GX130" s="5"/>
      <c r="GY130" s="5"/>
      <c r="GZ130" s="5"/>
      <c r="HB130" s="13"/>
      <c r="HC130" s="4"/>
      <c r="HD130" s="4"/>
      <c r="HE130" s="4"/>
      <c r="HF130" s="4"/>
      <c r="HG130" s="4"/>
      <c r="HH130" s="4"/>
      <c r="HI130" s="4"/>
      <c r="HJ130" s="4"/>
      <c r="HK130" s="4"/>
      <c r="HL130" s="4"/>
      <c r="HM130" s="4"/>
      <c r="HN130" s="4"/>
    </row>
    <row r="131" spans="158:222" x14ac:dyDescent="0.2">
      <c r="FB131" s="10"/>
      <c r="FC131" s="10"/>
      <c r="FD131" s="10"/>
      <c r="FE131" s="10"/>
      <c r="FF131" s="10"/>
      <c r="FG131" s="10"/>
      <c r="FH131" s="10"/>
      <c r="FI131" s="10"/>
      <c r="FJ131" s="10"/>
      <c r="FK131" s="10"/>
      <c r="FL131" s="10"/>
      <c r="FM131" s="10"/>
      <c r="FN131" s="10"/>
      <c r="FO131" s="10"/>
      <c r="FP131" s="10"/>
      <c r="FQ131" s="10"/>
      <c r="FW131" s="4"/>
      <c r="FX131" s="5"/>
      <c r="FZ131" s="13"/>
      <c r="GA131" s="23"/>
      <c r="GB131" s="23"/>
      <c r="GC131" s="23"/>
      <c r="GD131" s="23"/>
      <c r="GE131" s="23"/>
      <c r="GF131" s="23"/>
      <c r="GG131" s="23"/>
      <c r="GH131" s="23"/>
      <c r="GI131" s="23"/>
      <c r="GJ131" s="23"/>
      <c r="GK131" s="23"/>
      <c r="GL131" s="23"/>
      <c r="GM131" s="23"/>
      <c r="GO131" s="5"/>
      <c r="GP131" s="5"/>
      <c r="GQ131" s="5"/>
      <c r="GR131" s="5"/>
      <c r="GS131" s="5"/>
      <c r="GT131" s="5"/>
      <c r="GU131" s="5"/>
      <c r="GV131" s="5"/>
      <c r="GW131" s="5"/>
      <c r="GX131" s="5"/>
      <c r="GY131" s="5"/>
      <c r="GZ131" s="5"/>
      <c r="HB131" s="13"/>
      <c r="HC131" s="4"/>
      <c r="HD131" s="4"/>
      <c r="HE131" s="4"/>
      <c r="HF131" s="4"/>
      <c r="HG131" s="4"/>
      <c r="HH131" s="4"/>
      <c r="HI131" s="4"/>
      <c r="HJ131" s="4"/>
      <c r="HK131" s="4"/>
      <c r="HL131" s="4"/>
      <c r="HM131" s="4"/>
      <c r="HN131" s="4"/>
    </row>
    <row r="132" spans="158:222" x14ac:dyDescent="0.2">
      <c r="FB132" s="10"/>
      <c r="FC132" s="10"/>
      <c r="FD132" s="10"/>
      <c r="FE132" s="10"/>
      <c r="FF132" s="10"/>
      <c r="FG132" s="10"/>
      <c r="FH132" s="10"/>
      <c r="FI132" s="10"/>
      <c r="FJ132" s="10"/>
      <c r="FK132" s="10"/>
      <c r="FL132" s="10"/>
      <c r="FM132" s="10"/>
      <c r="FN132" s="10"/>
      <c r="FO132" s="10"/>
      <c r="FP132" s="10"/>
      <c r="FQ132" s="10"/>
      <c r="FW132" s="4"/>
      <c r="FX132" s="5"/>
      <c r="FZ132" s="13"/>
      <c r="GA132" s="23"/>
      <c r="GB132" s="23"/>
      <c r="GC132" s="23"/>
      <c r="GD132" s="23"/>
      <c r="GE132" s="23"/>
      <c r="GF132" s="23"/>
      <c r="GG132" s="23"/>
      <c r="GH132" s="23"/>
      <c r="GI132" s="23"/>
      <c r="GJ132" s="23"/>
      <c r="GK132" s="23"/>
      <c r="GL132" s="23"/>
      <c r="GM132" s="23"/>
      <c r="GO132" s="5"/>
      <c r="GP132" s="5"/>
      <c r="GQ132" s="5"/>
      <c r="GR132" s="5"/>
      <c r="GS132" s="5"/>
      <c r="GT132" s="5"/>
      <c r="GU132" s="5"/>
      <c r="GV132" s="5"/>
      <c r="GW132" s="5"/>
      <c r="GX132" s="5"/>
      <c r="GY132" s="5"/>
      <c r="GZ132" s="5"/>
      <c r="HB132" s="13"/>
      <c r="HC132" s="4"/>
      <c r="HD132" s="4"/>
      <c r="HE132" s="4"/>
      <c r="HF132" s="4"/>
      <c r="HG132" s="4"/>
      <c r="HH132" s="4"/>
      <c r="HI132" s="4"/>
      <c r="HJ132" s="4"/>
      <c r="HK132" s="4"/>
      <c r="HL132" s="4"/>
      <c r="HM132" s="4"/>
      <c r="HN132" s="4"/>
    </row>
    <row r="133" spans="158:222" x14ac:dyDescent="0.2">
      <c r="FB133" s="10"/>
      <c r="FC133" s="10"/>
      <c r="FD133" s="10"/>
      <c r="FE133" s="10"/>
      <c r="FF133" s="10"/>
      <c r="FG133" s="10"/>
      <c r="FH133" s="10"/>
      <c r="FI133" s="10"/>
      <c r="FJ133" s="10"/>
      <c r="FK133" s="10"/>
      <c r="FL133" s="10"/>
      <c r="FM133" s="10"/>
      <c r="FN133" s="10"/>
      <c r="FO133" s="10"/>
      <c r="FP133" s="10"/>
      <c r="FQ133" s="10"/>
      <c r="FW133" s="4"/>
      <c r="FX133" s="5"/>
      <c r="FZ133" s="13"/>
      <c r="GA133" s="23"/>
      <c r="GB133" s="23"/>
      <c r="GC133" s="23"/>
      <c r="GD133" s="23"/>
      <c r="GE133" s="23"/>
      <c r="GF133" s="23"/>
      <c r="GG133" s="23"/>
      <c r="GH133" s="23"/>
      <c r="GI133" s="23"/>
      <c r="GJ133" s="23"/>
      <c r="GK133" s="23"/>
      <c r="GL133" s="23"/>
      <c r="GM133" s="23"/>
      <c r="GO133" s="5"/>
      <c r="GP133" s="5"/>
      <c r="GQ133" s="5"/>
      <c r="GR133" s="5"/>
      <c r="GS133" s="5"/>
      <c r="GT133" s="5"/>
      <c r="GU133" s="5"/>
      <c r="GV133" s="5"/>
      <c r="GW133" s="5"/>
      <c r="GX133" s="5"/>
      <c r="GY133" s="5"/>
      <c r="GZ133" s="5"/>
      <c r="HB133" s="13"/>
      <c r="HC133" s="4"/>
      <c r="HD133" s="4"/>
      <c r="HE133" s="4"/>
      <c r="HF133" s="4"/>
      <c r="HG133" s="4"/>
      <c r="HH133" s="4"/>
      <c r="HI133" s="4"/>
      <c r="HJ133" s="4"/>
      <c r="HK133" s="4"/>
      <c r="HL133" s="4"/>
      <c r="HM133" s="4"/>
      <c r="HN133" s="4"/>
    </row>
    <row r="134" spans="158:222" x14ac:dyDescent="0.2">
      <c r="FB134" s="10"/>
      <c r="FC134" s="10"/>
      <c r="FD134" s="10"/>
      <c r="FE134" s="10"/>
      <c r="FF134" s="10"/>
      <c r="FG134" s="10"/>
      <c r="FH134" s="10"/>
      <c r="FI134" s="10"/>
      <c r="FJ134" s="10"/>
      <c r="FK134" s="10"/>
      <c r="FL134" s="10"/>
      <c r="FM134" s="10"/>
      <c r="FN134" s="10"/>
      <c r="FO134" s="10"/>
      <c r="FP134" s="10"/>
      <c r="FQ134" s="10"/>
      <c r="FW134" s="4"/>
      <c r="FX134" s="5"/>
      <c r="FZ134" s="13"/>
      <c r="GA134" s="23"/>
      <c r="GB134" s="23"/>
      <c r="GC134" s="23"/>
      <c r="GD134" s="23"/>
      <c r="GE134" s="23"/>
      <c r="GF134" s="23"/>
      <c r="GG134" s="23"/>
      <c r="GH134" s="23"/>
      <c r="GI134" s="23"/>
      <c r="GJ134" s="23"/>
      <c r="GK134" s="23"/>
      <c r="GL134" s="23"/>
      <c r="GM134" s="23"/>
      <c r="GO134" s="5"/>
      <c r="GP134" s="5"/>
      <c r="GQ134" s="5"/>
      <c r="GR134" s="5"/>
      <c r="GS134" s="5"/>
      <c r="GT134" s="5"/>
      <c r="GU134" s="5"/>
      <c r="GV134" s="5"/>
      <c r="GW134" s="5"/>
      <c r="GX134" s="5"/>
      <c r="GY134" s="5"/>
      <c r="GZ134" s="5"/>
      <c r="HB134" s="13"/>
      <c r="HC134" s="4"/>
      <c r="HD134" s="4"/>
      <c r="HE134" s="4"/>
      <c r="HF134" s="4"/>
      <c r="HG134" s="4"/>
      <c r="HH134" s="4"/>
      <c r="HI134" s="4"/>
      <c r="HJ134" s="4"/>
      <c r="HK134" s="4"/>
      <c r="HL134" s="4"/>
      <c r="HM134" s="4"/>
      <c r="HN134" s="4"/>
    </row>
    <row r="135" spans="158:222" x14ac:dyDescent="0.2">
      <c r="FB135" s="10"/>
      <c r="FC135" s="10"/>
      <c r="FD135" s="10"/>
      <c r="FE135" s="10"/>
      <c r="FF135" s="10"/>
      <c r="FG135" s="10"/>
      <c r="FH135" s="10"/>
      <c r="FI135" s="10"/>
      <c r="FJ135" s="10"/>
      <c r="FK135" s="10"/>
      <c r="FL135" s="10"/>
      <c r="FM135" s="10"/>
      <c r="FN135" s="10"/>
      <c r="FO135" s="10"/>
      <c r="FP135" s="10"/>
      <c r="FQ135" s="10"/>
      <c r="FW135" s="4"/>
      <c r="FX135" s="5"/>
      <c r="FZ135" s="13"/>
      <c r="GA135" s="23"/>
      <c r="GB135" s="23"/>
      <c r="GC135" s="23"/>
      <c r="GD135" s="23"/>
      <c r="GE135" s="23"/>
      <c r="GF135" s="23"/>
      <c r="GG135" s="23"/>
      <c r="GH135" s="23"/>
      <c r="GI135" s="23"/>
      <c r="GJ135" s="23"/>
      <c r="GK135" s="23"/>
      <c r="GL135" s="23"/>
      <c r="GM135" s="23"/>
      <c r="GO135" s="5"/>
      <c r="GP135" s="5"/>
      <c r="GQ135" s="5"/>
      <c r="GR135" s="5"/>
      <c r="GS135" s="5"/>
      <c r="GT135" s="5"/>
      <c r="GU135" s="5"/>
      <c r="GV135" s="5"/>
      <c r="GW135" s="5"/>
      <c r="GX135" s="5"/>
      <c r="GY135" s="5"/>
      <c r="GZ135" s="5"/>
      <c r="HB135" s="13"/>
      <c r="HC135" s="4"/>
      <c r="HD135" s="4"/>
      <c r="HE135" s="4"/>
      <c r="HF135" s="4"/>
      <c r="HG135" s="4"/>
      <c r="HH135" s="4"/>
      <c r="HI135" s="4"/>
      <c r="HJ135" s="4"/>
      <c r="HK135" s="4"/>
      <c r="HL135" s="4"/>
      <c r="HM135" s="4"/>
      <c r="HN135" s="4"/>
    </row>
    <row r="136" spans="158:222" x14ac:dyDescent="0.2">
      <c r="FB136" s="10"/>
      <c r="FC136" s="10"/>
      <c r="FD136" s="10"/>
      <c r="FE136" s="10"/>
      <c r="FF136" s="10"/>
      <c r="FG136" s="10"/>
      <c r="FH136" s="10"/>
      <c r="FI136" s="10"/>
      <c r="FJ136" s="10"/>
      <c r="FK136" s="10"/>
      <c r="FL136" s="10"/>
      <c r="FM136" s="10"/>
      <c r="FN136" s="10"/>
      <c r="FO136" s="10"/>
      <c r="FP136" s="10"/>
      <c r="FQ136" s="10"/>
      <c r="FW136" s="4"/>
      <c r="FX136" s="5"/>
      <c r="FZ136" s="13"/>
      <c r="GA136" s="23"/>
      <c r="GB136" s="23"/>
      <c r="GC136" s="23"/>
      <c r="GD136" s="23"/>
      <c r="GE136" s="23"/>
      <c r="GF136" s="23"/>
      <c r="GG136" s="23"/>
      <c r="GH136" s="23"/>
      <c r="GI136" s="23"/>
      <c r="GJ136" s="23"/>
      <c r="GK136" s="23"/>
      <c r="GL136" s="23"/>
      <c r="GM136" s="23"/>
      <c r="GO136" s="5"/>
      <c r="GP136" s="5"/>
      <c r="GQ136" s="5"/>
      <c r="GR136" s="5"/>
      <c r="GS136" s="5"/>
      <c r="GT136" s="5"/>
      <c r="GU136" s="5"/>
      <c r="GV136" s="5"/>
      <c r="GW136" s="5"/>
      <c r="GX136" s="5"/>
      <c r="GY136" s="5"/>
      <c r="GZ136" s="5"/>
      <c r="HB136" s="13"/>
      <c r="HC136" s="4"/>
      <c r="HD136" s="4"/>
      <c r="HE136" s="4"/>
      <c r="HF136" s="4"/>
      <c r="HG136" s="4"/>
      <c r="HH136" s="4"/>
      <c r="HI136" s="4"/>
      <c r="HJ136" s="4"/>
      <c r="HK136" s="4"/>
      <c r="HL136" s="4"/>
      <c r="HM136" s="4"/>
      <c r="HN136" s="4"/>
    </row>
    <row r="137" spans="158:222" x14ac:dyDescent="0.2">
      <c r="FB137" s="10"/>
      <c r="FC137" s="10"/>
      <c r="FD137" s="10"/>
      <c r="FE137" s="10"/>
      <c r="FF137" s="10"/>
      <c r="FG137" s="10"/>
      <c r="FH137" s="10"/>
      <c r="FI137" s="10"/>
      <c r="FJ137" s="10"/>
      <c r="FK137" s="10"/>
      <c r="FL137" s="10"/>
      <c r="FM137" s="10"/>
      <c r="FN137" s="10"/>
      <c r="FO137" s="10"/>
      <c r="FP137" s="10"/>
      <c r="FQ137" s="10"/>
      <c r="FW137" s="4"/>
      <c r="FX137" s="5"/>
      <c r="FZ137" s="13"/>
      <c r="GA137" s="23"/>
      <c r="GB137" s="23"/>
      <c r="GC137" s="23"/>
      <c r="GD137" s="23"/>
      <c r="GE137" s="23"/>
      <c r="GF137" s="23"/>
      <c r="GG137" s="23"/>
      <c r="GH137" s="23"/>
      <c r="GI137" s="23"/>
      <c r="GJ137" s="23"/>
      <c r="GK137" s="23"/>
      <c r="GL137" s="23"/>
      <c r="GM137" s="23"/>
      <c r="GO137" s="5"/>
      <c r="GP137" s="5"/>
      <c r="GQ137" s="5"/>
      <c r="GR137" s="5"/>
      <c r="GS137" s="5"/>
      <c r="GT137" s="5"/>
      <c r="GU137" s="5"/>
      <c r="GV137" s="5"/>
      <c r="GW137" s="5"/>
      <c r="GX137" s="5"/>
      <c r="GY137" s="5"/>
      <c r="GZ137" s="5"/>
      <c r="HB137" s="13"/>
      <c r="HC137" s="4"/>
      <c r="HD137" s="4"/>
      <c r="HE137" s="4"/>
      <c r="HF137" s="4"/>
      <c r="HG137" s="4"/>
      <c r="HH137" s="4"/>
      <c r="HI137" s="4"/>
      <c r="HJ137" s="4"/>
      <c r="HK137" s="4"/>
      <c r="HL137" s="4"/>
      <c r="HM137" s="4"/>
      <c r="HN137" s="4"/>
    </row>
    <row r="138" spans="158:222" x14ac:dyDescent="0.2">
      <c r="FB138" s="10"/>
      <c r="FC138" s="10"/>
      <c r="FD138" s="10"/>
      <c r="FE138" s="10"/>
      <c r="FF138" s="10"/>
      <c r="FG138" s="10"/>
      <c r="FH138" s="10"/>
      <c r="FI138" s="10"/>
      <c r="FJ138" s="10"/>
      <c r="FK138" s="10"/>
      <c r="FL138" s="10"/>
      <c r="FM138" s="10"/>
      <c r="FN138" s="10"/>
      <c r="FO138" s="10"/>
      <c r="FP138" s="10"/>
      <c r="FQ138" s="10"/>
      <c r="FW138" s="4"/>
      <c r="FX138" s="5"/>
      <c r="FZ138" s="13"/>
      <c r="GA138" s="23"/>
      <c r="GB138" s="23"/>
      <c r="GC138" s="23"/>
      <c r="GD138" s="23"/>
      <c r="GE138" s="23"/>
      <c r="GF138" s="23"/>
      <c r="GG138" s="23"/>
      <c r="GH138" s="23"/>
      <c r="GI138" s="23"/>
      <c r="GJ138" s="23"/>
      <c r="GK138" s="23"/>
      <c r="GL138" s="23"/>
      <c r="GM138" s="23"/>
      <c r="GO138" s="5"/>
      <c r="GP138" s="5"/>
      <c r="GQ138" s="5"/>
      <c r="GR138" s="5"/>
      <c r="GS138" s="5"/>
      <c r="GT138" s="5"/>
      <c r="GU138" s="5"/>
      <c r="GV138" s="5"/>
      <c r="GW138" s="5"/>
      <c r="GX138" s="5"/>
      <c r="GY138" s="5"/>
      <c r="GZ138" s="5"/>
      <c r="HB138" s="13"/>
      <c r="HC138" s="4"/>
      <c r="HD138" s="4"/>
      <c r="HE138" s="4"/>
      <c r="HF138" s="4"/>
      <c r="HG138" s="4"/>
      <c r="HH138" s="4"/>
      <c r="HI138" s="4"/>
      <c r="HJ138" s="4"/>
      <c r="HK138" s="4"/>
      <c r="HL138" s="4"/>
      <c r="HM138" s="4"/>
      <c r="HN138" s="4"/>
    </row>
    <row r="139" spans="158:222" x14ac:dyDescent="0.2">
      <c r="FB139" s="10"/>
      <c r="FC139" s="10"/>
      <c r="FD139" s="10"/>
      <c r="FE139" s="10"/>
      <c r="FF139" s="10"/>
      <c r="FG139" s="10"/>
      <c r="FH139" s="10"/>
      <c r="FI139" s="10"/>
      <c r="FJ139" s="10"/>
      <c r="FK139" s="10"/>
      <c r="FL139" s="10"/>
      <c r="FM139" s="10"/>
      <c r="FN139" s="10"/>
      <c r="FO139" s="10"/>
      <c r="FP139" s="10"/>
      <c r="FQ139" s="10"/>
      <c r="FW139" s="4"/>
      <c r="FX139" s="5"/>
      <c r="FZ139" s="13"/>
      <c r="GA139" s="23"/>
      <c r="GB139" s="23"/>
      <c r="GC139" s="23"/>
      <c r="GD139" s="23"/>
      <c r="GE139" s="23"/>
      <c r="GF139" s="23"/>
      <c r="GG139" s="23"/>
      <c r="GH139" s="23"/>
      <c r="GI139" s="23"/>
      <c r="GJ139" s="23"/>
      <c r="GK139" s="23"/>
      <c r="GL139" s="23"/>
      <c r="GM139" s="23"/>
      <c r="GO139" s="5"/>
      <c r="GP139" s="5"/>
      <c r="GQ139" s="5"/>
      <c r="GR139" s="5"/>
      <c r="GS139" s="5"/>
      <c r="GT139" s="5"/>
      <c r="GU139" s="5"/>
      <c r="GV139" s="5"/>
      <c r="GW139" s="5"/>
      <c r="GX139" s="5"/>
      <c r="GY139" s="5"/>
      <c r="GZ139" s="5"/>
      <c r="HB139" s="13"/>
      <c r="HC139" s="4"/>
      <c r="HD139" s="4"/>
      <c r="HE139" s="4"/>
      <c r="HF139" s="4"/>
      <c r="HG139" s="4"/>
      <c r="HH139" s="4"/>
      <c r="HI139" s="4"/>
      <c r="HJ139" s="4"/>
      <c r="HK139" s="4"/>
      <c r="HL139" s="4"/>
      <c r="HM139" s="4"/>
      <c r="HN139" s="4"/>
    </row>
    <row r="140" spans="158:222" x14ac:dyDescent="0.2">
      <c r="FB140" s="10"/>
      <c r="FC140" s="10"/>
      <c r="FD140" s="10"/>
      <c r="FE140" s="10"/>
      <c r="FF140" s="10"/>
      <c r="FG140" s="10"/>
      <c r="FH140" s="10"/>
      <c r="FI140" s="10"/>
      <c r="FJ140" s="10"/>
      <c r="FK140" s="10"/>
      <c r="FL140" s="10"/>
      <c r="FM140" s="10"/>
      <c r="FN140" s="10"/>
      <c r="FO140" s="10"/>
      <c r="FP140" s="10"/>
      <c r="FQ140" s="10"/>
      <c r="FW140" s="4"/>
      <c r="FX140" s="5"/>
      <c r="FZ140" s="13"/>
      <c r="GA140" s="23"/>
      <c r="GB140" s="23"/>
      <c r="GC140" s="23"/>
      <c r="GD140" s="23"/>
      <c r="GE140" s="23"/>
      <c r="GF140" s="23"/>
      <c r="GG140" s="23"/>
      <c r="GH140" s="23"/>
      <c r="GI140" s="23"/>
      <c r="GJ140" s="23"/>
      <c r="GK140" s="23"/>
      <c r="GL140" s="23"/>
      <c r="GM140" s="23"/>
      <c r="GO140" s="5"/>
      <c r="GP140" s="5"/>
      <c r="GQ140" s="5"/>
      <c r="GR140" s="5"/>
      <c r="GS140" s="5"/>
      <c r="GT140" s="5"/>
      <c r="GU140" s="5"/>
      <c r="GV140" s="5"/>
      <c r="GW140" s="5"/>
      <c r="GX140" s="5"/>
      <c r="GY140" s="5"/>
      <c r="GZ140" s="5"/>
      <c r="HB140" s="13"/>
      <c r="HC140" s="4"/>
      <c r="HD140" s="4"/>
      <c r="HE140" s="4"/>
      <c r="HF140" s="4"/>
      <c r="HG140" s="4"/>
      <c r="HH140" s="4"/>
      <c r="HI140" s="4"/>
      <c r="HJ140" s="4"/>
      <c r="HK140" s="4"/>
      <c r="HL140" s="4"/>
      <c r="HM140" s="4"/>
      <c r="HN140" s="4"/>
    </row>
    <row r="141" spans="158:222" x14ac:dyDescent="0.2">
      <c r="FB141" s="10"/>
      <c r="FC141" s="10"/>
      <c r="FD141" s="10"/>
      <c r="FE141" s="10"/>
      <c r="FF141" s="10"/>
      <c r="FG141" s="10"/>
      <c r="FH141" s="10"/>
      <c r="FI141" s="10"/>
      <c r="FJ141" s="10"/>
      <c r="FK141" s="10"/>
      <c r="FL141" s="10"/>
      <c r="FM141" s="10"/>
      <c r="FN141" s="10"/>
      <c r="FO141" s="10"/>
      <c r="FP141" s="10"/>
      <c r="FQ141" s="10"/>
      <c r="FW141" s="4"/>
      <c r="FX141" s="5"/>
      <c r="FZ141" s="13"/>
      <c r="GA141" s="23"/>
      <c r="GB141" s="23"/>
      <c r="GC141" s="23"/>
      <c r="GD141" s="23"/>
      <c r="GE141" s="23"/>
      <c r="GF141" s="23"/>
      <c r="GG141" s="23"/>
      <c r="GH141" s="23"/>
      <c r="GI141" s="23"/>
      <c r="GJ141" s="23"/>
      <c r="GK141" s="23"/>
      <c r="GL141" s="23"/>
      <c r="GM141" s="23"/>
      <c r="GO141" s="5"/>
      <c r="GP141" s="5"/>
      <c r="GQ141" s="5"/>
      <c r="GR141" s="5"/>
      <c r="GS141" s="5"/>
      <c r="GT141" s="5"/>
      <c r="GU141" s="5"/>
      <c r="GV141" s="5"/>
      <c r="GW141" s="5"/>
      <c r="GX141" s="5"/>
      <c r="GY141" s="5"/>
      <c r="GZ141" s="5"/>
      <c r="HB141" s="13"/>
      <c r="HC141" s="4"/>
      <c r="HD141" s="4"/>
      <c r="HE141" s="4"/>
      <c r="HF141" s="4"/>
      <c r="HG141" s="4"/>
      <c r="HH141" s="4"/>
      <c r="HI141" s="4"/>
      <c r="HJ141" s="4"/>
      <c r="HK141" s="4"/>
      <c r="HL141" s="4"/>
      <c r="HM141" s="4"/>
      <c r="HN141" s="4"/>
    </row>
    <row r="142" spans="158:222" x14ac:dyDescent="0.2">
      <c r="FB142" s="10"/>
      <c r="FC142" s="10"/>
      <c r="FD142" s="10"/>
      <c r="FE142" s="10"/>
      <c r="FF142" s="10"/>
      <c r="FG142" s="10"/>
      <c r="FH142" s="10"/>
      <c r="FI142" s="10"/>
      <c r="FJ142" s="10"/>
      <c r="FK142" s="10"/>
      <c r="FL142" s="10"/>
      <c r="FM142" s="10"/>
      <c r="FN142" s="10"/>
      <c r="FO142" s="10"/>
      <c r="FP142" s="10"/>
      <c r="FQ142" s="10"/>
      <c r="FW142" s="4"/>
      <c r="FX142" s="5"/>
      <c r="FZ142" s="13"/>
      <c r="GA142" s="23"/>
      <c r="GB142" s="23"/>
      <c r="GC142" s="23"/>
      <c r="GD142" s="23"/>
      <c r="GE142" s="23"/>
      <c r="GF142" s="23"/>
      <c r="GG142" s="23"/>
      <c r="GH142" s="23"/>
      <c r="GI142" s="23"/>
      <c r="GJ142" s="23"/>
      <c r="GK142" s="23"/>
      <c r="GL142" s="23"/>
      <c r="GM142" s="23"/>
      <c r="GO142" s="5"/>
      <c r="GP142" s="5"/>
      <c r="GQ142" s="5"/>
      <c r="GR142" s="5"/>
      <c r="GS142" s="5"/>
      <c r="GT142" s="5"/>
      <c r="GU142" s="5"/>
      <c r="GV142" s="5"/>
      <c r="GW142" s="5"/>
      <c r="GX142" s="5"/>
      <c r="GY142" s="5"/>
      <c r="GZ142" s="5"/>
      <c r="HB142" s="13"/>
      <c r="HC142" s="4"/>
      <c r="HD142" s="4"/>
      <c r="HE142" s="4"/>
      <c r="HF142" s="4"/>
      <c r="HG142" s="4"/>
      <c r="HH142" s="4"/>
      <c r="HI142" s="4"/>
      <c r="HJ142" s="4"/>
      <c r="HK142" s="4"/>
      <c r="HL142" s="4"/>
      <c r="HM142" s="4"/>
      <c r="HN142" s="4"/>
    </row>
    <row r="143" spans="158:222" x14ac:dyDescent="0.2">
      <c r="FB143" s="10"/>
      <c r="FC143" s="10"/>
      <c r="FD143" s="10"/>
      <c r="FE143" s="10"/>
      <c r="FF143" s="10"/>
      <c r="FG143" s="10"/>
      <c r="FH143" s="10"/>
      <c r="FI143" s="10"/>
      <c r="FJ143" s="10"/>
      <c r="FK143" s="10"/>
      <c r="FL143" s="10"/>
      <c r="FM143" s="10"/>
      <c r="FN143" s="10"/>
      <c r="FO143" s="10"/>
      <c r="FP143" s="10"/>
      <c r="FQ143" s="10"/>
      <c r="FW143" s="4"/>
      <c r="FX143" s="5"/>
      <c r="FZ143" s="13"/>
      <c r="GA143" s="23"/>
      <c r="GB143" s="23"/>
      <c r="GC143" s="23"/>
      <c r="GD143" s="23"/>
      <c r="GE143" s="23"/>
      <c r="GF143" s="23"/>
      <c r="GG143" s="23"/>
      <c r="GH143" s="23"/>
      <c r="GI143" s="23"/>
      <c r="GJ143" s="23"/>
      <c r="GK143" s="23"/>
      <c r="GL143" s="23"/>
      <c r="GM143" s="23"/>
      <c r="GO143" s="5"/>
      <c r="GP143" s="5"/>
      <c r="GQ143" s="5"/>
      <c r="GR143" s="5"/>
      <c r="GS143" s="5"/>
      <c r="GT143" s="5"/>
      <c r="GU143" s="5"/>
      <c r="GV143" s="5"/>
      <c r="GW143" s="5"/>
      <c r="GX143" s="5"/>
      <c r="GY143" s="5"/>
      <c r="GZ143" s="5"/>
      <c r="HB143" s="13"/>
      <c r="HC143" s="4"/>
      <c r="HD143" s="4"/>
      <c r="HE143" s="4"/>
      <c r="HF143" s="4"/>
      <c r="HG143" s="4"/>
      <c r="HH143" s="4"/>
      <c r="HI143" s="4"/>
      <c r="HJ143" s="4"/>
      <c r="HK143" s="4"/>
      <c r="HL143" s="4"/>
      <c r="HM143" s="4"/>
      <c r="HN143" s="4"/>
    </row>
    <row r="144" spans="158:222" x14ac:dyDescent="0.2">
      <c r="FB144" s="10"/>
      <c r="FC144" s="10"/>
      <c r="FD144" s="10"/>
      <c r="FE144" s="10"/>
      <c r="FF144" s="10"/>
      <c r="FG144" s="10"/>
      <c r="FH144" s="10"/>
      <c r="FI144" s="10"/>
      <c r="FJ144" s="10"/>
      <c r="FK144" s="10"/>
      <c r="FL144" s="10"/>
      <c r="FM144" s="10"/>
      <c r="FN144" s="10"/>
      <c r="FO144" s="10"/>
      <c r="FP144" s="10"/>
      <c r="FQ144" s="10"/>
      <c r="FW144" s="4"/>
      <c r="FX144" s="5"/>
      <c r="FZ144" s="13"/>
      <c r="GA144" s="23"/>
      <c r="GB144" s="23"/>
      <c r="GC144" s="23"/>
      <c r="GD144" s="23"/>
      <c r="GE144" s="23"/>
      <c r="GF144" s="23"/>
      <c r="GG144" s="23"/>
      <c r="GH144" s="23"/>
      <c r="GI144" s="23"/>
      <c r="GJ144" s="23"/>
      <c r="GK144" s="23"/>
      <c r="GL144" s="23"/>
      <c r="GM144" s="23"/>
      <c r="GO144" s="5"/>
      <c r="GP144" s="5"/>
      <c r="GQ144" s="5"/>
      <c r="GR144" s="5"/>
      <c r="GS144" s="5"/>
      <c r="GT144" s="5"/>
      <c r="GU144" s="5"/>
      <c r="GV144" s="5"/>
      <c r="GW144" s="5"/>
      <c r="GX144" s="5"/>
      <c r="GY144" s="5"/>
      <c r="GZ144" s="5"/>
      <c r="HB144" s="13"/>
      <c r="HC144" s="4"/>
      <c r="HD144" s="4"/>
      <c r="HE144" s="4"/>
      <c r="HF144" s="4"/>
      <c r="HG144" s="4"/>
      <c r="HH144" s="4"/>
      <c r="HI144" s="4"/>
      <c r="HJ144" s="4"/>
      <c r="HK144" s="4"/>
      <c r="HL144" s="4"/>
      <c r="HM144" s="4"/>
      <c r="HN144" s="4"/>
    </row>
    <row r="145" spans="158:222" x14ac:dyDescent="0.2">
      <c r="FB145" s="10"/>
      <c r="FC145" s="10"/>
      <c r="FD145" s="10"/>
      <c r="FE145" s="10"/>
      <c r="FF145" s="10"/>
      <c r="FG145" s="10"/>
      <c r="FH145" s="10"/>
      <c r="FI145" s="10"/>
      <c r="FJ145" s="10"/>
      <c r="FK145" s="10"/>
      <c r="FL145" s="10"/>
      <c r="FM145" s="10"/>
      <c r="FN145" s="10"/>
      <c r="FO145" s="10"/>
      <c r="FP145" s="10"/>
      <c r="FQ145" s="10"/>
      <c r="FW145" s="4"/>
      <c r="FX145" s="5"/>
      <c r="FZ145" s="13"/>
      <c r="GA145" s="23"/>
      <c r="GB145" s="23"/>
      <c r="GC145" s="23"/>
      <c r="GD145" s="23"/>
      <c r="GE145" s="23"/>
      <c r="GF145" s="23"/>
      <c r="GG145" s="23"/>
      <c r="GH145" s="23"/>
      <c r="GI145" s="23"/>
      <c r="GJ145" s="23"/>
      <c r="GK145" s="23"/>
      <c r="GL145" s="23"/>
      <c r="GM145" s="23"/>
      <c r="GO145" s="5"/>
      <c r="GP145" s="5"/>
      <c r="GQ145" s="5"/>
      <c r="GR145" s="5"/>
      <c r="GS145" s="5"/>
      <c r="GT145" s="5"/>
      <c r="GU145" s="5"/>
      <c r="GV145" s="5"/>
      <c r="GW145" s="5"/>
      <c r="GX145" s="5"/>
      <c r="GY145" s="5"/>
      <c r="GZ145" s="5"/>
      <c r="HB145" s="13"/>
      <c r="HC145" s="4"/>
      <c r="HD145" s="4"/>
      <c r="HE145" s="4"/>
      <c r="HF145" s="4"/>
      <c r="HG145" s="4"/>
      <c r="HH145" s="4"/>
      <c r="HI145" s="4"/>
      <c r="HJ145" s="4"/>
      <c r="HK145" s="4"/>
      <c r="HL145" s="4"/>
      <c r="HM145" s="4"/>
      <c r="HN145" s="4"/>
    </row>
    <row r="146" spans="158:222" x14ac:dyDescent="0.2">
      <c r="FB146" s="10"/>
      <c r="FC146" s="10"/>
      <c r="FD146" s="10"/>
      <c r="FE146" s="10"/>
      <c r="FF146" s="10"/>
      <c r="FG146" s="10"/>
      <c r="FH146" s="10"/>
      <c r="FI146" s="10"/>
      <c r="FJ146" s="10"/>
      <c r="FK146" s="10"/>
      <c r="FL146" s="10"/>
      <c r="FM146" s="10"/>
      <c r="FN146" s="10"/>
      <c r="FO146" s="10"/>
      <c r="FP146" s="10"/>
      <c r="FQ146" s="10"/>
      <c r="FW146" s="4"/>
      <c r="FX146" s="5"/>
      <c r="FZ146" s="13"/>
      <c r="GA146" s="23"/>
      <c r="GB146" s="23"/>
      <c r="GC146" s="23"/>
      <c r="GD146" s="23"/>
      <c r="GE146" s="23"/>
      <c r="GF146" s="23"/>
      <c r="GG146" s="23"/>
      <c r="GH146" s="23"/>
      <c r="GI146" s="23"/>
      <c r="GJ146" s="23"/>
      <c r="GK146" s="23"/>
      <c r="GL146" s="23"/>
      <c r="GM146" s="23"/>
      <c r="GO146" s="5"/>
      <c r="GP146" s="5"/>
      <c r="GQ146" s="5"/>
      <c r="GR146" s="5"/>
      <c r="GS146" s="5"/>
      <c r="GT146" s="5"/>
      <c r="GU146" s="5"/>
      <c r="GV146" s="5"/>
      <c r="GW146" s="5"/>
      <c r="GX146" s="5"/>
      <c r="GY146" s="5"/>
      <c r="GZ146" s="5"/>
      <c r="HB146" s="13"/>
      <c r="HC146" s="4"/>
      <c r="HD146" s="4"/>
      <c r="HE146" s="4"/>
      <c r="HF146" s="4"/>
      <c r="HG146" s="4"/>
      <c r="HH146" s="4"/>
      <c r="HI146" s="4"/>
      <c r="HJ146" s="4"/>
      <c r="HK146" s="4"/>
      <c r="HL146" s="4"/>
      <c r="HM146" s="4"/>
      <c r="HN146" s="4"/>
    </row>
    <row r="147" spans="158:222" x14ac:dyDescent="0.2">
      <c r="FB147" s="10"/>
      <c r="FC147" s="10"/>
      <c r="FD147" s="10"/>
      <c r="FE147" s="10"/>
      <c r="FF147" s="10"/>
      <c r="FG147" s="10"/>
      <c r="FH147" s="10"/>
      <c r="FI147" s="10"/>
      <c r="FJ147" s="10"/>
      <c r="FK147" s="10"/>
      <c r="FL147" s="10"/>
      <c r="FM147" s="10"/>
      <c r="FN147" s="10"/>
      <c r="FO147" s="10"/>
      <c r="FP147" s="10"/>
      <c r="FQ147" s="10"/>
      <c r="FW147" s="4"/>
      <c r="FX147" s="5"/>
      <c r="FZ147" s="13"/>
      <c r="GA147" s="23"/>
      <c r="GB147" s="23"/>
      <c r="GC147" s="23"/>
      <c r="GD147" s="23"/>
      <c r="GE147" s="23"/>
      <c r="GF147" s="23"/>
      <c r="GG147" s="23"/>
      <c r="GH147" s="23"/>
      <c r="GI147" s="23"/>
      <c r="GJ147" s="23"/>
      <c r="GK147" s="23"/>
      <c r="GL147" s="23"/>
      <c r="GM147" s="23"/>
      <c r="GO147" s="5"/>
      <c r="GP147" s="5"/>
      <c r="GQ147" s="5"/>
      <c r="GR147" s="5"/>
      <c r="GS147" s="5"/>
      <c r="GT147" s="5"/>
      <c r="GU147" s="5"/>
      <c r="GV147" s="5"/>
      <c r="GW147" s="5"/>
      <c r="GX147" s="5"/>
      <c r="GY147" s="5"/>
      <c r="GZ147" s="5"/>
      <c r="HB147" s="13"/>
      <c r="HC147" s="4"/>
      <c r="HD147" s="4"/>
      <c r="HE147" s="4"/>
      <c r="HF147" s="4"/>
      <c r="HG147" s="4"/>
      <c r="HH147" s="4"/>
      <c r="HI147" s="4"/>
      <c r="HJ147" s="4"/>
      <c r="HK147" s="4"/>
      <c r="HL147" s="4"/>
      <c r="HM147" s="4"/>
      <c r="HN147" s="4"/>
    </row>
    <row r="148" spans="158:222" x14ac:dyDescent="0.2">
      <c r="FB148" s="10"/>
      <c r="FC148" s="10"/>
      <c r="FD148" s="10"/>
      <c r="FE148" s="10"/>
      <c r="FF148" s="10"/>
      <c r="FG148" s="10"/>
      <c r="FH148" s="10"/>
      <c r="FI148" s="10"/>
      <c r="FJ148" s="10"/>
      <c r="FK148" s="10"/>
      <c r="FL148" s="10"/>
      <c r="FM148" s="10"/>
      <c r="FN148" s="10"/>
      <c r="FO148" s="10"/>
      <c r="FP148" s="10"/>
      <c r="FQ148" s="10"/>
      <c r="FW148" s="4"/>
      <c r="FX148" s="5"/>
      <c r="FZ148" s="13"/>
      <c r="GA148" s="23"/>
      <c r="GB148" s="23"/>
      <c r="GC148" s="23"/>
      <c r="GD148" s="23"/>
      <c r="GE148" s="23"/>
      <c r="GF148" s="23"/>
      <c r="GG148" s="23"/>
      <c r="GH148" s="23"/>
      <c r="GI148" s="23"/>
      <c r="GJ148" s="23"/>
      <c r="GK148" s="23"/>
      <c r="GL148" s="23"/>
      <c r="GM148" s="23"/>
      <c r="GO148" s="5"/>
      <c r="GP148" s="5"/>
      <c r="GQ148" s="5"/>
      <c r="GR148" s="5"/>
      <c r="GS148" s="5"/>
      <c r="GT148" s="5"/>
      <c r="GU148" s="5"/>
      <c r="GV148" s="5"/>
      <c r="GW148" s="5"/>
      <c r="GX148" s="5"/>
      <c r="GY148" s="5"/>
      <c r="GZ148" s="5"/>
      <c r="HB148" s="13"/>
      <c r="HC148" s="4"/>
      <c r="HD148" s="4"/>
      <c r="HE148" s="4"/>
      <c r="HF148" s="4"/>
      <c r="HG148" s="4"/>
      <c r="HH148" s="4"/>
      <c r="HI148" s="4"/>
      <c r="HJ148" s="4"/>
      <c r="HK148" s="4"/>
      <c r="HL148" s="4"/>
      <c r="HM148" s="4"/>
      <c r="HN148" s="4"/>
    </row>
    <row r="149" spans="158:222" x14ac:dyDescent="0.2">
      <c r="FB149" s="10"/>
      <c r="FC149" s="10"/>
      <c r="FD149" s="10"/>
      <c r="FE149" s="10"/>
      <c r="FF149" s="10"/>
      <c r="FG149" s="10"/>
      <c r="FH149" s="10"/>
      <c r="FI149" s="10"/>
      <c r="FJ149" s="10"/>
      <c r="FK149" s="10"/>
      <c r="FL149" s="10"/>
      <c r="FM149" s="10"/>
      <c r="FN149" s="10"/>
      <c r="FO149" s="10"/>
      <c r="FP149" s="10"/>
      <c r="FQ149" s="10"/>
      <c r="FW149" s="4"/>
      <c r="FX149" s="5"/>
      <c r="FZ149" s="13"/>
      <c r="GA149" s="23"/>
      <c r="GB149" s="23"/>
      <c r="GC149" s="23"/>
      <c r="GD149" s="23"/>
      <c r="GE149" s="23"/>
      <c r="GF149" s="23"/>
      <c r="GG149" s="23"/>
      <c r="GH149" s="23"/>
      <c r="GI149" s="23"/>
      <c r="GJ149" s="23"/>
      <c r="GK149" s="23"/>
      <c r="GL149" s="23"/>
      <c r="GM149" s="23"/>
      <c r="GO149" s="5"/>
      <c r="GP149" s="5"/>
      <c r="GQ149" s="5"/>
      <c r="GR149" s="5"/>
      <c r="GS149" s="5"/>
      <c r="GT149" s="5"/>
      <c r="GU149" s="5"/>
      <c r="GV149" s="5"/>
      <c r="GW149" s="5"/>
      <c r="GX149" s="5"/>
      <c r="GY149" s="5"/>
      <c r="GZ149" s="5"/>
      <c r="HB149" s="13"/>
      <c r="HC149" s="4"/>
      <c r="HD149" s="4"/>
      <c r="HE149" s="4"/>
      <c r="HF149" s="4"/>
      <c r="HG149" s="4"/>
      <c r="HH149" s="4"/>
      <c r="HI149" s="4"/>
      <c r="HJ149" s="4"/>
      <c r="HK149" s="4"/>
      <c r="HL149" s="4"/>
      <c r="HM149" s="4"/>
      <c r="HN149" s="4"/>
    </row>
    <row r="150" spans="158:222" x14ac:dyDescent="0.2">
      <c r="FB150" s="10"/>
      <c r="FC150" s="10"/>
      <c r="FD150" s="10"/>
      <c r="FE150" s="10"/>
      <c r="FF150" s="10"/>
      <c r="FG150" s="10"/>
      <c r="FH150" s="10"/>
      <c r="FI150" s="10"/>
      <c r="FJ150" s="10"/>
      <c r="FK150" s="10"/>
      <c r="FL150" s="10"/>
      <c r="FM150" s="10"/>
      <c r="FN150" s="10"/>
      <c r="FO150" s="10"/>
      <c r="FP150" s="10"/>
      <c r="FQ150" s="10"/>
      <c r="FW150" s="4"/>
      <c r="FX150" s="5"/>
      <c r="FZ150" s="13"/>
      <c r="GA150" s="23"/>
      <c r="GB150" s="23"/>
      <c r="GC150" s="23"/>
      <c r="GD150" s="23"/>
      <c r="GE150" s="23"/>
      <c r="GF150" s="23"/>
      <c r="GG150" s="23"/>
      <c r="GH150" s="23"/>
      <c r="GI150" s="23"/>
      <c r="GJ150" s="23"/>
      <c r="GK150" s="23"/>
      <c r="GL150" s="23"/>
      <c r="GM150" s="23"/>
      <c r="GO150" s="5"/>
      <c r="GP150" s="5"/>
      <c r="GQ150" s="5"/>
      <c r="GR150" s="5"/>
      <c r="GS150" s="5"/>
      <c r="GT150" s="5"/>
      <c r="GU150" s="5"/>
      <c r="GV150" s="5"/>
      <c r="GW150" s="5"/>
      <c r="GX150" s="5"/>
      <c r="GY150" s="5"/>
      <c r="GZ150" s="5"/>
      <c r="HB150" s="13"/>
      <c r="HC150" s="4"/>
      <c r="HD150" s="4"/>
      <c r="HE150" s="4"/>
      <c r="HF150" s="4"/>
      <c r="HG150" s="4"/>
      <c r="HH150" s="4"/>
      <c r="HI150" s="4"/>
      <c r="HJ150" s="4"/>
      <c r="HK150" s="4"/>
      <c r="HL150" s="4"/>
      <c r="HM150" s="4"/>
      <c r="HN150" s="4"/>
    </row>
    <row r="151" spans="158:222" x14ac:dyDescent="0.2">
      <c r="FB151" s="10"/>
      <c r="FC151" s="10"/>
      <c r="FD151" s="10"/>
      <c r="FE151" s="10"/>
      <c r="FF151" s="10"/>
      <c r="FG151" s="10"/>
      <c r="FH151" s="10"/>
      <c r="FI151" s="10"/>
      <c r="FJ151" s="10"/>
      <c r="FK151" s="10"/>
      <c r="FL151" s="10"/>
      <c r="FM151" s="10"/>
      <c r="FN151" s="10"/>
      <c r="FO151" s="10"/>
      <c r="FP151" s="10"/>
      <c r="FQ151" s="10"/>
      <c r="FW151" s="4"/>
      <c r="FX151" s="5"/>
      <c r="FZ151" s="13"/>
      <c r="GA151" s="23"/>
      <c r="GB151" s="23"/>
      <c r="GC151" s="23"/>
      <c r="GD151" s="23"/>
      <c r="GE151" s="23"/>
      <c r="GF151" s="23"/>
      <c r="GG151" s="23"/>
      <c r="GH151" s="23"/>
      <c r="GI151" s="23"/>
      <c r="GJ151" s="23"/>
      <c r="GK151" s="23"/>
      <c r="GL151" s="23"/>
      <c r="GM151" s="23"/>
      <c r="GO151" s="5"/>
      <c r="GP151" s="5"/>
      <c r="GQ151" s="5"/>
      <c r="GR151" s="5"/>
      <c r="GS151" s="5"/>
      <c r="GT151" s="5"/>
      <c r="GU151" s="5"/>
      <c r="GV151" s="5"/>
      <c r="GW151" s="5"/>
      <c r="GX151" s="5"/>
      <c r="GY151" s="5"/>
      <c r="GZ151" s="5"/>
      <c r="HB151" s="13"/>
      <c r="HC151" s="4"/>
      <c r="HD151" s="4"/>
      <c r="HE151" s="4"/>
      <c r="HF151" s="4"/>
      <c r="HG151" s="4"/>
      <c r="HH151" s="4"/>
      <c r="HI151" s="4"/>
      <c r="HJ151" s="4"/>
      <c r="HK151" s="4"/>
      <c r="HL151" s="4"/>
      <c r="HM151" s="4"/>
      <c r="HN151" s="4"/>
    </row>
    <row r="152" spans="158:222" x14ac:dyDescent="0.2">
      <c r="FB152" s="10"/>
      <c r="FC152" s="10"/>
      <c r="FD152" s="10"/>
      <c r="FE152" s="10"/>
      <c r="FF152" s="10"/>
      <c r="FG152" s="10"/>
      <c r="FH152" s="10"/>
      <c r="FI152" s="10"/>
      <c r="FJ152" s="10"/>
      <c r="FK152" s="10"/>
      <c r="FL152" s="10"/>
      <c r="FM152" s="10"/>
      <c r="FN152" s="10"/>
      <c r="FO152" s="10"/>
      <c r="FP152" s="10"/>
      <c r="FQ152" s="10"/>
      <c r="FW152" s="4"/>
      <c r="FX152" s="5"/>
      <c r="FZ152" s="13"/>
      <c r="GA152" s="23"/>
      <c r="GB152" s="23"/>
      <c r="GC152" s="23"/>
      <c r="GD152" s="23"/>
      <c r="GE152" s="23"/>
      <c r="GF152" s="23"/>
      <c r="GG152" s="23"/>
      <c r="GH152" s="23"/>
      <c r="GI152" s="23"/>
      <c r="GJ152" s="23"/>
      <c r="GK152" s="23"/>
      <c r="GL152" s="23"/>
      <c r="GM152" s="23"/>
      <c r="GO152" s="5"/>
      <c r="GP152" s="5"/>
      <c r="GQ152" s="5"/>
      <c r="GR152" s="5"/>
      <c r="GS152" s="5"/>
      <c r="GT152" s="5"/>
      <c r="GU152" s="5"/>
      <c r="GV152" s="5"/>
      <c r="GW152" s="5"/>
      <c r="GX152" s="5"/>
      <c r="GY152" s="5"/>
      <c r="GZ152" s="5"/>
      <c r="HB152" s="13"/>
      <c r="HC152" s="4"/>
      <c r="HD152" s="4"/>
      <c r="HE152" s="4"/>
      <c r="HF152" s="4"/>
      <c r="HG152" s="4"/>
      <c r="HH152" s="4"/>
      <c r="HI152" s="4"/>
      <c r="HJ152" s="4"/>
      <c r="HK152" s="4"/>
      <c r="HL152" s="4"/>
      <c r="HM152" s="4"/>
      <c r="HN152" s="4"/>
    </row>
    <row r="153" spans="158:222" x14ac:dyDescent="0.2">
      <c r="FB153" s="10"/>
      <c r="FC153" s="10"/>
      <c r="FD153" s="10"/>
      <c r="FE153" s="10"/>
      <c r="FF153" s="10"/>
      <c r="FG153" s="10"/>
      <c r="FH153" s="10"/>
      <c r="FI153" s="10"/>
      <c r="FJ153" s="10"/>
      <c r="FK153" s="10"/>
      <c r="FL153" s="10"/>
      <c r="FM153" s="10"/>
      <c r="FN153" s="10"/>
      <c r="FO153" s="10"/>
      <c r="FP153" s="10"/>
      <c r="FQ153" s="10"/>
      <c r="FW153" s="4"/>
      <c r="FX153" s="5"/>
      <c r="FZ153" s="13"/>
      <c r="GA153" s="23"/>
      <c r="GB153" s="23"/>
      <c r="GC153" s="23"/>
      <c r="GD153" s="23"/>
      <c r="GE153" s="23"/>
      <c r="GF153" s="23"/>
      <c r="GG153" s="23"/>
      <c r="GH153" s="23"/>
      <c r="GI153" s="23"/>
      <c r="GJ153" s="23"/>
      <c r="GK153" s="23"/>
      <c r="GL153" s="23"/>
      <c r="GM153" s="23"/>
      <c r="GO153" s="5"/>
      <c r="GP153" s="5"/>
      <c r="GQ153" s="5"/>
      <c r="GR153" s="5"/>
      <c r="GS153" s="5"/>
      <c r="GT153" s="5"/>
      <c r="GU153" s="5"/>
      <c r="GV153" s="5"/>
      <c r="GW153" s="5"/>
      <c r="GX153" s="5"/>
      <c r="GY153" s="5"/>
      <c r="GZ153" s="5"/>
      <c r="HB153" s="13"/>
      <c r="HC153" s="4"/>
      <c r="HD153" s="4"/>
      <c r="HE153" s="4"/>
      <c r="HF153" s="4"/>
      <c r="HG153" s="4"/>
      <c r="HH153" s="4"/>
      <c r="HI153" s="4"/>
      <c r="HJ153" s="4"/>
      <c r="HK153" s="4"/>
      <c r="HL153" s="4"/>
      <c r="HM153" s="4"/>
      <c r="HN153" s="4"/>
    </row>
    <row r="154" spans="158:222" x14ac:dyDescent="0.2">
      <c r="FB154" s="10"/>
      <c r="FC154" s="10"/>
      <c r="FD154" s="10"/>
      <c r="FE154" s="10"/>
      <c r="FF154" s="10"/>
      <c r="FG154" s="10"/>
      <c r="FH154" s="10"/>
      <c r="FI154" s="10"/>
      <c r="FJ154" s="10"/>
      <c r="FK154" s="10"/>
      <c r="FL154" s="10"/>
      <c r="FM154" s="10"/>
      <c r="FN154" s="10"/>
      <c r="FO154" s="10"/>
      <c r="FP154" s="10"/>
      <c r="FQ154" s="10"/>
      <c r="FW154" s="4"/>
      <c r="FX154" s="5"/>
      <c r="FZ154" s="13"/>
      <c r="GA154" s="23"/>
      <c r="GB154" s="23"/>
      <c r="GC154" s="23"/>
      <c r="GD154" s="23"/>
      <c r="GE154" s="23"/>
      <c r="GF154" s="23"/>
      <c r="GG154" s="23"/>
      <c r="GH154" s="23"/>
      <c r="GI154" s="23"/>
      <c r="GJ154" s="23"/>
      <c r="GK154" s="23"/>
      <c r="GL154" s="23"/>
      <c r="GM154" s="23"/>
      <c r="GO154" s="5"/>
      <c r="GP154" s="5"/>
      <c r="GQ154" s="5"/>
      <c r="GR154" s="5"/>
      <c r="GS154" s="5"/>
      <c r="GT154" s="5"/>
      <c r="GU154" s="5"/>
      <c r="GV154" s="5"/>
      <c r="GW154" s="5"/>
      <c r="GX154" s="5"/>
      <c r="GY154" s="5"/>
      <c r="GZ154" s="5"/>
      <c r="HB154" s="13"/>
      <c r="HC154" s="4"/>
      <c r="HD154" s="4"/>
      <c r="HE154" s="4"/>
      <c r="HF154" s="4"/>
      <c r="HG154" s="4"/>
      <c r="HH154" s="4"/>
      <c r="HI154" s="4"/>
      <c r="HJ154" s="4"/>
      <c r="HK154" s="4"/>
      <c r="HL154" s="4"/>
      <c r="HM154" s="4"/>
      <c r="HN154" s="4"/>
    </row>
    <row r="155" spans="158:222" x14ac:dyDescent="0.2">
      <c r="FB155" s="10"/>
      <c r="FC155" s="10"/>
      <c r="FD155" s="10"/>
      <c r="FE155" s="10"/>
      <c r="FF155" s="10"/>
      <c r="FG155" s="10"/>
      <c r="FH155" s="10"/>
      <c r="FI155" s="10"/>
      <c r="FJ155" s="10"/>
      <c r="FK155" s="10"/>
      <c r="FL155" s="10"/>
      <c r="FM155" s="10"/>
      <c r="FN155" s="10"/>
      <c r="FO155" s="10"/>
      <c r="FP155" s="10"/>
      <c r="FQ155" s="10"/>
      <c r="FW155" s="4"/>
      <c r="FX155" s="5"/>
      <c r="FZ155" s="13"/>
      <c r="GA155" s="23"/>
      <c r="GB155" s="23"/>
      <c r="GC155" s="23"/>
      <c r="GD155" s="23"/>
      <c r="GE155" s="23"/>
      <c r="GF155" s="23"/>
      <c r="GG155" s="23"/>
      <c r="GH155" s="23"/>
      <c r="GI155" s="23"/>
      <c r="GJ155" s="23"/>
      <c r="GK155" s="23"/>
      <c r="GL155" s="23"/>
      <c r="GM155" s="23"/>
      <c r="GO155" s="5"/>
      <c r="GP155" s="5"/>
      <c r="GQ155" s="5"/>
      <c r="GR155" s="5"/>
      <c r="GS155" s="5"/>
      <c r="GT155" s="5"/>
      <c r="GU155" s="5"/>
      <c r="GV155" s="5"/>
      <c r="GW155" s="5"/>
      <c r="GX155" s="5"/>
      <c r="GY155" s="5"/>
      <c r="GZ155" s="5"/>
      <c r="HB155" s="13"/>
      <c r="HC155" s="4"/>
      <c r="HD155" s="4"/>
      <c r="HE155" s="4"/>
      <c r="HF155" s="4"/>
      <c r="HG155" s="4"/>
      <c r="HH155" s="4"/>
      <c r="HI155" s="4"/>
      <c r="HJ155" s="4"/>
      <c r="HK155" s="4"/>
      <c r="HL155" s="4"/>
      <c r="HM155" s="4"/>
      <c r="HN155" s="4"/>
    </row>
    <row r="156" spans="158:222" x14ac:dyDescent="0.2">
      <c r="FB156" s="10"/>
      <c r="FC156" s="10"/>
      <c r="FD156" s="10"/>
      <c r="FE156" s="10"/>
      <c r="FF156" s="10"/>
      <c r="FG156" s="10"/>
      <c r="FH156" s="10"/>
      <c r="FI156" s="10"/>
      <c r="FJ156" s="10"/>
      <c r="FK156" s="10"/>
      <c r="FL156" s="10"/>
      <c r="FM156" s="10"/>
      <c r="FN156" s="10"/>
      <c r="FO156" s="10"/>
      <c r="FP156" s="10"/>
      <c r="FQ156" s="10"/>
      <c r="FW156" s="4"/>
      <c r="FX156" s="5"/>
      <c r="FZ156" s="13"/>
      <c r="GA156" s="23"/>
      <c r="GB156" s="23"/>
      <c r="GC156" s="23"/>
      <c r="GD156" s="23"/>
      <c r="GE156" s="23"/>
      <c r="GF156" s="23"/>
      <c r="GG156" s="23"/>
      <c r="GH156" s="23"/>
      <c r="GI156" s="23"/>
      <c r="GJ156" s="23"/>
      <c r="GK156" s="23"/>
      <c r="GL156" s="23"/>
      <c r="GM156" s="23"/>
      <c r="GO156" s="5"/>
      <c r="GP156" s="5"/>
      <c r="GQ156" s="5"/>
      <c r="GR156" s="5"/>
      <c r="GS156" s="5"/>
      <c r="GT156" s="5"/>
      <c r="GU156" s="5"/>
      <c r="GV156" s="5"/>
      <c r="GW156" s="5"/>
      <c r="GX156" s="5"/>
      <c r="GY156" s="5"/>
      <c r="GZ156" s="5"/>
      <c r="HB156" s="13"/>
      <c r="HC156" s="4"/>
      <c r="HD156" s="4"/>
      <c r="HE156" s="4"/>
      <c r="HF156" s="4"/>
      <c r="HG156" s="4"/>
      <c r="HH156" s="4"/>
      <c r="HI156" s="4"/>
      <c r="HJ156" s="4"/>
      <c r="HK156" s="4"/>
      <c r="HL156" s="4"/>
      <c r="HM156" s="4"/>
      <c r="HN156" s="4"/>
    </row>
    <row r="157" spans="158:222" x14ac:dyDescent="0.2">
      <c r="FB157" s="10"/>
      <c r="FC157" s="10"/>
      <c r="FD157" s="10"/>
      <c r="FE157" s="10"/>
      <c r="FF157" s="10"/>
      <c r="FG157" s="10"/>
      <c r="FH157" s="10"/>
      <c r="FI157" s="10"/>
      <c r="FJ157" s="10"/>
      <c r="FK157" s="10"/>
      <c r="FL157" s="10"/>
      <c r="FM157" s="10"/>
      <c r="FN157" s="10"/>
      <c r="FO157" s="10"/>
      <c r="FP157" s="10"/>
      <c r="FQ157" s="10"/>
      <c r="FW157" s="4"/>
      <c r="FX157" s="5"/>
      <c r="FZ157" s="13"/>
      <c r="GA157" s="23"/>
      <c r="GB157" s="23"/>
      <c r="GC157" s="23"/>
      <c r="GD157" s="23"/>
      <c r="GE157" s="23"/>
      <c r="GF157" s="23"/>
      <c r="GG157" s="23"/>
      <c r="GH157" s="23"/>
      <c r="GI157" s="23"/>
      <c r="GJ157" s="23"/>
      <c r="GK157" s="23"/>
      <c r="GL157" s="23"/>
      <c r="GM157" s="23"/>
      <c r="GO157" s="5"/>
      <c r="GP157" s="5"/>
      <c r="GQ157" s="5"/>
      <c r="GR157" s="5"/>
      <c r="GS157" s="5"/>
      <c r="GT157" s="5"/>
      <c r="GU157" s="5"/>
      <c r="GV157" s="5"/>
      <c r="GW157" s="5"/>
      <c r="GX157" s="5"/>
      <c r="GY157" s="5"/>
      <c r="GZ157" s="5"/>
      <c r="HB157" s="13"/>
      <c r="HC157" s="4"/>
      <c r="HD157" s="4"/>
      <c r="HE157" s="4"/>
      <c r="HF157" s="4"/>
      <c r="HG157" s="4"/>
      <c r="HH157" s="4"/>
      <c r="HI157" s="4"/>
      <c r="HJ157" s="4"/>
      <c r="HK157" s="4"/>
      <c r="HL157" s="4"/>
      <c r="HM157" s="4"/>
      <c r="HN157" s="4"/>
    </row>
    <row r="158" spans="158:222" x14ac:dyDescent="0.2">
      <c r="FB158" s="10"/>
      <c r="FC158" s="10"/>
      <c r="FD158" s="10"/>
      <c r="FE158" s="10"/>
      <c r="FF158" s="10"/>
      <c r="FG158" s="10"/>
      <c r="FH158" s="10"/>
      <c r="FI158" s="10"/>
      <c r="FJ158" s="10"/>
      <c r="FK158" s="10"/>
      <c r="FL158" s="10"/>
      <c r="FM158" s="10"/>
      <c r="FN158" s="10"/>
      <c r="FO158" s="10"/>
      <c r="FP158" s="10"/>
      <c r="FQ158" s="10"/>
      <c r="FW158" s="4"/>
      <c r="FX158" s="5"/>
      <c r="FZ158" s="13"/>
      <c r="GA158" s="23"/>
      <c r="GB158" s="23"/>
      <c r="GC158" s="23"/>
      <c r="GD158" s="23"/>
      <c r="GE158" s="23"/>
      <c r="GF158" s="23"/>
      <c r="GG158" s="23"/>
      <c r="GH158" s="23"/>
      <c r="GI158" s="23"/>
      <c r="GJ158" s="23"/>
      <c r="GK158" s="23"/>
      <c r="GL158" s="23"/>
      <c r="GM158" s="23"/>
      <c r="GO158" s="5"/>
      <c r="GP158" s="5"/>
      <c r="GQ158" s="5"/>
      <c r="GR158" s="5"/>
      <c r="GS158" s="5"/>
      <c r="GT158" s="5"/>
      <c r="GU158" s="5"/>
      <c r="GV158" s="5"/>
      <c r="GW158" s="5"/>
      <c r="GX158" s="5"/>
      <c r="GY158" s="5"/>
      <c r="GZ158" s="5"/>
      <c r="HB158" s="13"/>
      <c r="HC158" s="4"/>
      <c r="HD158" s="4"/>
      <c r="HE158" s="4"/>
      <c r="HF158" s="4"/>
      <c r="HG158" s="4"/>
      <c r="HH158" s="4"/>
      <c r="HI158" s="4"/>
      <c r="HJ158" s="4"/>
      <c r="HK158" s="4"/>
      <c r="HL158" s="4"/>
      <c r="HM158" s="4"/>
      <c r="HN158" s="4"/>
    </row>
    <row r="159" spans="158:222" x14ac:dyDescent="0.2">
      <c r="FB159" s="10"/>
      <c r="FC159" s="10"/>
      <c r="FD159" s="10"/>
      <c r="FE159" s="10"/>
      <c r="FF159" s="10"/>
      <c r="FG159" s="10"/>
      <c r="FH159" s="10"/>
      <c r="FI159" s="10"/>
      <c r="FJ159" s="10"/>
      <c r="FK159" s="10"/>
      <c r="FL159" s="10"/>
      <c r="FM159" s="10"/>
      <c r="FN159" s="10"/>
      <c r="FO159" s="10"/>
      <c r="FP159" s="10"/>
      <c r="FQ159" s="10"/>
      <c r="FW159" s="4"/>
      <c r="FX159" s="5"/>
      <c r="FZ159" s="13"/>
      <c r="GA159" s="23"/>
      <c r="GB159" s="23"/>
      <c r="GC159" s="23"/>
      <c r="GD159" s="23"/>
      <c r="GE159" s="23"/>
      <c r="GF159" s="23"/>
      <c r="GG159" s="23"/>
      <c r="GH159" s="23"/>
      <c r="GI159" s="23"/>
      <c r="GJ159" s="23"/>
      <c r="GK159" s="23"/>
      <c r="GL159" s="23"/>
      <c r="GM159" s="23"/>
      <c r="GO159" s="5"/>
      <c r="GP159" s="5"/>
      <c r="GQ159" s="5"/>
      <c r="GR159" s="5"/>
      <c r="GS159" s="5"/>
      <c r="GT159" s="5"/>
      <c r="GU159" s="5"/>
      <c r="GV159" s="5"/>
      <c r="GW159" s="5"/>
      <c r="GX159" s="5"/>
      <c r="GY159" s="5"/>
      <c r="GZ159" s="5"/>
      <c r="HB159" s="13"/>
      <c r="HC159" s="4"/>
      <c r="HD159" s="4"/>
      <c r="HE159" s="4"/>
      <c r="HF159" s="4"/>
      <c r="HG159" s="4"/>
      <c r="HH159" s="4"/>
      <c r="HI159" s="4"/>
      <c r="HJ159" s="4"/>
      <c r="HK159" s="4"/>
      <c r="HL159" s="4"/>
      <c r="HM159" s="4"/>
      <c r="HN159" s="4"/>
    </row>
    <row r="160" spans="158:222" x14ac:dyDescent="0.2">
      <c r="FB160" s="10"/>
      <c r="FC160" s="10"/>
      <c r="FD160" s="10"/>
      <c r="FE160" s="10"/>
      <c r="FF160" s="10"/>
      <c r="FG160" s="10"/>
      <c r="FH160" s="10"/>
      <c r="FI160" s="10"/>
      <c r="FJ160" s="10"/>
      <c r="FK160" s="10"/>
      <c r="FL160" s="10"/>
      <c r="FM160" s="10"/>
      <c r="FN160" s="10"/>
      <c r="FO160" s="10"/>
      <c r="FP160" s="10"/>
      <c r="FQ160" s="10"/>
      <c r="FW160" s="4"/>
      <c r="FX160" s="5"/>
      <c r="FZ160" s="13"/>
      <c r="GA160" s="23"/>
      <c r="GB160" s="23"/>
      <c r="GC160" s="23"/>
      <c r="GD160" s="23"/>
      <c r="GE160" s="23"/>
      <c r="GF160" s="23"/>
      <c r="GG160" s="23"/>
      <c r="GH160" s="23"/>
      <c r="GI160" s="23"/>
      <c r="GJ160" s="23"/>
      <c r="GK160" s="23"/>
      <c r="GL160" s="23"/>
      <c r="GM160" s="23"/>
      <c r="GO160" s="5"/>
      <c r="GP160" s="5"/>
      <c r="GQ160" s="5"/>
      <c r="GR160" s="5"/>
      <c r="GS160" s="5"/>
      <c r="GT160" s="5"/>
      <c r="GU160" s="5"/>
      <c r="GV160" s="5"/>
      <c r="GW160" s="5"/>
      <c r="GX160" s="5"/>
      <c r="GY160" s="5"/>
      <c r="GZ160" s="5"/>
      <c r="HB160" s="13"/>
      <c r="HC160" s="4"/>
      <c r="HD160" s="4"/>
      <c r="HE160" s="4"/>
      <c r="HF160" s="4"/>
      <c r="HG160" s="4"/>
      <c r="HH160" s="4"/>
      <c r="HI160" s="4"/>
      <c r="HJ160" s="4"/>
      <c r="HK160" s="4"/>
      <c r="HL160" s="4"/>
      <c r="HM160" s="4"/>
      <c r="HN160" s="4"/>
    </row>
    <row r="161" spans="158:222" x14ac:dyDescent="0.2">
      <c r="FB161" s="10"/>
      <c r="FC161" s="10"/>
      <c r="FD161" s="10"/>
      <c r="FE161" s="10"/>
      <c r="FF161" s="10"/>
      <c r="FG161" s="10"/>
      <c r="FH161" s="10"/>
      <c r="FI161" s="10"/>
      <c r="FJ161" s="10"/>
      <c r="FK161" s="10"/>
      <c r="FL161" s="10"/>
      <c r="FM161" s="10"/>
      <c r="FN161" s="10"/>
      <c r="FO161" s="10"/>
      <c r="FP161" s="10"/>
      <c r="FQ161" s="10"/>
      <c r="FW161" s="4"/>
      <c r="FX161" s="5"/>
      <c r="FZ161" s="13"/>
      <c r="GA161" s="23"/>
      <c r="GB161" s="23"/>
      <c r="GC161" s="23"/>
      <c r="GD161" s="23"/>
      <c r="GE161" s="23"/>
      <c r="GF161" s="23"/>
      <c r="GG161" s="23"/>
      <c r="GH161" s="23"/>
      <c r="GI161" s="23"/>
      <c r="GJ161" s="23"/>
      <c r="GK161" s="23"/>
      <c r="GL161" s="23"/>
      <c r="GM161" s="23"/>
      <c r="GO161" s="5"/>
      <c r="GP161" s="5"/>
      <c r="GQ161" s="5"/>
      <c r="GR161" s="5"/>
      <c r="GS161" s="5"/>
      <c r="GT161" s="5"/>
      <c r="GU161" s="5"/>
      <c r="GV161" s="5"/>
      <c r="GW161" s="5"/>
      <c r="GX161" s="5"/>
      <c r="GY161" s="5"/>
      <c r="GZ161" s="5"/>
      <c r="HB161" s="13"/>
      <c r="HC161" s="4"/>
      <c r="HD161" s="4"/>
      <c r="HE161" s="4"/>
      <c r="HF161" s="4"/>
      <c r="HG161" s="4"/>
      <c r="HH161" s="4"/>
      <c r="HI161" s="4"/>
      <c r="HJ161" s="4"/>
      <c r="HK161" s="4"/>
      <c r="HL161" s="4"/>
      <c r="HM161" s="4"/>
      <c r="HN161" s="4"/>
    </row>
    <row r="162" spans="158:222" x14ac:dyDescent="0.2">
      <c r="FB162" s="10"/>
      <c r="FC162" s="10"/>
      <c r="FD162" s="10"/>
      <c r="FE162" s="10"/>
      <c r="FF162" s="10"/>
      <c r="FG162" s="10"/>
      <c r="FH162" s="10"/>
      <c r="FI162" s="10"/>
      <c r="FJ162" s="10"/>
      <c r="FK162" s="10"/>
      <c r="FL162" s="10"/>
      <c r="FM162" s="10"/>
      <c r="FN162" s="10"/>
      <c r="FO162" s="10"/>
      <c r="FP162" s="10"/>
      <c r="FQ162" s="10"/>
      <c r="FW162" s="4"/>
      <c r="FX162" s="5"/>
      <c r="FZ162" s="13"/>
      <c r="GA162" s="23"/>
      <c r="GB162" s="23"/>
      <c r="GC162" s="23"/>
      <c r="GD162" s="23"/>
      <c r="GE162" s="23"/>
      <c r="GF162" s="23"/>
      <c r="GG162" s="23"/>
      <c r="GH162" s="23"/>
      <c r="GI162" s="23"/>
      <c r="GJ162" s="23"/>
      <c r="GK162" s="23"/>
      <c r="GL162" s="23"/>
      <c r="GM162" s="23"/>
      <c r="GO162" s="5"/>
      <c r="GP162" s="5"/>
      <c r="GQ162" s="5"/>
      <c r="GR162" s="5"/>
      <c r="GS162" s="5"/>
      <c r="GT162" s="5"/>
      <c r="GU162" s="5"/>
      <c r="GV162" s="5"/>
      <c r="GW162" s="5"/>
      <c r="GX162" s="5"/>
      <c r="GY162" s="5"/>
      <c r="GZ162" s="5"/>
      <c r="HB162" s="13"/>
      <c r="HC162" s="4"/>
      <c r="HD162" s="4"/>
      <c r="HE162" s="4"/>
      <c r="HF162" s="4"/>
      <c r="HG162" s="4"/>
      <c r="HH162" s="4"/>
      <c r="HI162" s="4"/>
      <c r="HJ162" s="4"/>
      <c r="HK162" s="4"/>
      <c r="HL162" s="4"/>
      <c r="HM162" s="4"/>
      <c r="HN162" s="4"/>
    </row>
    <row r="163" spans="158:222" x14ac:dyDescent="0.2">
      <c r="FB163" s="10"/>
      <c r="FC163" s="10"/>
      <c r="FD163" s="10"/>
      <c r="FE163" s="10"/>
      <c r="FF163" s="10"/>
      <c r="FG163" s="10"/>
      <c r="FH163" s="10"/>
      <c r="FI163" s="10"/>
      <c r="FJ163" s="10"/>
      <c r="FK163" s="10"/>
      <c r="FL163" s="10"/>
      <c r="FM163" s="10"/>
      <c r="FN163" s="10"/>
      <c r="FO163" s="10"/>
      <c r="FP163" s="10"/>
      <c r="FQ163" s="10"/>
      <c r="FW163" s="4"/>
      <c r="FX163" s="5"/>
      <c r="FZ163" s="13"/>
      <c r="GA163" s="23"/>
      <c r="GB163" s="23"/>
      <c r="GC163" s="23"/>
      <c r="GD163" s="23"/>
      <c r="GE163" s="23"/>
      <c r="GF163" s="23"/>
      <c r="GG163" s="23"/>
      <c r="GH163" s="23"/>
      <c r="GI163" s="23"/>
      <c r="GJ163" s="23"/>
      <c r="GK163" s="23"/>
      <c r="GL163" s="23"/>
      <c r="GM163" s="23"/>
      <c r="GO163" s="5"/>
      <c r="GP163" s="5"/>
      <c r="GQ163" s="5"/>
      <c r="GR163" s="5"/>
      <c r="GS163" s="5"/>
      <c r="GT163" s="5"/>
      <c r="GU163" s="5"/>
      <c r="GV163" s="5"/>
      <c r="GW163" s="5"/>
      <c r="GX163" s="5"/>
      <c r="GY163" s="5"/>
      <c r="GZ163" s="5"/>
      <c r="HB163" s="13"/>
      <c r="HC163" s="4"/>
      <c r="HD163" s="4"/>
      <c r="HE163" s="4"/>
      <c r="HF163" s="4"/>
      <c r="HG163" s="4"/>
      <c r="HH163" s="4"/>
      <c r="HI163" s="4"/>
      <c r="HJ163" s="4"/>
      <c r="HK163" s="4"/>
      <c r="HL163" s="4"/>
      <c r="HM163" s="4"/>
      <c r="HN163" s="4"/>
    </row>
    <row r="164" spans="158:222" x14ac:dyDescent="0.2">
      <c r="FB164" s="10"/>
      <c r="FC164" s="10"/>
      <c r="FD164" s="10"/>
      <c r="FE164" s="10"/>
      <c r="FF164" s="10"/>
      <c r="FG164" s="10"/>
      <c r="FH164" s="10"/>
      <c r="FI164" s="10"/>
      <c r="FJ164" s="10"/>
      <c r="FK164" s="10"/>
      <c r="FL164" s="10"/>
      <c r="FM164" s="10"/>
      <c r="FN164" s="10"/>
      <c r="FO164" s="10"/>
      <c r="FP164" s="10"/>
      <c r="FQ164" s="10"/>
      <c r="FW164" s="4"/>
      <c r="FX164" s="5"/>
      <c r="FZ164" s="13"/>
      <c r="GA164" s="23"/>
      <c r="GB164" s="23"/>
      <c r="GC164" s="23"/>
      <c r="GD164" s="23"/>
      <c r="GE164" s="23"/>
      <c r="GF164" s="23"/>
      <c r="GG164" s="23"/>
      <c r="GH164" s="23"/>
      <c r="GI164" s="23"/>
      <c r="GJ164" s="23"/>
      <c r="GK164" s="23"/>
      <c r="GL164" s="23"/>
      <c r="GM164" s="23"/>
      <c r="GO164" s="5"/>
      <c r="GP164" s="5"/>
      <c r="GQ164" s="5"/>
      <c r="GR164" s="5"/>
      <c r="GS164" s="5"/>
      <c r="GT164" s="5"/>
      <c r="GU164" s="5"/>
      <c r="GV164" s="5"/>
      <c r="GW164" s="5"/>
      <c r="GX164" s="5"/>
      <c r="GY164" s="5"/>
      <c r="GZ164" s="5"/>
      <c r="HB164" s="13"/>
      <c r="HC164" s="4"/>
      <c r="HD164" s="4"/>
      <c r="HE164" s="4"/>
      <c r="HF164" s="4"/>
      <c r="HG164" s="4"/>
      <c r="HH164" s="4"/>
      <c r="HI164" s="4"/>
      <c r="HJ164" s="4"/>
      <c r="HK164" s="4"/>
      <c r="HL164" s="4"/>
      <c r="HM164" s="4"/>
      <c r="HN164" s="4"/>
    </row>
    <row r="165" spans="158:222" x14ac:dyDescent="0.2">
      <c r="FB165" s="10"/>
      <c r="FC165" s="10"/>
      <c r="FD165" s="10"/>
      <c r="FE165" s="10"/>
      <c r="FF165" s="10"/>
      <c r="FG165" s="10"/>
      <c r="FH165" s="10"/>
      <c r="FI165" s="10"/>
      <c r="FJ165" s="10"/>
      <c r="FK165" s="10"/>
      <c r="FL165" s="10"/>
      <c r="FM165" s="10"/>
      <c r="FN165" s="10"/>
      <c r="FO165" s="10"/>
      <c r="FP165" s="10"/>
      <c r="FQ165" s="10"/>
      <c r="FW165" s="4"/>
      <c r="FX165" s="5"/>
      <c r="FZ165" s="13"/>
      <c r="GA165" s="23"/>
      <c r="GB165" s="23"/>
      <c r="GC165" s="23"/>
      <c r="GD165" s="23"/>
      <c r="GE165" s="23"/>
      <c r="GF165" s="23"/>
      <c r="GG165" s="23"/>
      <c r="GH165" s="23"/>
      <c r="GI165" s="23"/>
      <c r="GJ165" s="23"/>
      <c r="GK165" s="23"/>
      <c r="GL165" s="23"/>
      <c r="GM165" s="23"/>
      <c r="GO165" s="5"/>
      <c r="GP165" s="5"/>
      <c r="GQ165" s="5"/>
      <c r="GR165" s="5"/>
      <c r="GS165" s="5"/>
      <c r="GT165" s="5"/>
      <c r="GU165" s="5"/>
      <c r="GV165" s="5"/>
      <c r="GW165" s="5"/>
      <c r="GX165" s="5"/>
      <c r="GY165" s="5"/>
      <c r="GZ165" s="5"/>
      <c r="HB165" s="13"/>
      <c r="HC165" s="4"/>
      <c r="HD165" s="4"/>
      <c r="HE165" s="4"/>
      <c r="HF165" s="4"/>
      <c r="HG165" s="4"/>
      <c r="HH165" s="4"/>
      <c r="HI165" s="4"/>
      <c r="HJ165" s="4"/>
      <c r="HK165" s="4"/>
      <c r="HL165" s="4"/>
      <c r="HM165" s="4"/>
      <c r="HN165" s="4"/>
    </row>
    <row r="166" spans="158:222" x14ac:dyDescent="0.2">
      <c r="FB166" s="10"/>
      <c r="FC166" s="10"/>
      <c r="FD166" s="10"/>
      <c r="FE166" s="10"/>
      <c r="FF166" s="10"/>
      <c r="FG166" s="10"/>
      <c r="FH166" s="10"/>
      <c r="FI166" s="10"/>
      <c r="FJ166" s="10"/>
      <c r="FK166" s="10"/>
      <c r="FL166" s="10"/>
      <c r="FM166" s="10"/>
      <c r="FN166" s="10"/>
      <c r="FO166" s="10"/>
      <c r="FP166" s="10"/>
      <c r="FQ166" s="10"/>
      <c r="FW166" s="4"/>
      <c r="FX166" s="5"/>
      <c r="FZ166" s="13"/>
      <c r="GA166" s="23"/>
      <c r="GB166" s="23"/>
      <c r="GC166" s="23"/>
      <c r="GD166" s="23"/>
      <c r="GE166" s="23"/>
      <c r="GF166" s="23"/>
      <c r="GG166" s="23"/>
      <c r="GH166" s="23"/>
      <c r="GI166" s="23"/>
      <c r="GJ166" s="23"/>
      <c r="GK166" s="23"/>
      <c r="GL166" s="23"/>
      <c r="GM166" s="23"/>
      <c r="GO166" s="5"/>
      <c r="GP166" s="5"/>
      <c r="GQ166" s="5"/>
      <c r="GR166" s="5"/>
      <c r="GS166" s="5"/>
      <c r="GT166" s="5"/>
      <c r="GU166" s="5"/>
      <c r="GV166" s="5"/>
      <c r="GW166" s="5"/>
      <c r="GX166" s="5"/>
      <c r="GY166" s="5"/>
      <c r="GZ166" s="5"/>
      <c r="HB166" s="13"/>
      <c r="HC166" s="4"/>
      <c r="HD166" s="4"/>
      <c r="HE166" s="4"/>
      <c r="HF166" s="4"/>
      <c r="HG166" s="4"/>
      <c r="HH166" s="4"/>
      <c r="HI166" s="4"/>
      <c r="HJ166" s="4"/>
      <c r="HK166" s="4"/>
      <c r="HL166" s="4"/>
      <c r="HM166" s="4"/>
      <c r="HN166" s="4"/>
    </row>
    <row r="167" spans="158:222" x14ac:dyDescent="0.2">
      <c r="FB167" s="10"/>
      <c r="FC167" s="10"/>
      <c r="FD167" s="10"/>
      <c r="FE167" s="10"/>
      <c r="FF167" s="10"/>
      <c r="FG167" s="10"/>
      <c r="FH167" s="10"/>
      <c r="FI167" s="10"/>
      <c r="FJ167" s="10"/>
      <c r="FK167" s="10"/>
      <c r="FL167" s="10"/>
      <c r="FM167" s="10"/>
      <c r="FN167" s="10"/>
      <c r="FO167" s="10"/>
      <c r="FP167" s="10"/>
      <c r="FQ167" s="10"/>
      <c r="FW167" s="4"/>
      <c r="FX167" s="5"/>
      <c r="FZ167" s="13"/>
      <c r="GA167" s="23"/>
      <c r="GB167" s="23"/>
      <c r="GC167" s="23"/>
      <c r="GD167" s="23"/>
      <c r="GE167" s="23"/>
      <c r="GF167" s="23"/>
      <c r="GG167" s="23"/>
      <c r="GH167" s="23"/>
      <c r="GI167" s="23"/>
      <c r="GJ167" s="23"/>
      <c r="GK167" s="23"/>
      <c r="GL167" s="23"/>
      <c r="GM167" s="23"/>
      <c r="GO167" s="5"/>
      <c r="GP167" s="5"/>
      <c r="GQ167" s="5"/>
      <c r="GR167" s="5"/>
      <c r="GS167" s="5"/>
      <c r="GT167" s="5"/>
      <c r="GU167" s="5"/>
      <c r="GV167" s="5"/>
      <c r="GW167" s="5"/>
      <c r="GX167" s="5"/>
      <c r="GY167" s="5"/>
      <c r="GZ167" s="5"/>
      <c r="HB167" s="13"/>
      <c r="HC167" s="4"/>
      <c r="HD167" s="4"/>
      <c r="HE167" s="4"/>
      <c r="HF167" s="4"/>
      <c r="HG167" s="4"/>
      <c r="HH167" s="4"/>
      <c r="HI167" s="4"/>
      <c r="HJ167" s="4"/>
      <c r="HK167" s="4"/>
      <c r="HL167" s="4"/>
      <c r="HM167" s="4"/>
      <c r="HN167" s="4"/>
    </row>
    <row r="168" spans="158:222" x14ac:dyDescent="0.2">
      <c r="FB168" s="10"/>
      <c r="FC168" s="10"/>
      <c r="FD168" s="10"/>
      <c r="FE168" s="10"/>
      <c r="FF168" s="10"/>
      <c r="FG168" s="10"/>
      <c r="FH168" s="10"/>
      <c r="FI168" s="10"/>
      <c r="FJ168" s="10"/>
      <c r="FK168" s="10"/>
      <c r="FL168" s="10"/>
      <c r="FM168" s="10"/>
      <c r="FN168" s="10"/>
      <c r="FO168" s="10"/>
      <c r="FP168" s="10"/>
      <c r="FQ168" s="10"/>
      <c r="FW168" s="4"/>
      <c r="FX168" s="5"/>
      <c r="FZ168" s="13"/>
      <c r="GA168" s="23"/>
      <c r="GB168" s="23"/>
      <c r="GC168" s="23"/>
      <c r="GD168" s="23"/>
      <c r="GE168" s="23"/>
      <c r="GF168" s="23"/>
      <c r="GG168" s="23"/>
      <c r="GH168" s="23"/>
      <c r="GI168" s="23"/>
      <c r="GJ168" s="23"/>
      <c r="GK168" s="23"/>
      <c r="GL168" s="23"/>
      <c r="GM168" s="23"/>
      <c r="GO168" s="5"/>
      <c r="GP168" s="5"/>
      <c r="GQ168" s="5"/>
      <c r="GR168" s="5"/>
      <c r="GS168" s="5"/>
      <c r="GT168" s="5"/>
      <c r="GU168" s="5"/>
      <c r="GV168" s="5"/>
      <c r="GW168" s="5"/>
      <c r="GX168" s="5"/>
      <c r="GY168" s="5"/>
      <c r="GZ168" s="5"/>
      <c r="HB168" s="13"/>
      <c r="HC168" s="4"/>
      <c r="HD168" s="4"/>
      <c r="HE168" s="4"/>
      <c r="HF168" s="4"/>
      <c r="HG168" s="4"/>
      <c r="HH168" s="4"/>
      <c r="HI168" s="4"/>
      <c r="HJ168" s="4"/>
      <c r="HK168" s="4"/>
      <c r="HL168" s="4"/>
      <c r="HM168" s="4"/>
      <c r="HN168" s="4"/>
    </row>
    <row r="169" spans="158:222" x14ac:dyDescent="0.2">
      <c r="FB169" s="10"/>
      <c r="FC169" s="10"/>
      <c r="FD169" s="10"/>
      <c r="FE169" s="10"/>
      <c r="FF169" s="10"/>
      <c r="FG169" s="10"/>
      <c r="FH169" s="10"/>
      <c r="FI169" s="10"/>
      <c r="FJ169" s="10"/>
      <c r="FK169" s="10"/>
      <c r="FL169" s="10"/>
      <c r="FM169" s="10"/>
      <c r="FN169" s="10"/>
      <c r="FO169" s="10"/>
      <c r="FP169" s="10"/>
      <c r="FQ169" s="10"/>
      <c r="FW169" s="4"/>
      <c r="FX169" s="5"/>
      <c r="FZ169" s="13"/>
      <c r="GA169" s="23"/>
      <c r="GB169" s="23"/>
      <c r="GC169" s="23"/>
      <c r="GD169" s="23"/>
      <c r="GE169" s="23"/>
      <c r="GF169" s="23"/>
      <c r="GG169" s="23"/>
      <c r="GH169" s="23"/>
      <c r="GI169" s="23"/>
      <c r="GJ169" s="23"/>
      <c r="GK169" s="23"/>
      <c r="GL169" s="23"/>
      <c r="GM169" s="23"/>
      <c r="GO169" s="5"/>
      <c r="GP169" s="5"/>
      <c r="GQ169" s="5"/>
      <c r="GR169" s="5"/>
      <c r="GS169" s="5"/>
      <c r="GT169" s="5"/>
      <c r="GU169" s="5"/>
      <c r="GV169" s="5"/>
      <c r="GW169" s="5"/>
      <c r="GX169" s="5"/>
      <c r="GY169" s="5"/>
      <c r="GZ169" s="5"/>
      <c r="HB169" s="13"/>
      <c r="HC169" s="4"/>
      <c r="HD169" s="4"/>
      <c r="HE169" s="4"/>
      <c r="HF169" s="4"/>
      <c r="HG169" s="4"/>
      <c r="HH169" s="4"/>
      <c r="HI169" s="4"/>
      <c r="HJ169" s="4"/>
      <c r="HK169" s="4"/>
      <c r="HL169" s="4"/>
      <c r="HM169" s="4"/>
      <c r="HN169" s="4"/>
    </row>
    <row r="170" spans="158:222" x14ac:dyDescent="0.2">
      <c r="FB170" s="10"/>
      <c r="FC170" s="10"/>
      <c r="FD170" s="10"/>
      <c r="FE170" s="10"/>
      <c r="FF170" s="10"/>
      <c r="FG170" s="10"/>
      <c r="FH170" s="10"/>
      <c r="FI170" s="10"/>
      <c r="FJ170" s="10"/>
      <c r="FK170" s="10"/>
      <c r="FL170" s="10"/>
      <c r="FM170" s="10"/>
      <c r="FN170" s="10"/>
      <c r="FO170" s="10"/>
      <c r="FP170" s="10"/>
      <c r="FQ170" s="10"/>
      <c r="FW170" s="4"/>
      <c r="FX170" s="5"/>
      <c r="FZ170" s="13"/>
      <c r="GA170" s="23"/>
      <c r="GB170" s="23"/>
      <c r="GC170" s="23"/>
      <c r="GD170" s="23"/>
      <c r="GE170" s="23"/>
      <c r="GF170" s="23"/>
      <c r="GG170" s="23"/>
      <c r="GH170" s="23"/>
      <c r="GI170" s="23"/>
      <c r="GJ170" s="23"/>
      <c r="GK170" s="23"/>
      <c r="GL170" s="23"/>
      <c r="GM170" s="23"/>
      <c r="GO170" s="5"/>
      <c r="GP170" s="5"/>
      <c r="GQ170" s="5"/>
      <c r="GR170" s="5"/>
      <c r="GS170" s="5"/>
      <c r="GT170" s="5"/>
      <c r="GU170" s="5"/>
      <c r="GV170" s="5"/>
      <c r="GW170" s="5"/>
      <c r="GX170" s="5"/>
      <c r="GY170" s="5"/>
      <c r="GZ170" s="5"/>
      <c r="HB170" s="13"/>
      <c r="HC170" s="4"/>
      <c r="HD170" s="4"/>
      <c r="HE170" s="4"/>
      <c r="HF170" s="4"/>
      <c r="HG170" s="4"/>
      <c r="HH170" s="4"/>
      <c r="HI170" s="4"/>
      <c r="HJ170" s="4"/>
      <c r="HK170" s="4"/>
      <c r="HL170" s="4"/>
      <c r="HM170" s="4"/>
      <c r="HN170" s="4"/>
    </row>
    <row r="171" spans="158:222" x14ac:dyDescent="0.2">
      <c r="FB171" s="10"/>
      <c r="FC171" s="10"/>
      <c r="FD171" s="10"/>
      <c r="FE171" s="10"/>
      <c r="FF171" s="10"/>
      <c r="FG171" s="10"/>
      <c r="FH171" s="10"/>
      <c r="FI171" s="10"/>
      <c r="FJ171" s="10"/>
      <c r="FK171" s="10"/>
      <c r="FL171" s="10"/>
      <c r="FM171" s="10"/>
      <c r="FN171" s="10"/>
      <c r="FO171" s="10"/>
      <c r="FP171" s="10"/>
      <c r="FQ171" s="10"/>
      <c r="FW171" s="4"/>
      <c r="FX171" s="5"/>
      <c r="FZ171" s="13"/>
      <c r="GA171" s="23"/>
      <c r="GB171" s="23"/>
      <c r="GC171" s="23"/>
      <c r="GD171" s="23"/>
      <c r="GE171" s="23"/>
      <c r="GF171" s="23"/>
      <c r="GG171" s="23"/>
      <c r="GH171" s="23"/>
      <c r="GI171" s="23"/>
      <c r="GJ171" s="23"/>
      <c r="GK171" s="23"/>
      <c r="GL171" s="23"/>
      <c r="GM171" s="23"/>
      <c r="GO171" s="5"/>
      <c r="GP171" s="5"/>
      <c r="GQ171" s="5"/>
      <c r="GR171" s="5"/>
      <c r="GS171" s="5"/>
      <c r="GT171" s="5"/>
      <c r="GU171" s="5"/>
      <c r="GV171" s="5"/>
      <c r="GW171" s="5"/>
      <c r="GX171" s="5"/>
      <c r="GY171" s="5"/>
      <c r="GZ171" s="5"/>
      <c r="HB171" s="13"/>
      <c r="HC171" s="4"/>
      <c r="HD171" s="4"/>
      <c r="HE171" s="4"/>
      <c r="HF171" s="4"/>
      <c r="HG171" s="4"/>
      <c r="HH171" s="4"/>
      <c r="HI171" s="4"/>
      <c r="HJ171" s="4"/>
      <c r="HK171" s="4"/>
      <c r="HL171" s="4"/>
      <c r="HM171" s="4"/>
      <c r="HN171" s="4"/>
    </row>
    <row r="172" spans="158:222" x14ac:dyDescent="0.2">
      <c r="FB172" s="10"/>
      <c r="FC172" s="10"/>
      <c r="FD172" s="10"/>
      <c r="FE172" s="10"/>
      <c r="FF172" s="10"/>
      <c r="FG172" s="10"/>
      <c r="FH172" s="10"/>
      <c r="FI172" s="10"/>
      <c r="FJ172" s="10"/>
      <c r="FK172" s="10"/>
      <c r="FL172" s="10"/>
      <c r="FM172" s="10"/>
      <c r="FN172" s="10"/>
      <c r="FO172" s="10"/>
      <c r="FP172" s="10"/>
      <c r="FQ172" s="10"/>
      <c r="FW172" s="4"/>
      <c r="FX172" s="5"/>
      <c r="FZ172" s="13"/>
      <c r="GA172" s="23"/>
      <c r="GB172" s="23"/>
      <c r="GC172" s="23"/>
      <c r="GD172" s="23"/>
      <c r="GE172" s="23"/>
      <c r="GF172" s="23"/>
      <c r="GG172" s="23"/>
      <c r="GH172" s="23"/>
      <c r="GI172" s="23"/>
      <c r="GJ172" s="23"/>
      <c r="GK172" s="23"/>
      <c r="GL172" s="23"/>
      <c r="GM172" s="23"/>
      <c r="GO172" s="5"/>
      <c r="GP172" s="5"/>
      <c r="GQ172" s="5"/>
      <c r="GR172" s="5"/>
      <c r="GS172" s="5"/>
      <c r="GT172" s="5"/>
      <c r="GU172" s="5"/>
      <c r="GV172" s="5"/>
      <c r="GW172" s="5"/>
      <c r="GX172" s="5"/>
      <c r="GY172" s="5"/>
      <c r="GZ172" s="5"/>
      <c r="HB172" s="13"/>
      <c r="HC172" s="4"/>
      <c r="HD172" s="4"/>
      <c r="HE172" s="4"/>
      <c r="HF172" s="4"/>
      <c r="HG172" s="4"/>
      <c r="HH172" s="4"/>
      <c r="HI172" s="4"/>
      <c r="HJ172" s="4"/>
      <c r="HK172" s="4"/>
      <c r="HL172" s="4"/>
      <c r="HM172" s="4"/>
      <c r="HN172" s="4"/>
    </row>
    <row r="173" spans="158:222" x14ac:dyDescent="0.2">
      <c r="FB173" s="10"/>
      <c r="FC173" s="10"/>
      <c r="FD173" s="10"/>
      <c r="FE173" s="10"/>
      <c r="FF173" s="10"/>
      <c r="FG173" s="10"/>
      <c r="FH173" s="10"/>
      <c r="FI173" s="10"/>
      <c r="FJ173" s="10"/>
      <c r="FK173" s="10"/>
      <c r="FL173" s="10"/>
      <c r="FM173" s="10"/>
      <c r="FN173" s="10"/>
      <c r="FO173" s="10"/>
      <c r="FP173" s="10"/>
      <c r="FQ173" s="10"/>
      <c r="FW173" s="4"/>
      <c r="FX173" s="5"/>
      <c r="FZ173" s="13"/>
      <c r="GA173" s="23"/>
      <c r="GB173" s="23"/>
      <c r="GC173" s="23"/>
      <c r="GD173" s="23"/>
      <c r="GE173" s="23"/>
      <c r="GF173" s="23"/>
      <c r="GG173" s="23"/>
      <c r="GH173" s="23"/>
      <c r="GI173" s="23"/>
      <c r="GJ173" s="23"/>
      <c r="GK173" s="23"/>
      <c r="GL173" s="23"/>
      <c r="GM173" s="23"/>
      <c r="GO173" s="5"/>
      <c r="GP173" s="5"/>
      <c r="GQ173" s="5"/>
      <c r="GR173" s="5"/>
      <c r="GS173" s="5"/>
      <c r="GT173" s="5"/>
      <c r="GU173" s="5"/>
      <c r="GV173" s="5"/>
      <c r="GW173" s="5"/>
      <c r="GX173" s="5"/>
      <c r="GY173" s="5"/>
      <c r="GZ173" s="5"/>
      <c r="HB173" s="13"/>
      <c r="HC173" s="4"/>
      <c r="HD173" s="4"/>
      <c r="HE173" s="4"/>
      <c r="HF173" s="4"/>
      <c r="HG173" s="4"/>
      <c r="HH173" s="4"/>
      <c r="HI173" s="4"/>
      <c r="HJ173" s="4"/>
      <c r="HK173" s="4"/>
      <c r="HL173" s="4"/>
      <c r="HM173" s="4"/>
      <c r="HN173" s="4"/>
    </row>
    <row r="174" spans="158:222" x14ac:dyDescent="0.2">
      <c r="FB174" s="10"/>
      <c r="FC174" s="10"/>
      <c r="FD174" s="10"/>
      <c r="FE174" s="10"/>
      <c r="FF174" s="10"/>
      <c r="FG174" s="10"/>
      <c r="FH174" s="10"/>
      <c r="FI174" s="10"/>
      <c r="FJ174" s="10"/>
      <c r="FK174" s="10"/>
      <c r="FL174" s="10"/>
      <c r="FM174" s="10"/>
      <c r="FN174" s="10"/>
      <c r="FO174" s="10"/>
      <c r="FP174" s="10"/>
      <c r="FQ174" s="10"/>
      <c r="FW174" s="4"/>
      <c r="FX174" s="5"/>
      <c r="FZ174" s="13"/>
      <c r="GA174" s="23"/>
      <c r="GB174" s="23"/>
      <c r="GC174" s="23"/>
      <c r="GD174" s="23"/>
      <c r="GE174" s="23"/>
      <c r="GF174" s="23"/>
      <c r="GG174" s="23"/>
      <c r="GH174" s="23"/>
      <c r="GI174" s="23"/>
      <c r="GJ174" s="23"/>
      <c r="GK174" s="23"/>
      <c r="GL174" s="23"/>
      <c r="GM174" s="23"/>
      <c r="GO174" s="5"/>
      <c r="GP174" s="5"/>
      <c r="GQ174" s="5"/>
      <c r="GR174" s="5"/>
      <c r="GS174" s="5"/>
      <c r="GT174" s="5"/>
      <c r="GU174" s="5"/>
      <c r="GV174" s="5"/>
      <c r="GW174" s="5"/>
      <c r="GX174" s="5"/>
      <c r="GY174" s="5"/>
      <c r="GZ174" s="5"/>
      <c r="HB174" s="13"/>
      <c r="HC174" s="4"/>
      <c r="HD174" s="4"/>
      <c r="HE174" s="4"/>
      <c r="HF174" s="4"/>
      <c r="HG174" s="4"/>
      <c r="HH174" s="4"/>
      <c r="HI174" s="4"/>
      <c r="HJ174" s="4"/>
      <c r="HK174" s="4"/>
      <c r="HL174" s="4"/>
      <c r="HM174" s="4"/>
      <c r="HN174" s="4"/>
    </row>
    <row r="175" spans="158:222" x14ac:dyDescent="0.2">
      <c r="FB175" s="10"/>
      <c r="FC175" s="10"/>
      <c r="FD175" s="10"/>
      <c r="FE175" s="10"/>
      <c r="FF175" s="10"/>
      <c r="FG175" s="10"/>
      <c r="FH175" s="10"/>
      <c r="FI175" s="10"/>
      <c r="FJ175" s="10"/>
      <c r="FK175" s="10"/>
      <c r="FL175" s="10"/>
      <c r="FM175" s="10"/>
      <c r="FN175" s="10"/>
      <c r="FO175" s="10"/>
      <c r="FP175" s="10"/>
      <c r="FQ175" s="10"/>
      <c r="FW175" s="4"/>
      <c r="FX175" s="5"/>
      <c r="FZ175" s="13"/>
      <c r="GA175" s="23"/>
      <c r="GB175" s="23"/>
      <c r="GC175" s="23"/>
      <c r="GD175" s="23"/>
      <c r="GE175" s="23"/>
      <c r="GF175" s="23"/>
      <c r="GG175" s="23"/>
      <c r="GH175" s="23"/>
      <c r="GI175" s="23"/>
      <c r="GJ175" s="23"/>
      <c r="GK175" s="23"/>
      <c r="GL175" s="23"/>
      <c r="GM175" s="23"/>
      <c r="GO175" s="5"/>
      <c r="GP175" s="5"/>
      <c r="GQ175" s="5"/>
      <c r="GR175" s="5"/>
      <c r="GS175" s="5"/>
      <c r="GT175" s="5"/>
      <c r="GU175" s="5"/>
      <c r="GV175" s="5"/>
      <c r="GW175" s="5"/>
      <c r="GX175" s="5"/>
      <c r="GY175" s="5"/>
      <c r="GZ175" s="5"/>
      <c r="HB175" s="13"/>
      <c r="HC175" s="4"/>
      <c r="HD175" s="4"/>
      <c r="HE175" s="4"/>
      <c r="HF175" s="4"/>
      <c r="HG175" s="4"/>
      <c r="HH175" s="4"/>
      <c r="HI175" s="4"/>
      <c r="HJ175" s="4"/>
      <c r="HK175" s="4"/>
      <c r="HL175" s="4"/>
      <c r="HM175" s="4"/>
      <c r="HN175" s="4"/>
    </row>
    <row r="176" spans="158:222" x14ac:dyDescent="0.2">
      <c r="FB176" s="10"/>
      <c r="FC176" s="10"/>
      <c r="FD176" s="10"/>
      <c r="FE176" s="10"/>
      <c r="FF176" s="10"/>
      <c r="FG176" s="10"/>
      <c r="FH176" s="10"/>
      <c r="FI176" s="10"/>
      <c r="FJ176" s="10"/>
      <c r="FK176" s="10"/>
      <c r="FL176" s="10"/>
      <c r="FM176" s="10"/>
      <c r="FN176" s="10"/>
      <c r="FO176" s="10"/>
      <c r="FP176" s="10"/>
      <c r="FQ176" s="10"/>
      <c r="FW176" s="4"/>
      <c r="FX176" s="5"/>
      <c r="FZ176" s="13"/>
      <c r="GA176" s="23"/>
      <c r="GB176" s="23"/>
      <c r="GC176" s="23"/>
      <c r="GD176" s="23"/>
      <c r="GE176" s="23"/>
      <c r="GF176" s="23"/>
      <c r="GG176" s="23"/>
      <c r="GH176" s="23"/>
      <c r="GI176" s="23"/>
      <c r="GJ176" s="23"/>
      <c r="GK176" s="23"/>
      <c r="GL176" s="23"/>
      <c r="GM176" s="23"/>
      <c r="GO176" s="5"/>
      <c r="GP176" s="5"/>
      <c r="GQ176" s="5"/>
      <c r="GR176" s="5"/>
      <c r="GS176" s="5"/>
      <c r="GT176" s="5"/>
      <c r="GU176" s="5"/>
      <c r="GV176" s="5"/>
      <c r="GW176" s="5"/>
      <c r="GX176" s="5"/>
      <c r="GY176" s="5"/>
      <c r="GZ176" s="5"/>
      <c r="HB176" s="13"/>
      <c r="HC176" s="4"/>
      <c r="HD176" s="4"/>
      <c r="HE176" s="4"/>
      <c r="HF176" s="4"/>
      <c r="HG176" s="4"/>
      <c r="HH176" s="4"/>
      <c r="HI176" s="4"/>
      <c r="HJ176" s="4"/>
      <c r="HK176" s="4"/>
      <c r="HL176" s="4"/>
      <c r="HM176" s="4"/>
      <c r="HN176" s="4"/>
    </row>
    <row r="177" spans="158:222" x14ac:dyDescent="0.2">
      <c r="FB177" s="10"/>
      <c r="FC177" s="10"/>
      <c r="FD177" s="10"/>
      <c r="FE177" s="10"/>
      <c r="FF177" s="10"/>
      <c r="FG177" s="10"/>
      <c r="FH177" s="10"/>
      <c r="FI177" s="10"/>
      <c r="FJ177" s="10"/>
      <c r="FK177" s="10"/>
      <c r="FL177" s="10"/>
      <c r="FM177" s="10"/>
      <c r="FN177" s="10"/>
      <c r="FO177" s="10"/>
      <c r="FP177" s="10"/>
      <c r="FQ177" s="10"/>
      <c r="FW177" s="4"/>
      <c r="FX177" s="5"/>
      <c r="FZ177" s="13"/>
      <c r="GA177" s="23"/>
      <c r="GB177" s="23"/>
      <c r="GC177" s="23"/>
      <c r="GD177" s="23"/>
      <c r="GE177" s="23"/>
      <c r="GF177" s="23"/>
      <c r="GG177" s="23"/>
      <c r="GH177" s="23"/>
      <c r="GI177" s="23"/>
      <c r="GJ177" s="23"/>
      <c r="GK177" s="23"/>
      <c r="GL177" s="23"/>
      <c r="GM177" s="23"/>
      <c r="GO177" s="5"/>
      <c r="GP177" s="5"/>
      <c r="GQ177" s="5"/>
      <c r="GR177" s="5"/>
      <c r="GS177" s="5"/>
      <c r="GT177" s="5"/>
      <c r="GU177" s="5"/>
      <c r="GV177" s="5"/>
      <c r="GW177" s="5"/>
      <c r="GX177" s="5"/>
      <c r="GY177" s="5"/>
      <c r="GZ177" s="5"/>
      <c r="HB177" s="13"/>
      <c r="HC177" s="4"/>
      <c r="HD177" s="4"/>
      <c r="HE177" s="4"/>
      <c r="HF177" s="4"/>
      <c r="HG177" s="4"/>
      <c r="HH177" s="4"/>
      <c r="HI177" s="4"/>
      <c r="HJ177" s="4"/>
      <c r="HK177" s="4"/>
      <c r="HL177" s="4"/>
      <c r="HM177" s="4"/>
      <c r="HN177" s="4"/>
    </row>
    <row r="178" spans="158:222" x14ac:dyDescent="0.2">
      <c r="FB178" s="10"/>
      <c r="FC178" s="10"/>
      <c r="FD178" s="10"/>
      <c r="FE178" s="10"/>
      <c r="FF178" s="10"/>
      <c r="FG178" s="10"/>
      <c r="FH178" s="10"/>
      <c r="FI178" s="10"/>
      <c r="FJ178" s="10"/>
      <c r="FK178" s="10"/>
      <c r="FL178" s="10"/>
      <c r="FM178" s="10"/>
      <c r="FN178" s="10"/>
      <c r="FO178" s="10"/>
      <c r="FP178" s="10"/>
      <c r="FQ178" s="10"/>
      <c r="FW178" s="4"/>
      <c r="FX178" s="5"/>
      <c r="FZ178" s="13"/>
      <c r="GA178" s="23"/>
      <c r="GB178" s="23"/>
      <c r="GC178" s="23"/>
      <c r="GD178" s="23"/>
      <c r="GE178" s="23"/>
      <c r="GF178" s="23"/>
      <c r="GG178" s="23"/>
      <c r="GH178" s="23"/>
      <c r="GI178" s="23"/>
      <c r="GJ178" s="23"/>
      <c r="GK178" s="23"/>
      <c r="GL178" s="23"/>
      <c r="GM178" s="23"/>
      <c r="GO178" s="5"/>
      <c r="GP178" s="5"/>
      <c r="GQ178" s="5"/>
      <c r="GR178" s="5"/>
      <c r="GS178" s="5"/>
      <c r="GT178" s="5"/>
      <c r="GU178" s="5"/>
      <c r="GV178" s="5"/>
      <c r="GW178" s="5"/>
      <c r="GX178" s="5"/>
      <c r="GY178" s="5"/>
      <c r="GZ178" s="5"/>
      <c r="HB178" s="13"/>
      <c r="HC178" s="4"/>
      <c r="HD178" s="4"/>
      <c r="HE178" s="4"/>
      <c r="HF178" s="4"/>
      <c r="HG178" s="4"/>
      <c r="HH178" s="4"/>
      <c r="HI178" s="4"/>
      <c r="HJ178" s="4"/>
      <c r="HK178" s="4"/>
      <c r="HL178" s="4"/>
      <c r="HM178" s="4"/>
      <c r="HN178" s="4"/>
    </row>
    <row r="179" spans="158:222" x14ac:dyDescent="0.2">
      <c r="FB179" s="10"/>
      <c r="FC179" s="10"/>
      <c r="FD179" s="10"/>
      <c r="FE179" s="10"/>
      <c r="FF179" s="10"/>
      <c r="FG179" s="10"/>
      <c r="FH179" s="10"/>
      <c r="FI179" s="10"/>
      <c r="FJ179" s="10"/>
      <c r="FK179" s="10"/>
      <c r="FL179" s="10"/>
      <c r="FM179" s="10"/>
      <c r="FN179" s="10"/>
      <c r="FO179" s="10"/>
      <c r="FP179" s="10"/>
      <c r="FQ179" s="10"/>
      <c r="FW179" s="4"/>
      <c r="FX179" s="5"/>
      <c r="FZ179" s="13"/>
      <c r="GA179" s="23"/>
      <c r="GB179" s="23"/>
      <c r="GC179" s="23"/>
      <c r="GD179" s="23"/>
      <c r="GE179" s="23"/>
      <c r="GF179" s="23"/>
      <c r="GG179" s="23"/>
      <c r="GH179" s="23"/>
      <c r="GI179" s="23"/>
      <c r="GJ179" s="23"/>
      <c r="GK179" s="23"/>
      <c r="GL179" s="23"/>
      <c r="GM179" s="23"/>
      <c r="GO179" s="5"/>
      <c r="GP179" s="5"/>
      <c r="GQ179" s="5"/>
      <c r="GR179" s="5"/>
      <c r="GS179" s="5"/>
      <c r="GT179" s="5"/>
      <c r="GU179" s="5"/>
      <c r="GV179" s="5"/>
      <c r="GW179" s="5"/>
      <c r="GX179" s="5"/>
      <c r="GY179" s="5"/>
      <c r="GZ179" s="5"/>
      <c r="HB179" s="13"/>
      <c r="HC179" s="4"/>
      <c r="HD179" s="4"/>
      <c r="HE179" s="4"/>
      <c r="HF179" s="4"/>
      <c r="HG179" s="4"/>
      <c r="HH179" s="4"/>
      <c r="HI179" s="4"/>
      <c r="HJ179" s="4"/>
      <c r="HK179" s="4"/>
      <c r="HL179" s="4"/>
      <c r="HM179" s="4"/>
      <c r="HN179" s="4"/>
    </row>
    <row r="180" spans="158:222" x14ac:dyDescent="0.2">
      <c r="FB180" s="10"/>
      <c r="FC180" s="10"/>
      <c r="FD180" s="10"/>
      <c r="FE180" s="10"/>
      <c r="FF180" s="10"/>
      <c r="FG180" s="10"/>
      <c r="FH180" s="10"/>
      <c r="FI180" s="10"/>
      <c r="FJ180" s="10"/>
      <c r="FK180" s="10"/>
      <c r="FL180" s="10"/>
      <c r="FM180" s="10"/>
      <c r="FN180" s="10"/>
      <c r="FO180" s="10"/>
      <c r="FP180" s="10"/>
      <c r="FQ180" s="10"/>
      <c r="FW180" s="4"/>
      <c r="FX180" s="5"/>
      <c r="FZ180" s="13"/>
      <c r="GA180" s="23"/>
      <c r="GB180" s="23"/>
      <c r="GC180" s="23"/>
      <c r="GD180" s="23"/>
      <c r="GE180" s="23"/>
      <c r="GF180" s="23"/>
      <c r="GG180" s="23"/>
      <c r="GH180" s="23"/>
      <c r="GI180" s="23"/>
      <c r="GJ180" s="23"/>
      <c r="GK180" s="23"/>
      <c r="GL180" s="23"/>
      <c r="GM180" s="23"/>
      <c r="GO180" s="5"/>
      <c r="GP180" s="5"/>
      <c r="GQ180" s="5"/>
      <c r="GR180" s="5"/>
      <c r="GS180" s="5"/>
      <c r="GT180" s="5"/>
      <c r="GU180" s="5"/>
      <c r="GV180" s="5"/>
      <c r="GW180" s="5"/>
      <c r="GX180" s="5"/>
      <c r="GY180" s="5"/>
      <c r="GZ180" s="5"/>
      <c r="HB180" s="13"/>
      <c r="HC180" s="4"/>
      <c r="HD180" s="4"/>
      <c r="HE180" s="4"/>
      <c r="HF180" s="4"/>
      <c r="HG180" s="4"/>
      <c r="HH180" s="4"/>
      <c r="HI180" s="4"/>
      <c r="HJ180" s="4"/>
      <c r="HK180" s="4"/>
      <c r="HL180" s="4"/>
      <c r="HM180" s="4"/>
      <c r="HN180" s="4"/>
    </row>
    <row r="181" spans="158:222" x14ac:dyDescent="0.2">
      <c r="FB181" s="10"/>
      <c r="FC181" s="10"/>
      <c r="FD181" s="10"/>
      <c r="FE181" s="10"/>
      <c r="FF181" s="10"/>
      <c r="FG181" s="10"/>
      <c r="FH181" s="10"/>
      <c r="FI181" s="10"/>
      <c r="FJ181" s="10"/>
      <c r="FK181" s="10"/>
      <c r="FL181" s="10"/>
      <c r="FM181" s="10"/>
      <c r="FN181" s="10"/>
      <c r="FO181" s="10"/>
      <c r="FP181" s="10"/>
      <c r="FQ181" s="10"/>
      <c r="FW181" s="4"/>
      <c r="FX181" s="5"/>
      <c r="FZ181" s="13"/>
      <c r="GA181" s="23"/>
      <c r="GB181" s="23"/>
      <c r="GC181" s="23"/>
      <c r="GD181" s="23"/>
      <c r="GE181" s="23"/>
      <c r="GF181" s="23"/>
      <c r="GG181" s="23"/>
      <c r="GH181" s="23"/>
      <c r="GI181" s="23"/>
      <c r="GJ181" s="23"/>
      <c r="GK181" s="23"/>
      <c r="GL181" s="23"/>
      <c r="GM181" s="23"/>
      <c r="GO181" s="5"/>
      <c r="GP181" s="5"/>
      <c r="GQ181" s="5"/>
      <c r="GR181" s="5"/>
      <c r="GS181" s="5"/>
      <c r="GT181" s="5"/>
      <c r="GU181" s="5"/>
      <c r="GV181" s="5"/>
      <c r="GW181" s="5"/>
      <c r="GX181" s="5"/>
      <c r="GY181" s="5"/>
      <c r="GZ181" s="5"/>
      <c r="HB181" s="13"/>
      <c r="HC181" s="4"/>
      <c r="HD181" s="4"/>
      <c r="HE181" s="4"/>
      <c r="HF181" s="4"/>
      <c r="HG181" s="4"/>
      <c r="HH181" s="4"/>
      <c r="HI181" s="4"/>
      <c r="HJ181" s="4"/>
      <c r="HK181" s="4"/>
      <c r="HL181" s="4"/>
      <c r="HM181" s="4"/>
      <c r="HN181" s="4"/>
    </row>
    <row r="182" spans="158:222" x14ac:dyDescent="0.2">
      <c r="FB182" s="10"/>
      <c r="FC182" s="10"/>
      <c r="FD182" s="10"/>
      <c r="FE182" s="10"/>
      <c r="FF182" s="10"/>
      <c r="FG182" s="10"/>
      <c r="FH182" s="10"/>
      <c r="FI182" s="10"/>
      <c r="FJ182" s="10"/>
      <c r="FK182" s="10"/>
      <c r="FL182" s="10"/>
      <c r="FM182" s="10"/>
      <c r="FN182" s="10"/>
      <c r="FO182" s="10"/>
      <c r="FP182" s="10"/>
      <c r="FQ182" s="10"/>
      <c r="FW182" s="4"/>
      <c r="FX182" s="5"/>
      <c r="FZ182" s="13"/>
      <c r="GA182" s="23"/>
      <c r="GB182" s="23"/>
      <c r="GC182" s="23"/>
      <c r="GD182" s="23"/>
      <c r="GE182" s="23"/>
      <c r="GF182" s="23"/>
      <c r="GG182" s="23"/>
      <c r="GH182" s="23"/>
      <c r="GI182" s="23"/>
      <c r="GJ182" s="23"/>
      <c r="GK182" s="23"/>
      <c r="GL182" s="23"/>
      <c r="GM182" s="23"/>
      <c r="GO182" s="5"/>
      <c r="GP182" s="5"/>
      <c r="GQ182" s="5"/>
      <c r="GR182" s="5"/>
      <c r="GS182" s="5"/>
      <c r="GT182" s="5"/>
      <c r="GU182" s="5"/>
      <c r="GV182" s="5"/>
      <c r="GW182" s="5"/>
      <c r="GX182" s="5"/>
      <c r="GY182" s="5"/>
      <c r="GZ182" s="5"/>
      <c r="HB182" s="13"/>
      <c r="HC182" s="4"/>
      <c r="HD182" s="4"/>
      <c r="HE182" s="4"/>
      <c r="HF182" s="4"/>
      <c r="HG182" s="4"/>
      <c r="HH182" s="4"/>
      <c r="HI182" s="4"/>
      <c r="HJ182" s="4"/>
      <c r="HK182" s="4"/>
      <c r="HL182" s="4"/>
      <c r="HM182" s="4"/>
      <c r="HN182" s="4"/>
    </row>
    <row r="183" spans="158:222" x14ac:dyDescent="0.2">
      <c r="FB183" s="10"/>
      <c r="FC183" s="10"/>
      <c r="FD183" s="10"/>
      <c r="FE183" s="10"/>
      <c r="FF183" s="10"/>
      <c r="FG183" s="10"/>
      <c r="FH183" s="10"/>
      <c r="FI183" s="10"/>
      <c r="FJ183" s="10"/>
      <c r="FK183" s="10"/>
      <c r="FL183" s="10"/>
      <c r="FM183" s="10"/>
      <c r="FN183" s="10"/>
      <c r="FO183" s="10"/>
      <c r="FP183" s="10"/>
      <c r="FQ183" s="10"/>
      <c r="FW183" s="4"/>
      <c r="FX183" s="5"/>
      <c r="FZ183" s="13"/>
      <c r="GA183" s="23"/>
      <c r="GB183" s="23"/>
      <c r="GC183" s="23"/>
      <c r="GD183" s="23"/>
      <c r="GE183" s="23"/>
      <c r="GF183" s="23"/>
      <c r="GG183" s="23"/>
      <c r="GH183" s="23"/>
      <c r="GI183" s="23"/>
      <c r="GJ183" s="23"/>
      <c r="GK183" s="23"/>
      <c r="GL183" s="23"/>
      <c r="GM183" s="23"/>
      <c r="GO183" s="5"/>
      <c r="GP183" s="5"/>
      <c r="GQ183" s="5"/>
      <c r="GR183" s="5"/>
      <c r="GS183" s="5"/>
      <c r="GT183" s="5"/>
      <c r="GU183" s="5"/>
      <c r="GV183" s="5"/>
      <c r="GW183" s="5"/>
      <c r="GX183" s="5"/>
      <c r="GY183" s="5"/>
      <c r="GZ183" s="5"/>
      <c r="HB183" s="13"/>
      <c r="HC183" s="4"/>
      <c r="HD183" s="4"/>
      <c r="HE183" s="4"/>
      <c r="HF183" s="4"/>
      <c r="HG183" s="4"/>
      <c r="HH183" s="4"/>
      <c r="HI183" s="4"/>
      <c r="HJ183" s="4"/>
      <c r="HK183" s="4"/>
      <c r="HL183" s="4"/>
      <c r="HM183" s="4"/>
      <c r="HN183" s="4"/>
    </row>
    <row r="184" spans="158:222" x14ac:dyDescent="0.2">
      <c r="FB184" s="10"/>
      <c r="FC184" s="10"/>
      <c r="FD184" s="10"/>
      <c r="FE184" s="10"/>
      <c r="FF184" s="10"/>
      <c r="FG184" s="10"/>
      <c r="FH184" s="10"/>
      <c r="FI184" s="10"/>
      <c r="FJ184" s="10"/>
      <c r="FK184" s="10"/>
      <c r="FL184" s="10"/>
      <c r="FM184" s="10"/>
      <c r="FN184" s="10"/>
      <c r="FO184" s="10"/>
      <c r="FP184" s="10"/>
      <c r="FQ184" s="10"/>
      <c r="FW184" s="4"/>
      <c r="FX184" s="5"/>
      <c r="FZ184" s="13"/>
      <c r="GA184" s="23"/>
      <c r="GB184" s="23"/>
      <c r="GC184" s="23"/>
      <c r="GD184" s="23"/>
      <c r="GE184" s="23"/>
      <c r="GF184" s="23"/>
      <c r="GG184" s="23"/>
      <c r="GH184" s="23"/>
      <c r="GI184" s="23"/>
      <c r="GJ184" s="23"/>
      <c r="GK184" s="23"/>
      <c r="GL184" s="23"/>
      <c r="GM184" s="23"/>
      <c r="GO184" s="5"/>
      <c r="GP184" s="5"/>
      <c r="GQ184" s="5"/>
      <c r="GR184" s="5"/>
      <c r="GS184" s="5"/>
      <c r="GT184" s="5"/>
      <c r="GU184" s="5"/>
      <c r="GV184" s="5"/>
      <c r="GW184" s="5"/>
      <c r="GX184" s="5"/>
      <c r="GY184" s="5"/>
      <c r="GZ184" s="5"/>
      <c r="HB184" s="13"/>
      <c r="HC184" s="4"/>
      <c r="HD184" s="4"/>
      <c r="HE184" s="4"/>
      <c r="HF184" s="4"/>
      <c r="HG184" s="4"/>
      <c r="HH184" s="4"/>
      <c r="HI184" s="4"/>
      <c r="HJ184" s="4"/>
      <c r="HK184" s="4"/>
      <c r="HL184" s="4"/>
      <c r="HM184" s="4"/>
      <c r="HN184" s="4"/>
    </row>
    <row r="185" spans="158:222" x14ac:dyDescent="0.2">
      <c r="FB185" s="10"/>
      <c r="FC185" s="10"/>
      <c r="FD185" s="10"/>
      <c r="FE185" s="10"/>
      <c r="FF185" s="10"/>
      <c r="FG185" s="10"/>
      <c r="FH185" s="10"/>
      <c r="FI185" s="10"/>
      <c r="FJ185" s="10"/>
      <c r="FK185" s="10"/>
      <c r="FL185" s="10"/>
      <c r="FM185" s="10"/>
      <c r="FN185" s="10"/>
      <c r="FO185" s="10"/>
      <c r="FP185" s="10"/>
      <c r="FQ185" s="10"/>
      <c r="FW185" s="4"/>
      <c r="FX185" s="5"/>
      <c r="FZ185" s="13"/>
      <c r="GA185" s="23"/>
      <c r="GB185" s="23"/>
      <c r="GC185" s="23"/>
      <c r="GD185" s="23"/>
      <c r="GE185" s="23"/>
      <c r="GF185" s="23"/>
      <c r="GG185" s="23"/>
      <c r="GH185" s="23"/>
      <c r="GI185" s="23"/>
      <c r="GJ185" s="23"/>
      <c r="GK185" s="23"/>
      <c r="GL185" s="23"/>
      <c r="GM185" s="23"/>
      <c r="GO185" s="5"/>
      <c r="GP185" s="5"/>
      <c r="GQ185" s="5"/>
      <c r="GR185" s="5"/>
      <c r="GS185" s="5"/>
      <c r="GT185" s="5"/>
      <c r="GU185" s="5"/>
      <c r="GV185" s="5"/>
      <c r="GW185" s="5"/>
      <c r="GX185" s="5"/>
      <c r="GY185" s="5"/>
      <c r="GZ185" s="5"/>
      <c r="HB185" s="13"/>
      <c r="HC185" s="4"/>
      <c r="HD185" s="4"/>
      <c r="HE185" s="4"/>
      <c r="HF185" s="4"/>
      <c r="HG185" s="4"/>
      <c r="HH185" s="4"/>
      <c r="HI185" s="4"/>
      <c r="HJ185" s="4"/>
      <c r="HK185" s="4"/>
      <c r="HL185" s="4"/>
      <c r="HM185" s="4"/>
      <c r="HN185" s="4"/>
    </row>
    <row r="186" spans="158:222" x14ac:dyDescent="0.2">
      <c r="FB186" s="10"/>
      <c r="FC186" s="10"/>
      <c r="FD186" s="10"/>
      <c r="FE186" s="10"/>
      <c r="FF186" s="10"/>
      <c r="FG186" s="10"/>
      <c r="FH186" s="10"/>
      <c r="FI186" s="10"/>
      <c r="FJ186" s="10"/>
      <c r="FK186" s="10"/>
      <c r="FL186" s="10"/>
      <c r="FM186" s="10"/>
      <c r="FN186" s="10"/>
      <c r="FO186" s="10"/>
      <c r="FP186" s="10"/>
      <c r="FQ186" s="10"/>
      <c r="FW186" s="4"/>
      <c r="FX186" s="5"/>
      <c r="FZ186" s="13"/>
      <c r="GA186" s="23"/>
      <c r="GB186" s="23"/>
      <c r="GC186" s="23"/>
      <c r="GD186" s="23"/>
      <c r="GE186" s="23"/>
      <c r="GF186" s="23"/>
      <c r="GG186" s="23"/>
      <c r="GH186" s="23"/>
      <c r="GI186" s="23"/>
      <c r="GJ186" s="23"/>
      <c r="GK186" s="23"/>
      <c r="GL186" s="23"/>
      <c r="GM186" s="23"/>
      <c r="GO186" s="5"/>
      <c r="GP186" s="5"/>
      <c r="GQ186" s="5"/>
      <c r="GR186" s="5"/>
      <c r="GS186" s="5"/>
      <c r="GT186" s="5"/>
      <c r="GU186" s="5"/>
      <c r="GV186" s="5"/>
      <c r="GW186" s="5"/>
      <c r="GX186" s="5"/>
      <c r="GY186" s="5"/>
      <c r="GZ186" s="5"/>
      <c r="HB186" s="13"/>
      <c r="HC186" s="4"/>
      <c r="HD186" s="4"/>
      <c r="HE186" s="4"/>
      <c r="HF186" s="4"/>
      <c r="HG186" s="4"/>
      <c r="HH186" s="4"/>
      <c r="HI186" s="4"/>
      <c r="HJ186" s="4"/>
      <c r="HK186" s="4"/>
      <c r="HL186" s="4"/>
      <c r="HM186" s="4"/>
      <c r="HN186" s="4"/>
    </row>
    <row r="187" spans="158:222" x14ac:dyDescent="0.2">
      <c r="FB187" s="10"/>
      <c r="FC187" s="10"/>
      <c r="FD187" s="10"/>
      <c r="FE187" s="10"/>
      <c r="FF187" s="10"/>
      <c r="FG187" s="10"/>
      <c r="FH187" s="10"/>
      <c r="FI187" s="10"/>
      <c r="FJ187" s="10"/>
      <c r="FK187" s="10"/>
      <c r="FL187" s="10"/>
      <c r="FM187" s="10"/>
      <c r="FN187" s="10"/>
      <c r="FO187" s="10"/>
      <c r="FP187" s="10"/>
      <c r="FQ187" s="10"/>
      <c r="FW187" s="4"/>
      <c r="FX187" s="5"/>
      <c r="FZ187" s="13"/>
      <c r="GA187" s="23"/>
      <c r="GB187" s="23"/>
      <c r="GC187" s="23"/>
      <c r="GD187" s="23"/>
      <c r="GE187" s="23"/>
      <c r="GF187" s="23"/>
      <c r="GG187" s="23"/>
      <c r="GH187" s="23"/>
      <c r="GI187" s="23"/>
      <c r="GJ187" s="23"/>
      <c r="GK187" s="23"/>
      <c r="GL187" s="23"/>
      <c r="GM187" s="23"/>
      <c r="GO187" s="5"/>
      <c r="GP187" s="5"/>
      <c r="GQ187" s="5"/>
      <c r="GR187" s="5"/>
      <c r="GS187" s="5"/>
      <c r="GT187" s="5"/>
      <c r="GU187" s="5"/>
      <c r="GV187" s="5"/>
      <c r="GW187" s="5"/>
      <c r="GX187" s="5"/>
      <c r="GY187" s="5"/>
      <c r="GZ187" s="5"/>
      <c r="HB187" s="13"/>
      <c r="HC187" s="4"/>
      <c r="HD187" s="4"/>
      <c r="HE187" s="4"/>
      <c r="HF187" s="4"/>
      <c r="HG187" s="4"/>
      <c r="HH187" s="4"/>
      <c r="HI187" s="4"/>
      <c r="HJ187" s="4"/>
      <c r="HK187" s="4"/>
      <c r="HL187" s="4"/>
      <c r="HM187" s="4"/>
      <c r="HN187" s="4"/>
    </row>
    <row r="188" spans="158:222" x14ac:dyDescent="0.2">
      <c r="FB188" s="10"/>
      <c r="FC188" s="10"/>
      <c r="FD188" s="10"/>
      <c r="FE188" s="10"/>
      <c r="FF188" s="10"/>
      <c r="FG188" s="10"/>
      <c r="FH188" s="10"/>
      <c r="FI188" s="10"/>
      <c r="FJ188" s="10"/>
      <c r="FK188" s="10"/>
      <c r="FL188" s="10"/>
      <c r="FM188" s="10"/>
      <c r="FN188" s="10"/>
      <c r="FO188" s="10"/>
      <c r="FP188" s="10"/>
      <c r="FQ188" s="10"/>
      <c r="FW188" s="4"/>
      <c r="FX188" s="5"/>
      <c r="FZ188" s="13"/>
      <c r="GA188" s="23"/>
      <c r="GB188" s="23"/>
      <c r="GC188" s="23"/>
      <c r="GD188" s="23"/>
      <c r="GE188" s="23"/>
      <c r="GF188" s="23"/>
      <c r="GG188" s="23"/>
      <c r="GH188" s="23"/>
      <c r="GI188" s="23"/>
      <c r="GJ188" s="23"/>
      <c r="GK188" s="23"/>
      <c r="GL188" s="23"/>
      <c r="GM188" s="23"/>
      <c r="GO188" s="5"/>
      <c r="GP188" s="5"/>
      <c r="GQ188" s="5"/>
      <c r="GR188" s="5"/>
      <c r="GS188" s="5"/>
      <c r="GT188" s="5"/>
      <c r="GU188" s="5"/>
      <c r="GV188" s="5"/>
      <c r="GW188" s="5"/>
      <c r="GX188" s="5"/>
      <c r="GY188" s="5"/>
      <c r="GZ188" s="5"/>
      <c r="HB188" s="13"/>
      <c r="HC188" s="4"/>
      <c r="HD188" s="4"/>
      <c r="HE188" s="4"/>
      <c r="HF188" s="4"/>
      <c r="HG188" s="4"/>
      <c r="HH188" s="4"/>
      <c r="HI188" s="4"/>
      <c r="HJ188" s="4"/>
      <c r="HK188" s="4"/>
      <c r="HL188" s="4"/>
      <c r="HM188" s="4"/>
      <c r="HN188" s="4"/>
    </row>
    <row r="189" spans="158:222" x14ac:dyDescent="0.2">
      <c r="FB189" s="10"/>
      <c r="FC189" s="10"/>
      <c r="FD189" s="10"/>
      <c r="FE189" s="10"/>
      <c r="FF189" s="10"/>
      <c r="FG189" s="10"/>
      <c r="FH189" s="10"/>
      <c r="FI189" s="10"/>
      <c r="FJ189" s="10"/>
      <c r="FK189" s="10"/>
      <c r="FL189" s="10"/>
      <c r="FM189" s="10"/>
      <c r="FN189" s="10"/>
      <c r="FO189" s="10"/>
      <c r="FP189" s="10"/>
      <c r="FQ189" s="10"/>
      <c r="FW189" s="4"/>
      <c r="FX189" s="5"/>
      <c r="FZ189" s="13"/>
      <c r="GA189" s="23"/>
      <c r="GB189" s="23"/>
      <c r="GC189" s="23"/>
      <c r="GD189" s="23"/>
      <c r="GE189" s="23"/>
      <c r="GF189" s="23"/>
      <c r="GG189" s="23"/>
      <c r="GH189" s="23"/>
      <c r="GI189" s="23"/>
      <c r="GJ189" s="23"/>
      <c r="GK189" s="23"/>
      <c r="GL189" s="23"/>
      <c r="GM189" s="23"/>
      <c r="GO189" s="5"/>
      <c r="GP189" s="5"/>
      <c r="GQ189" s="5"/>
      <c r="GR189" s="5"/>
      <c r="GS189" s="5"/>
      <c r="GT189" s="5"/>
      <c r="GU189" s="5"/>
      <c r="GV189" s="5"/>
      <c r="GW189" s="5"/>
      <c r="GX189" s="5"/>
      <c r="GY189" s="5"/>
      <c r="GZ189" s="5"/>
      <c r="HB189" s="13"/>
      <c r="HC189" s="4"/>
      <c r="HD189" s="4"/>
      <c r="HE189" s="4"/>
      <c r="HF189" s="4"/>
      <c r="HG189" s="4"/>
      <c r="HH189" s="4"/>
      <c r="HI189" s="4"/>
      <c r="HJ189" s="4"/>
      <c r="HK189" s="4"/>
      <c r="HL189" s="4"/>
      <c r="HM189" s="4"/>
      <c r="HN189" s="4"/>
    </row>
    <row r="190" spans="158:222" x14ac:dyDescent="0.2">
      <c r="FB190" s="10"/>
      <c r="FC190" s="10"/>
      <c r="FD190" s="10"/>
      <c r="FE190" s="10"/>
      <c r="FF190" s="10"/>
      <c r="FG190" s="10"/>
      <c r="FH190" s="10"/>
      <c r="FI190" s="10"/>
      <c r="FJ190" s="10"/>
      <c r="FK190" s="10"/>
      <c r="FL190" s="10"/>
      <c r="FM190" s="10"/>
      <c r="FN190" s="10"/>
      <c r="FO190" s="10"/>
      <c r="FP190" s="10"/>
      <c r="FQ190" s="10"/>
      <c r="FW190" s="4"/>
      <c r="FX190" s="5"/>
      <c r="FZ190" s="13"/>
      <c r="GA190" s="23"/>
      <c r="GB190" s="23"/>
      <c r="GC190" s="23"/>
      <c r="GD190" s="23"/>
      <c r="GE190" s="23"/>
      <c r="GF190" s="23"/>
      <c r="GG190" s="23"/>
      <c r="GH190" s="23"/>
      <c r="GI190" s="23"/>
      <c r="GJ190" s="23"/>
      <c r="GK190" s="23"/>
      <c r="GL190" s="23"/>
      <c r="GM190" s="23"/>
      <c r="GO190" s="5"/>
      <c r="GP190" s="5"/>
      <c r="GQ190" s="5"/>
      <c r="GR190" s="5"/>
      <c r="GS190" s="5"/>
      <c r="GT190" s="5"/>
      <c r="GU190" s="5"/>
      <c r="GV190" s="5"/>
      <c r="GW190" s="5"/>
      <c r="GX190" s="5"/>
      <c r="GY190" s="5"/>
      <c r="GZ190" s="5"/>
      <c r="HB190" s="13"/>
      <c r="HC190" s="4"/>
      <c r="HD190" s="4"/>
      <c r="HE190" s="4"/>
      <c r="HF190" s="4"/>
      <c r="HG190" s="4"/>
      <c r="HH190" s="4"/>
      <c r="HI190" s="4"/>
      <c r="HJ190" s="4"/>
      <c r="HK190" s="4"/>
      <c r="HL190" s="4"/>
      <c r="HM190" s="4"/>
      <c r="HN190" s="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DA5D1-A482-CC4C-8A7C-463B5135289C}">
  <dimension ref="A1:I45"/>
  <sheetViews>
    <sheetView topLeftCell="A9" workbookViewId="0">
      <selection activeCell="J15" sqref="J15"/>
    </sheetView>
  </sheetViews>
  <sheetFormatPr baseColWidth="10" defaultRowHeight="16" x14ac:dyDescent="0.2"/>
  <sheetData>
    <row r="1" spans="1:1" x14ac:dyDescent="0.2">
      <c r="A1" t="s">
        <v>0</v>
      </c>
    </row>
    <row r="2" spans="1:1" x14ac:dyDescent="0.2">
      <c r="A2" t="s">
        <v>1</v>
      </c>
    </row>
    <row r="3" spans="1:1" x14ac:dyDescent="0.2">
      <c r="A3" t="s">
        <v>48</v>
      </c>
    </row>
    <row r="4" spans="1:1" x14ac:dyDescent="0.2">
      <c r="A4" t="s">
        <v>47</v>
      </c>
    </row>
    <row r="5" spans="1:1" x14ac:dyDescent="0.2">
      <c r="A5" t="s">
        <v>38</v>
      </c>
    </row>
    <row r="6" spans="1:1" x14ac:dyDescent="0.2">
      <c r="A6" t="s">
        <v>3</v>
      </c>
    </row>
    <row r="7" spans="1:1" x14ac:dyDescent="0.2">
      <c r="A7" t="s">
        <v>30</v>
      </c>
    </row>
    <row r="8" spans="1:1" x14ac:dyDescent="0.2">
      <c r="A8"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t="s">
        <v>129</v>
      </c>
    </row>
    <row r="21" spans="1:9" x14ac:dyDescent="0.2">
      <c r="A21" t="s">
        <v>18</v>
      </c>
    </row>
    <row r="22" spans="1:9" x14ac:dyDescent="0.2">
      <c r="A22" t="s">
        <v>281</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49</v>
      </c>
      <c r="B25">
        <v>6</v>
      </c>
      <c r="C25">
        <v>1</v>
      </c>
      <c r="D25">
        <v>2</v>
      </c>
      <c r="E25">
        <v>2</v>
      </c>
      <c r="F25">
        <v>2.8568935999999202E-2</v>
      </c>
      <c r="G25">
        <v>1</v>
      </c>
      <c r="H25">
        <v>1</v>
      </c>
      <c r="I25" t="s">
        <v>282</v>
      </c>
    </row>
    <row r="26" spans="1:9" x14ac:dyDescent="0.2">
      <c r="A26" t="s">
        <v>50</v>
      </c>
      <c r="B26">
        <v>24</v>
      </c>
      <c r="C26">
        <v>4</v>
      </c>
      <c r="D26">
        <v>2</v>
      </c>
      <c r="E26">
        <v>2</v>
      </c>
      <c r="F26">
        <v>3.3505929999989803E-2</v>
      </c>
      <c r="G26">
        <v>1</v>
      </c>
      <c r="H26">
        <v>1</v>
      </c>
      <c r="I26" t="s">
        <v>282</v>
      </c>
    </row>
    <row r="27" spans="1:9" x14ac:dyDescent="0.2">
      <c r="A27" t="s">
        <v>51</v>
      </c>
      <c r="B27">
        <v>48</v>
      </c>
      <c r="C27">
        <v>6</v>
      </c>
      <c r="D27">
        <v>3</v>
      </c>
      <c r="E27">
        <v>3</v>
      </c>
      <c r="F27">
        <v>3.7549334000004798E-2</v>
      </c>
      <c r="G27">
        <v>1</v>
      </c>
      <c r="H27">
        <v>1</v>
      </c>
      <c r="I27" t="s">
        <v>283</v>
      </c>
    </row>
    <row r="28" spans="1:9" x14ac:dyDescent="0.2">
      <c r="A28" t="s">
        <v>52</v>
      </c>
      <c r="B28">
        <v>84</v>
      </c>
      <c r="C28">
        <v>9</v>
      </c>
      <c r="D28">
        <v>4</v>
      </c>
      <c r="E28">
        <v>4</v>
      </c>
      <c r="F28">
        <v>4.5564963999993303E-2</v>
      </c>
      <c r="G28">
        <v>1</v>
      </c>
      <c r="H28">
        <v>1</v>
      </c>
      <c r="I28" t="s">
        <v>284</v>
      </c>
    </row>
    <row r="29" spans="1:9" x14ac:dyDescent="0.2">
      <c r="A29" t="s">
        <v>52</v>
      </c>
      <c r="B29">
        <v>84</v>
      </c>
      <c r="C29">
        <v>9</v>
      </c>
      <c r="D29">
        <v>3</v>
      </c>
      <c r="E29">
        <v>3</v>
      </c>
      <c r="F29">
        <v>5.05600049999941E-2</v>
      </c>
      <c r="G29">
        <v>1</v>
      </c>
      <c r="H29">
        <v>1</v>
      </c>
      <c r="I29" t="s">
        <v>285</v>
      </c>
    </row>
    <row r="30" spans="1:9" x14ac:dyDescent="0.2">
      <c r="A30" t="s">
        <v>53</v>
      </c>
      <c r="B30">
        <v>96</v>
      </c>
      <c r="C30">
        <v>10</v>
      </c>
      <c r="D30">
        <v>4</v>
      </c>
      <c r="E30">
        <v>4</v>
      </c>
      <c r="F30">
        <v>5.0963901000017103E-2</v>
      </c>
      <c r="G30">
        <v>1</v>
      </c>
      <c r="H30">
        <v>1</v>
      </c>
      <c r="I30" t="s">
        <v>286</v>
      </c>
    </row>
    <row r="31" spans="1:9" x14ac:dyDescent="0.2">
      <c r="A31" t="s">
        <v>54</v>
      </c>
      <c r="B31">
        <v>168</v>
      </c>
      <c r="C31">
        <v>16</v>
      </c>
      <c r="D31">
        <v>4</v>
      </c>
      <c r="E31">
        <v>4</v>
      </c>
      <c r="F31">
        <v>5.4005230999990703E-2</v>
      </c>
      <c r="G31">
        <v>1</v>
      </c>
      <c r="H31">
        <v>1</v>
      </c>
      <c r="I31" t="s">
        <v>287</v>
      </c>
    </row>
    <row r="32" spans="1:9" x14ac:dyDescent="0.2">
      <c r="A32" t="s">
        <v>54</v>
      </c>
      <c r="B32">
        <v>168</v>
      </c>
      <c r="C32">
        <v>16</v>
      </c>
      <c r="D32">
        <v>4</v>
      </c>
      <c r="E32">
        <v>4</v>
      </c>
      <c r="F32">
        <v>5.0963958000011099E-2</v>
      </c>
      <c r="G32">
        <v>1</v>
      </c>
      <c r="H32">
        <v>1</v>
      </c>
      <c r="I32" t="s">
        <v>288</v>
      </c>
    </row>
    <row r="33" spans="1:9" x14ac:dyDescent="0.2">
      <c r="A33" t="s">
        <v>55</v>
      </c>
      <c r="B33">
        <v>180</v>
      </c>
      <c r="C33">
        <v>17</v>
      </c>
      <c r="D33">
        <v>5</v>
      </c>
      <c r="E33">
        <v>5</v>
      </c>
      <c r="F33">
        <v>3.3827711999975897E-2</v>
      </c>
      <c r="G33">
        <v>1</v>
      </c>
      <c r="H33">
        <v>1</v>
      </c>
      <c r="I33" t="s">
        <v>289</v>
      </c>
    </row>
    <row r="34" spans="1:9" x14ac:dyDescent="0.2">
      <c r="A34" t="s">
        <v>56</v>
      </c>
      <c r="B34">
        <v>252</v>
      </c>
      <c r="C34">
        <v>23</v>
      </c>
      <c r="D34">
        <v>4</v>
      </c>
      <c r="E34">
        <v>4</v>
      </c>
      <c r="F34">
        <v>1.6204288000011498E-2</v>
      </c>
      <c r="G34">
        <v>1</v>
      </c>
      <c r="H34">
        <v>1</v>
      </c>
      <c r="I34" t="s">
        <v>290</v>
      </c>
    </row>
    <row r="35" spans="1:9" x14ac:dyDescent="0.2">
      <c r="A35" t="s">
        <v>57</v>
      </c>
      <c r="B35">
        <v>360</v>
      </c>
      <c r="C35">
        <v>32</v>
      </c>
      <c r="D35">
        <v>5</v>
      </c>
      <c r="E35">
        <v>5</v>
      </c>
      <c r="F35">
        <v>1.95556639999949E-2</v>
      </c>
      <c r="G35">
        <v>1</v>
      </c>
      <c r="H35">
        <v>1</v>
      </c>
      <c r="I35" t="s">
        <v>291</v>
      </c>
    </row>
    <row r="36" spans="1:9" x14ac:dyDescent="0.2">
      <c r="A36" t="s">
        <v>58</v>
      </c>
      <c r="B36">
        <v>384</v>
      </c>
      <c r="C36">
        <v>34</v>
      </c>
      <c r="D36">
        <v>4</v>
      </c>
      <c r="E36">
        <v>4</v>
      </c>
      <c r="F36">
        <v>1.89862029999972E-2</v>
      </c>
      <c r="G36">
        <v>1</v>
      </c>
      <c r="H36">
        <v>1</v>
      </c>
      <c r="I36" t="s">
        <v>292</v>
      </c>
    </row>
    <row r="37" spans="1:9" x14ac:dyDescent="0.2">
      <c r="A37" t="s">
        <v>59</v>
      </c>
      <c r="B37">
        <v>504</v>
      </c>
      <c r="C37">
        <v>44</v>
      </c>
      <c r="D37">
        <v>6</v>
      </c>
      <c r="E37">
        <v>6</v>
      </c>
      <c r="F37">
        <v>3.67883450000192E-2</v>
      </c>
      <c r="G37">
        <v>1</v>
      </c>
      <c r="H37">
        <v>1</v>
      </c>
      <c r="I37" t="s">
        <v>293</v>
      </c>
    </row>
    <row r="38" spans="1:9" x14ac:dyDescent="0.2">
      <c r="A38" t="s">
        <v>59</v>
      </c>
      <c r="B38">
        <v>504</v>
      </c>
      <c r="C38">
        <v>44</v>
      </c>
      <c r="D38">
        <v>6</v>
      </c>
      <c r="E38">
        <v>6</v>
      </c>
      <c r="F38">
        <v>4.0009113999985801E-2</v>
      </c>
      <c r="G38">
        <v>1</v>
      </c>
      <c r="H38">
        <v>1</v>
      </c>
      <c r="I38" t="s">
        <v>294</v>
      </c>
    </row>
    <row r="39" spans="1:9" x14ac:dyDescent="0.2">
      <c r="A39" t="s">
        <v>60</v>
      </c>
      <c r="B39">
        <v>540</v>
      </c>
      <c r="C39">
        <v>47</v>
      </c>
      <c r="D39">
        <v>5</v>
      </c>
      <c r="E39">
        <v>5</v>
      </c>
      <c r="F39">
        <v>2.8709085999992098E-2</v>
      </c>
      <c r="G39">
        <v>1</v>
      </c>
      <c r="H39">
        <v>1</v>
      </c>
      <c r="I39" t="s">
        <v>295</v>
      </c>
    </row>
    <row r="40" spans="1:9" x14ac:dyDescent="0.2">
      <c r="A40" t="s">
        <v>61</v>
      </c>
      <c r="B40">
        <v>768</v>
      </c>
      <c r="C40">
        <v>66</v>
      </c>
      <c r="D40">
        <v>6</v>
      </c>
      <c r="E40">
        <v>6</v>
      </c>
      <c r="F40">
        <v>6.1816340000007103E-2</v>
      </c>
      <c r="G40">
        <v>1</v>
      </c>
      <c r="H40">
        <v>1</v>
      </c>
      <c r="I40" t="s">
        <v>296</v>
      </c>
    </row>
    <row r="41" spans="1:9" x14ac:dyDescent="0.2">
      <c r="A41" t="s">
        <v>62</v>
      </c>
      <c r="B41">
        <v>1008</v>
      </c>
      <c r="C41">
        <v>86</v>
      </c>
      <c r="D41">
        <v>6</v>
      </c>
      <c r="E41">
        <v>6</v>
      </c>
      <c r="F41">
        <v>7.9695103999995298E-2</v>
      </c>
      <c r="G41">
        <v>1</v>
      </c>
      <c r="H41">
        <v>1</v>
      </c>
      <c r="I41" t="s">
        <v>297</v>
      </c>
    </row>
    <row r="42" spans="1:9" x14ac:dyDescent="0.2">
      <c r="A42" t="s">
        <v>63</v>
      </c>
      <c r="B42">
        <v>1080</v>
      </c>
      <c r="C42">
        <v>92</v>
      </c>
      <c r="D42">
        <v>6</v>
      </c>
      <c r="E42">
        <v>6</v>
      </c>
      <c r="F42">
        <v>9.2204737000002895E-2</v>
      </c>
      <c r="G42">
        <v>1</v>
      </c>
      <c r="H42">
        <v>1</v>
      </c>
      <c r="I42" t="s">
        <v>298</v>
      </c>
    </row>
    <row r="43" spans="1:9" x14ac:dyDescent="0.2">
      <c r="A43" t="s">
        <v>63</v>
      </c>
      <c r="B43">
        <v>1080</v>
      </c>
      <c r="C43">
        <v>92</v>
      </c>
      <c r="D43">
        <v>5</v>
      </c>
      <c r="E43">
        <v>5</v>
      </c>
      <c r="F43">
        <v>5.1249105000010703E-2</v>
      </c>
      <c r="G43">
        <v>1</v>
      </c>
      <c r="H43">
        <v>1</v>
      </c>
      <c r="I43" t="s">
        <v>299</v>
      </c>
    </row>
    <row r="44" spans="1:9" x14ac:dyDescent="0.2">
      <c r="A44" t="s">
        <v>64</v>
      </c>
      <c r="B44">
        <v>1224</v>
      </c>
      <c r="C44">
        <v>104</v>
      </c>
      <c r="D44">
        <v>6</v>
      </c>
      <c r="E44">
        <v>6</v>
      </c>
      <c r="F44">
        <v>9.2133343999989806E-2</v>
      </c>
      <c r="G44">
        <v>1</v>
      </c>
      <c r="H44">
        <v>1</v>
      </c>
      <c r="I44" t="s">
        <v>300</v>
      </c>
    </row>
    <row r="45" spans="1:9" x14ac:dyDescent="0.2">
      <c r="A45" t="s">
        <v>64</v>
      </c>
      <c r="B45">
        <v>1224</v>
      </c>
      <c r="C45">
        <v>104</v>
      </c>
      <c r="D45">
        <v>6</v>
      </c>
      <c r="E45">
        <v>6</v>
      </c>
      <c r="F45">
        <v>9.1798936000003495E-2</v>
      </c>
      <c r="G45">
        <v>1</v>
      </c>
      <c r="H45">
        <v>1</v>
      </c>
      <c r="I45" t="s">
        <v>301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4EF0B-0CF5-5B44-8570-106622A27112}">
  <dimension ref="A1:I48"/>
  <sheetViews>
    <sheetView workbookViewId="0">
      <selection activeCell="E8" sqref="E8"/>
    </sheetView>
  </sheetViews>
  <sheetFormatPr baseColWidth="10" defaultRowHeight="16" x14ac:dyDescent="0.2"/>
  <sheetData>
    <row r="1" spans="1:1" x14ac:dyDescent="0.2">
      <c r="A1" t="s">
        <v>0</v>
      </c>
    </row>
    <row r="2" spans="1:1" x14ac:dyDescent="0.2">
      <c r="A2" t="s">
        <v>1</v>
      </c>
    </row>
    <row r="3" spans="1:1" x14ac:dyDescent="0.2">
      <c r="A3" s="22" t="s">
        <v>120</v>
      </c>
    </row>
    <row r="4" spans="1:1" x14ac:dyDescent="0.2">
      <c r="A4" s="6" t="s">
        <v>48</v>
      </c>
    </row>
    <row r="5" spans="1:1" x14ac:dyDescent="0.2">
      <c r="A5" s="22" t="s">
        <v>47</v>
      </c>
    </row>
    <row r="6" spans="1:1" x14ac:dyDescent="0.2">
      <c r="A6" s="6" t="s">
        <v>121</v>
      </c>
    </row>
    <row r="7" spans="1:1" x14ac:dyDescent="0.2">
      <c r="A7" t="s">
        <v>3</v>
      </c>
    </row>
    <row r="8" spans="1:1" x14ac:dyDescent="0.2">
      <c r="A8" s="22" t="s">
        <v>4</v>
      </c>
    </row>
    <row r="9" spans="1:1" x14ac:dyDescent="0.2">
      <c r="A9" t="s">
        <v>5</v>
      </c>
    </row>
    <row r="10" spans="1:1" x14ac:dyDescent="0.2">
      <c r="A10" t="s">
        <v>6</v>
      </c>
    </row>
    <row r="11" spans="1:1" x14ac:dyDescent="0.2">
      <c r="A11" t="s">
        <v>7</v>
      </c>
    </row>
    <row r="12" spans="1:1" x14ac:dyDescent="0.2">
      <c r="A12" t="s">
        <v>8</v>
      </c>
    </row>
    <row r="13" spans="1:1" x14ac:dyDescent="0.2">
      <c r="A13" t="s">
        <v>9</v>
      </c>
    </row>
    <row r="14" spans="1:1" x14ac:dyDescent="0.2">
      <c r="A14" t="s">
        <v>10</v>
      </c>
    </row>
    <row r="15" spans="1:1" x14ac:dyDescent="0.2">
      <c r="A15" t="s">
        <v>11</v>
      </c>
    </row>
    <row r="16" spans="1:1" x14ac:dyDescent="0.2">
      <c r="A16" t="s">
        <v>12</v>
      </c>
    </row>
    <row r="17" spans="1:9" x14ac:dyDescent="0.2">
      <c r="A17" t="s">
        <v>13</v>
      </c>
    </row>
    <row r="18" spans="1:9" x14ac:dyDescent="0.2">
      <c r="A18" t="s">
        <v>14</v>
      </c>
    </row>
    <row r="19" spans="1:9" x14ac:dyDescent="0.2">
      <c r="A19" t="s">
        <v>122</v>
      </c>
    </row>
    <row r="20" spans="1:9" x14ac:dyDescent="0.2">
      <c r="A20" t="s">
        <v>16</v>
      </c>
    </row>
    <row r="21" spans="1:9" x14ac:dyDescent="0.2">
      <c r="A21" t="s">
        <v>123</v>
      </c>
    </row>
    <row r="22" spans="1:9" x14ac:dyDescent="0.2">
      <c r="A22" t="s">
        <v>124</v>
      </c>
    </row>
    <row r="23" spans="1:9" x14ac:dyDescent="0.2">
      <c r="A23" t="s">
        <v>17</v>
      </c>
    </row>
    <row r="24" spans="1:9" x14ac:dyDescent="0.2">
      <c r="A24" t="s">
        <v>18</v>
      </c>
    </row>
    <row r="25" spans="1:9" x14ac:dyDescent="0.2">
      <c r="A25" t="s">
        <v>125</v>
      </c>
    </row>
    <row r="26" spans="1:9" x14ac:dyDescent="0.2">
      <c r="A26" t="s">
        <v>19</v>
      </c>
    </row>
    <row r="27" spans="1:9" x14ac:dyDescent="0.2">
      <c r="A27" t="s">
        <v>20</v>
      </c>
      <c r="B27" t="s">
        <v>21</v>
      </c>
      <c r="C27" t="s">
        <v>22</v>
      </c>
      <c r="D27" t="s">
        <v>23</v>
      </c>
      <c r="E27" t="s">
        <v>24</v>
      </c>
      <c r="F27" t="s">
        <v>25</v>
      </c>
      <c r="G27" t="s">
        <v>26</v>
      </c>
      <c r="H27" t="s">
        <v>27</v>
      </c>
      <c r="I27" t="s">
        <v>28</v>
      </c>
    </row>
    <row r="28" spans="1:9" x14ac:dyDescent="0.2">
      <c r="A28" t="s">
        <v>49</v>
      </c>
      <c r="B28">
        <v>6</v>
      </c>
      <c r="C28">
        <v>1</v>
      </c>
      <c r="D28">
        <v>2</v>
      </c>
      <c r="E28">
        <v>2</v>
      </c>
      <c r="F28" s="14" t="s">
        <v>325</v>
      </c>
      <c r="G28">
        <v>1</v>
      </c>
      <c r="H28">
        <v>1</v>
      </c>
      <c r="I28" t="s">
        <v>126</v>
      </c>
    </row>
    <row r="29" spans="1:9" x14ac:dyDescent="0.2">
      <c r="A29" t="s">
        <v>50</v>
      </c>
      <c r="B29">
        <v>24</v>
      </c>
      <c r="C29">
        <v>4</v>
      </c>
      <c r="D29">
        <v>2</v>
      </c>
      <c r="E29">
        <v>2</v>
      </c>
      <c r="F29">
        <v>8.3509124990087003E-2</v>
      </c>
      <c r="G29">
        <v>1</v>
      </c>
      <c r="H29">
        <v>1</v>
      </c>
      <c r="I29" t="s">
        <v>127</v>
      </c>
    </row>
    <row r="30" spans="1:9" x14ac:dyDescent="0.2">
      <c r="A30" t="s">
        <v>51</v>
      </c>
      <c r="B30">
        <v>48</v>
      </c>
      <c r="C30">
        <v>6</v>
      </c>
      <c r="D30">
        <v>3</v>
      </c>
      <c r="E30">
        <v>3</v>
      </c>
      <c r="F30">
        <v>9.2607833037618506E-2</v>
      </c>
      <c r="G30">
        <v>1</v>
      </c>
      <c r="H30">
        <v>1</v>
      </c>
      <c r="I30" t="s">
        <v>128</v>
      </c>
    </row>
    <row r="31" spans="1:9" x14ac:dyDescent="0.2">
      <c r="A31" t="s">
        <v>52</v>
      </c>
      <c r="B31">
        <v>84</v>
      </c>
      <c r="C31">
        <v>9</v>
      </c>
      <c r="D31">
        <v>4</v>
      </c>
      <c r="E31">
        <v>4</v>
      </c>
      <c r="F31" s="14" t="s">
        <v>326</v>
      </c>
      <c r="G31">
        <v>1</v>
      </c>
      <c r="H31">
        <v>1</v>
      </c>
      <c r="I31" t="s">
        <v>327</v>
      </c>
    </row>
    <row r="32" spans="1:9" x14ac:dyDescent="0.2">
      <c r="A32" t="s">
        <v>52</v>
      </c>
      <c r="B32">
        <v>84</v>
      </c>
      <c r="C32">
        <v>9</v>
      </c>
      <c r="D32">
        <v>3</v>
      </c>
      <c r="E32">
        <v>3</v>
      </c>
      <c r="F32" s="14" t="s">
        <v>328</v>
      </c>
      <c r="G32">
        <v>1</v>
      </c>
      <c r="H32">
        <v>1</v>
      </c>
      <c r="I32" t="s">
        <v>329</v>
      </c>
    </row>
    <row r="33" spans="1:9" x14ac:dyDescent="0.2">
      <c r="A33" t="s">
        <v>53</v>
      </c>
      <c r="B33">
        <v>96</v>
      </c>
      <c r="C33">
        <v>10</v>
      </c>
      <c r="D33">
        <v>4</v>
      </c>
      <c r="E33">
        <v>4</v>
      </c>
      <c r="F33" s="14" t="s">
        <v>330</v>
      </c>
      <c r="G33">
        <v>1</v>
      </c>
      <c r="H33">
        <v>1</v>
      </c>
      <c r="I33" t="s">
        <v>331</v>
      </c>
    </row>
    <row r="34" spans="1:9" x14ac:dyDescent="0.2">
      <c r="A34" t="s">
        <v>54</v>
      </c>
      <c r="B34">
        <v>168</v>
      </c>
      <c r="C34">
        <v>16</v>
      </c>
      <c r="D34">
        <v>4</v>
      </c>
      <c r="E34">
        <v>4</v>
      </c>
      <c r="F34" s="14" t="s">
        <v>332</v>
      </c>
      <c r="G34">
        <v>1</v>
      </c>
      <c r="H34">
        <v>1</v>
      </c>
      <c r="I34" t="s">
        <v>333</v>
      </c>
    </row>
    <row r="35" spans="1:9" x14ac:dyDescent="0.2">
      <c r="A35" t="s">
        <v>54</v>
      </c>
      <c r="B35">
        <v>168</v>
      </c>
      <c r="C35">
        <v>16</v>
      </c>
      <c r="D35">
        <v>4</v>
      </c>
      <c r="E35">
        <v>4</v>
      </c>
      <c r="F35" s="14" t="s">
        <v>334</v>
      </c>
      <c r="G35">
        <v>1</v>
      </c>
      <c r="H35">
        <v>1</v>
      </c>
      <c r="I35" t="s">
        <v>335</v>
      </c>
    </row>
    <row r="36" spans="1:9" x14ac:dyDescent="0.2">
      <c r="A36" t="s">
        <v>55</v>
      </c>
      <c r="B36">
        <v>180</v>
      </c>
      <c r="C36">
        <v>17</v>
      </c>
      <c r="D36">
        <v>5</v>
      </c>
      <c r="E36">
        <v>5</v>
      </c>
      <c r="F36" s="14" t="s">
        <v>336</v>
      </c>
      <c r="G36">
        <v>1</v>
      </c>
      <c r="H36">
        <v>1</v>
      </c>
      <c r="I36" t="s">
        <v>337</v>
      </c>
    </row>
    <row r="37" spans="1:9" x14ac:dyDescent="0.2">
      <c r="A37" t="s">
        <v>56</v>
      </c>
      <c r="B37">
        <v>252</v>
      </c>
      <c r="C37">
        <v>23</v>
      </c>
      <c r="D37">
        <v>4</v>
      </c>
      <c r="E37">
        <v>4</v>
      </c>
      <c r="F37">
        <v>0.51486283302074298</v>
      </c>
      <c r="G37">
        <v>1</v>
      </c>
      <c r="H37">
        <v>1</v>
      </c>
      <c r="I37" t="s">
        <v>338</v>
      </c>
    </row>
    <row r="38" spans="1:9" x14ac:dyDescent="0.2">
      <c r="A38" t="s">
        <v>57</v>
      </c>
      <c r="B38">
        <v>360</v>
      </c>
      <c r="C38">
        <v>32</v>
      </c>
      <c r="D38">
        <v>5</v>
      </c>
      <c r="E38">
        <v>5</v>
      </c>
      <c r="F38" s="14" t="s">
        <v>339</v>
      </c>
      <c r="G38">
        <v>1</v>
      </c>
      <c r="H38">
        <v>1</v>
      </c>
      <c r="I38" t="s">
        <v>340</v>
      </c>
    </row>
    <row r="39" spans="1:9" x14ac:dyDescent="0.2">
      <c r="A39" t="s">
        <v>58</v>
      </c>
      <c r="B39">
        <v>384</v>
      </c>
      <c r="C39">
        <v>34</v>
      </c>
      <c r="D39">
        <v>4</v>
      </c>
      <c r="E39">
        <v>4</v>
      </c>
      <c r="F39" s="14" t="s">
        <v>341</v>
      </c>
      <c r="G39">
        <v>1</v>
      </c>
      <c r="H39">
        <v>1</v>
      </c>
      <c r="I39" t="s">
        <v>342</v>
      </c>
    </row>
    <row r="40" spans="1:9" x14ac:dyDescent="0.2">
      <c r="A40" t="s">
        <v>59</v>
      </c>
      <c r="B40">
        <v>504</v>
      </c>
      <c r="C40">
        <v>44</v>
      </c>
      <c r="D40">
        <v>6</v>
      </c>
      <c r="E40">
        <v>6</v>
      </c>
      <c r="F40" s="14" t="s">
        <v>343</v>
      </c>
      <c r="G40">
        <v>1</v>
      </c>
      <c r="H40">
        <v>1</v>
      </c>
      <c r="I40" t="s">
        <v>344</v>
      </c>
    </row>
    <row r="41" spans="1:9" x14ac:dyDescent="0.2">
      <c r="A41" t="s">
        <v>59</v>
      </c>
      <c r="B41">
        <v>504</v>
      </c>
      <c r="C41">
        <v>44</v>
      </c>
      <c r="D41">
        <v>6</v>
      </c>
      <c r="E41">
        <v>6</v>
      </c>
      <c r="F41" s="14" t="s">
        <v>345</v>
      </c>
      <c r="G41">
        <v>1</v>
      </c>
      <c r="H41">
        <v>1</v>
      </c>
      <c r="I41" t="s">
        <v>346</v>
      </c>
    </row>
    <row r="42" spans="1:9" x14ac:dyDescent="0.2">
      <c r="A42" t="s">
        <v>60</v>
      </c>
      <c r="B42">
        <v>540</v>
      </c>
      <c r="C42">
        <v>47</v>
      </c>
      <c r="D42">
        <v>5</v>
      </c>
      <c r="E42">
        <v>5</v>
      </c>
      <c r="F42" s="14" t="s">
        <v>347</v>
      </c>
      <c r="G42">
        <v>1</v>
      </c>
      <c r="H42">
        <v>1</v>
      </c>
      <c r="I42" t="s">
        <v>348</v>
      </c>
    </row>
    <row r="43" spans="1:9" x14ac:dyDescent="0.2">
      <c r="A43" t="s">
        <v>61</v>
      </c>
      <c r="B43">
        <v>768</v>
      </c>
      <c r="C43">
        <v>66</v>
      </c>
      <c r="D43">
        <v>6</v>
      </c>
      <c r="E43">
        <v>6</v>
      </c>
      <c r="F43" s="14" t="s">
        <v>349</v>
      </c>
      <c r="G43">
        <v>1</v>
      </c>
      <c r="H43">
        <v>1</v>
      </c>
      <c r="I43" t="s">
        <v>350</v>
      </c>
    </row>
    <row r="44" spans="1:9" x14ac:dyDescent="0.2">
      <c r="A44" t="s">
        <v>62</v>
      </c>
      <c r="B44">
        <v>1008</v>
      </c>
      <c r="C44">
        <v>86</v>
      </c>
      <c r="D44">
        <v>6</v>
      </c>
      <c r="E44">
        <v>6</v>
      </c>
      <c r="F44">
        <v>28800.590568209002</v>
      </c>
      <c r="G44">
        <v>1</v>
      </c>
      <c r="H44">
        <v>1</v>
      </c>
      <c r="I44" t="s">
        <v>351</v>
      </c>
    </row>
    <row r="45" spans="1:9" x14ac:dyDescent="0.2">
      <c r="A45" t="s">
        <v>63</v>
      </c>
      <c r="B45">
        <v>1080</v>
      </c>
      <c r="C45">
        <v>92</v>
      </c>
      <c r="D45">
        <v>6</v>
      </c>
      <c r="E45">
        <v>6</v>
      </c>
      <c r="F45" s="14" t="s">
        <v>389</v>
      </c>
      <c r="G45">
        <v>1</v>
      </c>
      <c r="H45">
        <v>1</v>
      </c>
      <c r="I45" t="s">
        <v>390</v>
      </c>
    </row>
    <row r="46" spans="1:9" x14ac:dyDescent="0.2">
      <c r="A46" t="s">
        <v>63</v>
      </c>
      <c r="B46">
        <v>1080</v>
      </c>
      <c r="C46">
        <v>92</v>
      </c>
      <c r="D46">
        <v>5</v>
      </c>
      <c r="E46">
        <v>5</v>
      </c>
      <c r="F46">
        <v>20536.395259041001</v>
      </c>
      <c r="G46">
        <v>1</v>
      </c>
      <c r="H46">
        <v>1</v>
      </c>
      <c r="I46" t="s">
        <v>391</v>
      </c>
    </row>
    <row r="47" spans="1:9" x14ac:dyDescent="0.2">
      <c r="A47" t="s">
        <v>64</v>
      </c>
      <c r="B47">
        <v>1224</v>
      </c>
      <c r="C47">
        <v>104</v>
      </c>
      <c r="D47">
        <v>6</v>
      </c>
      <c r="E47">
        <v>6</v>
      </c>
      <c r="F47">
        <v>28800.572976125</v>
      </c>
      <c r="G47">
        <v>1</v>
      </c>
      <c r="H47">
        <v>1</v>
      </c>
      <c r="I47" t="s">
        <v>392</v>
      </c>
    </row>
    <row r="48" spans="1:9" x14ac:dyDescent="0.2">
      <c r="A48" t="s">
        <v>64</v>
      </c>
      <c r="B48">
        <v>1224</v>
      </c>
      <c r="C48">
        <v>104</v>
      </c>
      <c r="D48">
        <v>6</v>
      </c>
      <c r="E48">
        <v>6</v>
      </c>
      <c r="F48">
        <v>28800.755854250001</v>
      </c>
      <c r="G48">
        <v>1</v>
      </c>
      <c r="H48">
        <v>1</v>
      </c>
      <c r="I48" t="s">
        <v>393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D16F6-717B-A64C-B99C-D35D02C614E1}">
  <dimension ref="A1:I45"/>
  <sheetViews>
    <sheetView workbookViewId="0"/>
  </sheetViews>
  <sheetFormatPr baseColWidth="10" defaultRowHeight="16" x14ac:dyDescent="0.2"/>
  <sheetData>
    <row r="1" spans="1:1" x14ac:dyDescent="0.2">
      <c r="A1" t="s">
        <v>0</v>
      </c>
    </row>
    <row r="2" spans="1:1" x14ac:dyDescent="0.2">
      <c r="A2" t="s">
        <v>1</v>
      </c>
    </row>
    <row r="3" spans="1:1" x14ac:dyDescent="0.2">
      <c r="A3" s="6" t="s">
        <v>48</v>
      </c>
    </row>
    <row r="4" spans="1:1" x14ac:dyDescent="0.2">
      <c r="A4" t="s">
        <v>47</v>
      </c>
    </row>
    <row r="5" spans="1:1" x14ac:dyDescent="0.2">
      <c r="A5" s="6" t="s">
        <v>2</v>
      </c>
    </row>
    <row r="6" spans="1:1" x14ac:dyDescent="0.2">
      <c r="A6" t="s">
        <v>3</v>
      </c>
    </row>
    <row r="7" spans="1:1" x14ac:dyDescent="0.2">
      <c r="A7" t="s">
        <v>30</v>
      </c>
    </row>
    <row r="8" spans="1:1" x14ac:dyDescent="0.2">
      <c r="A8" s="6"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t="s">
        <v>129</v>
      </c>
    </row>
    <row r="21" spans="1:9" x14ac:dyDescent="0.2">
      <c r="A21" t="s">
        <v>18</v>
      </c>
    </row>
    <row r="22" spans="1:9" x14ac:dyDescent="0.2">
      <c r="A22" t="s">
        <v>130</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49</v>
      </c>
      <c r="B25">
        <v>6</v>
      </c>
      <c r="C25">
        <v>1</v>
      </c>
      <c r="D25">
        <v>2</v>
      </c>
      <c r="E25">
        <v>2</v>
      </c>
      <c r="F25">
        <v>0.12329470899999199</v>
      </c>
      <c r="G25">
        <v>1</v>
      </c>
      <c r="H25">
        <v>1</v>
      </c>
      <c r="I25" t="s">
        <v>131</v>
      </c>
    </row>
    <row r="26" spans="1:9" x14ac:dyDescent="0.2">
      <c r="A26" t="s">
        <v>50</v>
      </c>
      <c r="B26">
        <v>24</v>
      </c>
      <c r="C26">
        <v>4</v>
      </c>
      <c r="D26">
        <v>2</v>
      </c>
      <c r="E26">
        <v>2</v>
      </c>
      <c r="F26">
        <v>0.190404524999991</v>
      </c>
      <c r="G26">
        <v>1</v>
      </c>
      <c r="H26">
        <v>1</v>
      </c>
      <c r="I26" t="s">
        <v>132</v>
      </c>
    </row>
    <row r="27" spans="1:9" x14ac:dyDescent="0.2">
      <c r="A27" t="s">
        <v>51</v>
      </c>
      <c r="B27">
        <v>48</v>
      </c>
      <c r="C27">
        <v>6</v>
      </c>
      <c r="D27">
        <v>3</v>
      </c>
      <c r="E27">
        <v>3</v>
      </c>
      <c r="F27">
        <v>0.13888993700001601</v>
      </c>
      <c r="G27">
        <v>1</v>
      </c>
      <c r="H27">
        <v>1</v>
      </c>
      <c r="I27" t="s">
        <v>133</v>
      </c>
    </row>
    <row r="28" spans="1:9" x14ac:dyDescent="0.2">
      <c r="A28" t="s">
        <v>52</v>
      </c>
      <c r="B28">
        <v>84</v>
      </c>
      <c r="C28">
        <v>9</v>
      </c>
      <c r="D28">
        <v>4</v>
      </c>
      <c r="E28">
        <v>4</v>
      </c>
      <c r="F28">
        <v>0.32538683900000298</v>
      </c>
      <c r="G28">
        <v>1</v>
      </c>
      <c r="H28">
        <v>1</v>
      </c>
      <c r="I28" t="s">
        <v>134</v>
      </c>
    </row>
    <row r="29" spans="1:9" x14ac:dyDescent="0.2">
      <c r="A29" t="s">
        <v>52</v>
      </c>
      <c r="B29">
        <v>84</v>
      </c>
      <c r="C29">
        <v>9</v>
      </c>
      <c r="D29">
        <v>3</v>
      </c>
      <c r="E29">
        <v>3</v>
      </c>
      <c r="F29">
        <v>0.18474645899999501</v>
      </c>
      <c r="G29">
        <v>1</v>
      </c>
      <c r="H29">
        <v>1</v>
      </c>
      <c r="I29" t="s">
        <v>135</v>
      </c>
    </row>
    <row r="30" spans="1:9" x14ac:dyDescent="0.2">
      <c r="A30" t="s">
        <v>53</v>
      </c>
      <c r="B30">
        <v>96</v>
      </c>
      <c r="C30">
        <v>10</v>
      </c>
      <c r="D30">
        <v>4</v>
      </c>
      <c r="E30">
        <v>4</v>
      </c>
      <c r="F30">
        <v>0.208793090999989</v>
      </c>
      <c r="G30">
        <v>1</v>
      </c>
      <c r="H30">
        <v>1</v>
      </c>
      <c r="I30" t="s">
        <v>136</v>
      </c>
    </row>
    <row r="31" spans="1:9" x14ac:dyDescent="0.2">
      <c r="A31" t="s">
        <v>54</v>
      </c>
      <c r="B31">
        <v>168</v>
      </c>
      <c r="C31">
        <v>16</v>
      </c>
      <c r="D31">
        <v>4</v>
      </c>
      <c r="E31">
        <v>4</v>
      </c>
      <c r="F31">
        <v>0.51462716800000396</v>
      </c>
      <c r="G31">
        <v>1</v>
      </c>
      <c r="H31">
        <v>1</v>
      </c>
      <c r="I31" t="s">
        <v>137</v>
      </c>
    </row>
    <row r="32" spans="1:9" x14ac:dyDescent="0.2">
      <c r="A32" t="s">
        <v>54</v>
      </c>
      <c r="B32">
        <v>168</v>
      </c>
      <c r="C32">
        <v>16</v>
      </c>
      <c r="D32">
        <v>4</v>
      </c>
      <c r="E32">
        <v>4</v>
      </c>
      <c r="F32">
        <v>0.63707401499999605</v>
      </c>
      <c r="G32">
        <v>1</v>
      </c>
      <c r="H32">
        <v>1</v>
      </c>
      <c r="I32" t="s">
        <v>138</v>
      </c>
    </row>
    <row r="33" spans="1:9" x14ac:dyDescent="0.2">
      <c r="A33" t="s">
        <v>55</v>
      </c>
      <c r="B33">
        <v>180</v>
      </c>
      <c r="C33">
        <v>17</v>
      </c>
      <c r="D33">
        <v>5</v>
      </c>
      <c r="E33">
        <v>5</v>
      </c>
      <c r="F33">
        <v>1.717359987</v>
      </c>
      <c r="G33">
        <v>1</v>
      </c>
      <c r="H33">
        <v>1</v>
      </c>
      <c r="I33" t="s">
        <v>139</v>
      </c>
    </row>
    <row r="34" spans="1:9" x14ac:dyDescent="0.2">
      <c r="A34" t="s">
        <v>56</v>
      </c>
      <c r="B34">
        <v>252</v>
      </c>
      <c r="C34">
        <v>23</v>
      </c>
      <c r="D34">
        <v>4</v>
      </c>
      <c r="E34">
        <v>4</v>
      </c>
      <c r="F34">
        <v>1.69015955099999</v>
      </c>
      <c r="G34">
        <v>1</v>
      </c>
      <c r="H34">
        <v>1</v>
      </c>
      <c r="I34" t="s">
        <v>140</v>
      </c>
    </row>
    <row r="35" spans="1:9" x14ac:dyDescent="0.2">
      <c r="A35" t="s">
        <v>57</v>
      </c>
      <c r="B35">
        <v>360</v>
      </c>
      <c r="C35">
        <v>32</v>
      </c>
      <c r="D35">
        <v>5</v>
      </c>
      <c r="E35">
        <v>5</v>
      </c>
      <c r="F35">
        <v>4.45061076300001</v>
      </c>
      <c r="G35">
        <v>1</v>
      </c>
      <c r="H35">
        <v>1</v>
      </c>
      <c r="I35" t="s">
        <v>141</v>
      </c>
    </row>
    <row r="36" spans="1:9" x14ac:dyDescent="0.2">
      <c r="A36" t="s">
        <v>58</v>
      </c>
      <c r="B36">
        <v>384</v>
      </c>
      <c r="C36">
        <v>34</v>
      </c>
      <c r="D36">
        <v>4</v>
      </c>
      <c r="E36">
        <v>4</v>
      </c>
      <c r="F36">
        <v>1.91015669299997</v>
      </c>
      <c r="G36">
        <v>1</v>
      </c>
      <c r="H36">
        <v>1</v>
      </c>
      <c r="I36" t="s">
        <v>142</v>
      </c>
    </row>
    <row r="37" spans="1:9" x14ac:dyDescent="0.2">
      <c r="A37" t="s">
        <v>59</v>
      </c>
      <c r="B37">
        <v>504</v>
      </c>
      <c r="C37">
        <v>44</v>
      </c>
      <c r="D37">
        <v>6</v>
      </c>
      <c r="E37">
        <v>6</v>
      </c>
      <c r="F37">
        <v>52.778818481999998</v>
      </c>
      <c r="G37">
        <v>1</v>
      </c>
      <c r="H37">
        <v>1</v>
      </c>
      <c r="I37" t="s">
        <v>143</v>
      </c>
    </row>
    <row r="38" spans="1:9" x14ac:dyDescent="0.2">
      <c r="A38" t="s">
        <v>59</v>
      </c>
      <c r="B38">
        <v>504</v>
      </c>
      <c r="C38">
        <v>44</v>
      </c>
      <c r="D38">
        <v>6</v>
      </c>
      <c r="E38">
        <v>6</v>
      </c>
      <c r="F38">
        <v>58.850609816999899</v>
      </c>
      <c r="G38">
        <v>1</v>
      </c>
      <c r="H38">
        <v>1</v>
      </c>
      <c r="I38" t="s">
        <v>144</v>
      </c>
    </row>
    <row r="39" spans="1:9" x14ac:dyDescent="0.2">
      <c r="A39" t="s">
        <v>60</v>
      </c>
      <c r="B39">
        <v>540</v>
      </c>
      <c r="C39">
        <v>47</v>
      </c>
      <c r="D39">
        <v>5</v>
      </c>
      <c r="E39">
        <v>5</v>
      </c>
      <c r="F39">
        <v>10.897308403</v>
      </c>
      <c r="G39">
        <v>1</v>
      </c>
      <c r="H39">
        <v>1</v>
      </c>
      <c r="I39" t="s">
        <v>145</v>
      </c>
    </row>
    <row r="40" spans="1:9" x14ac:dyDescent="0.2">
      <c r="A40" t="s">
        <v>61</v>
      </c>
      <c r="B40">
        <v>768</v>
      </c>
      <c r="C40">
        <v>66</v>
      </c>
      <c r="D40">
        <v>6</v>
      </c>
      <c r="E40">
        <v>6</v>
      </c>
      <c r="F40">
        <v>126.757097589</v>
      </c>
      <c r="G40">
        <v>1</v>
      </c>
      <c r="H40">
        <v>1</v>
      </c>
      <c r="I40" t="s">
        <v>146</v>
      </c>
    </row>
    <row r="41" spans="1:9" x14ac:dyDescent="0.2">
      <c r="A41" t="s">
        <v>62</v>
      </c>
      <c r="B41">
        <v>1008</v>
      </c>
      <c r="C41">
        <v>86</v>
      </c>
      <c r="D41">
        <v>6</v>
      </c>
      <c r="E41">
        <v>6</v>
      </c>
      <c r="F41">
        <v>226.155365918</v>
      </c>
      <c r="G41">
        <v>1</v>
      </c>
      <c r="H41">
        <v>1</v>
      </c>
      <c r="I41" t="s">
        <v>147</v>
      </c>
    </row>
    <row r="42" spans="1:9" x14ac:dyDescent="0.2">
      <c r="A42" t="s">
        <v>63</v>
      </c>
      <c r="B42">
        <v>1080</v>
      </c>
      <c r="C42">
        <v>92</v>
      </c>
      <c r="D42">
        <v>6</v>
      </c>
      <c r="E42">
        <v>6</v>
      </c>
      <c r="F42">
        <v>320.39477572999999</v>
      </c>
      <c r="G42">
        <v>1</v>
      </c>
      <c r="H42">
        <v>1</v>
      </c>
      <c r="I42" t="s">
        <v>148</v>
      </c>
    </row>
    <row r="43" spans="1:9" x14ac:dyDescent="0.2">
      <c r="A43" t="s">
        <v>63</v>
      </c>
      <c r="B43">
        <v>1080</v>
      </c>
      <c r="C43">
        <v>92</v>
      </c>
      <c r="D43">
        <v>5</v>
      </c>
      <c r="E43">
        <v>5</v>
      </c>
      <c r="F43">
        <v>55.211830910000003</v>
      </c>
      <c r="G43">
        <v>1</v>
      </c>
      <c r="H43">
        <v>1</v>
      </c>
      <c r="I43" t="s">
        <v>149</v>
      </c>
    </row>
    <row r="44" spans="1:9" x14ac:dyDescent="0.2">
      <c r="A44" t="s">
        <v>64</v>
      </c>
      <c r="B44">
        <v>1224</v>
      </c>
      <c r="C44">
        <v>104</v>
      </c>
      <c r="D44">
        <v>6</v>
      </c>
      <c r="E44">
        <v>6</v>
      </c>
      <c r="F44">
        <v>344.75111851399902</v>
      </c>
      <c r="G44">
        <v>1</v>
      </c>
      <c r="H44">
        <v>1</v>
      </c>
      <c r="I44" t="s">
        <v>150</v>
      </c>
    </row>
    <row r="45" spans="1:9" x14ac:dyDescent="0.2">
      <c r="A45" t="s">
        <v>64</v>
      </c>
      <c r="B45">
        <v>1224</v>
      </c>
      <c r="C45">
        <v>104</v>
      </c>
      <c r="D45">
        <v>6</v>
      </c>
      <c r="E45">
        <v>6</v>
      </c>
      <c r="F45">
        <v>453.629795839</v>
      </c>
      <c r="G45">
        <v>1</v>
      </c>
      <c r="H45">
        <v>1</v>
      </c>
      <c r="I45" t="s">
        <v>151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80E6-4678-E04E-A73D-AB43DFA15566}">
  <dimension ref="A1:I45"/>
  <sheetViews>
    <sheetView workbookViewId="0"/>
  </sheetViews>
  <sheetFormatPr baseColWidth="10" defaultRowHeight="16" x14ac:dyDescent="0.2"/>
  <sheetData>
    <row r="1" spans="1:1" x14ac:dyDescent="0.2">
      <c r="A1" t="s">
        <v>0</v>
      </c>
    </row>
    <row r="2" spans="1:1" x14ac:dyDescent="0.2">
      <c r="A2" t="s">
        <v>1</v>
      </c>
    </row>
    <row r="3" spans="1:1" x14ac:dyDescent="0.2">
      <c r="A3" s="21" t="s">
        <v>48</v>
      </c>
    </row>
    <row r="4" spans="1:1" x14ac:dyDescent="0.2">
      <c r="A4" t="s">
        <v>47</v>
      </c>
    </row>
    <row r="5" spans="1:1" x14ac:dyDescent="0.2">
      <c r="A5" s="21" t="s">
        <v>29</v>
      </c>
    </row>
    <row r="6" spans="1:1" x14ac:dyDescent="0.2">
      <c r="A6" t="s">
        <v>3</v>
      </c>
    </row>
    <row r="7" spans="1:1" x14ac:dyDescent="0.2">
      <c r="A7" t="s">
        <v>30</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t="s">
        <v>129</v>
      </c>
    </row>
    <row r="21" spans="1:9" x14ac:dyDescent="0.2">
      <c r="A21" t="s">
        <v>18</v>
      </c>
    </row>
    <row r="22" spans="1:9" x14ac:dyDescent="0.2">
      <c r="A22" t="s">
        <v>152</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49</v>
      </c>
      <c r="B25">
        <v>6</v>
      </c>
      <c r="C25">
        <v>1</v>
      </c>
      <c r="D25">
        <v>2</v>
      </c>
      <c r="E25">
        <v>2</v>
      </c>
      <c r="F25" s="1">
        <v>4.10058399998547E-3</v>
      </c>
      <c r="G25">
        <v>1</v>
      </c>
      <c r="H25">
        <v>1</v>
      </c>
      <c r="I25" t="s">
        <v>153</v>
      </c>
    </row>
    <row r="26" spans="1:9" x14ac:dyDescent="0.2">
      <c r="A26" t="s">
        <v>50</v>
      </c>
      <c r="B26">
        <v>24</v>
      </c>
      <c r="C26">
        <v>4</v>
      </c>
      <c r="D26">
        <v>2</v>
      </c>
      <c r="E26">
        <v>2</v>
      </c>
      <c r="F26">
        <v>9.4667950000086806E-3</v>
      </c>
      <c r="G26">
        <v>1</v>
      </c>
      <c r="H26">
        <v>1</v>
      </c>
      <c r="I26" t="s">
        <v>154</v>
      </c>
    </row>
    <row r="27" spans="1:9" x14ac:dyDescent="0.2">
      <c r="A27" t="s">
        <v>51</v>
      </c>
      <c r="B27">
        <v>48</v>
      </c>
      <c r="C27">
        <v>6</v>
      </c>
      <c r="D27">
        <v>3</v>
      </c>
      <c r="E27">
        <v>3</v>
      </c>
      <c r="F27">
        <v>1.13662480000016E-2</v>
      </c>
      <c r="G27">
        <v>1</v>
      </c>
      <c r="H27">
        <v>1</v>
      </c>
      <c r="I27" t="s">
        <v>155</v>
      </c>
    </row>
    <row r="28" spans="1:9" x14ac:dyDescent="0.2">
      <c r="A28" t="s">
        <v>52</v>
      </c>
      <c r="B28">
        <v>84</v>
      </c>
      <c r="C28">
        <v>9</v>
      </c>
      <c r="D28">
        <v>4</v>
      </c>
      <c r="E28">
        <v>4</v>
      </c>
      <c r="F28">
        <v>1.4537781000001301E-2</v>
      </c>
      <c r="G28">
        <v>1</v>
      </c>
      <c r="H28">
        <v>1</v>
      </c>
      <c r="I28" t="s">
        <v>156</v>
      </c>
    </row>
    <row r="29" spans="1:9" x14ac:dyDescent="0.2">
      <c r="A29" t="s">
        <v>52</v>
      </c>
      <c r="B29">
        <v>84</v>
      </c>
      <c r="C29">
        <v>9</v>
      </c>
      <c r="D29">
        <v>3</v>
      </c>
      <c r="E29">
        <v>3</v>
      </c>
      <c r="F29">
        <v>1.3601387999983601E-2</v>
      </c>
      <c r="G29">
        <v>1</v>
      </c>
      <c r="H29">
        <v>1</v>
      </c>
      <c r="I29" t="s">
        <v>157</v>
      </c>
    </row>
    <row r="30" spans="1:9" x14ac:dyDescent="0.2">
      <c r="A30" t="s">
        <v>53</v>
      </c>
      <c r="B30">
        <v>96</v>
      </c>
      <c r="C30">
        <v>10</v>
      </c>
      <c r="D30">
        <v>4</v>
      </c>
      <c r="E30">
        <v>4</v>
      </c>
      <c r="F30">
        <v>1.5499822000009499E-2</v>
      </c>
      <c r="G30">
        <v>1</v>
      </c>
      <c r="H30">
        <v>1</v>
      </c>
      <c r="I30" t="s">
        <v>158</v>
      </c>
    </row>
    <row r="31" spans="1:9" x14ac:dyDescent="0.2">
      <c r="A31" t="s">
        <v>54</v>
      </c>
      <c r="B31">
        <v>168</v>
      </c>
      <c r="C31">
        <v>16</v>
      </c>
      <c r="D31">
        <v>4</v>
      </c>
      <c r="E31">
        <v>4</v>
      </c>
      <c r="F31">
        <v>2.6139405000009198E-2</v>
      </c>
      <c r="G31">
        <v>1</v>
      </c>
      <c r="H31">
        <v>1</v>
      </c>
      <c r="I31" t="s">
        <v>159</v>
      </c>
    </row>
    <row r="32" spans="1:9" x14ac:dyDescent="0.2">
      <c r="A32" t="s">
        <v>54</v>
      </c>
      <c r="B32">
        <v>168</v>
      </c>
      <c r="C32">
        <v>16</v>
      </c>
      <c r="D32">
        <v>4</v>
      </c>
      <c r="E32">
        <v>4</v>
      </c>
      <c r="F32">
        <v>2.4081865999988801E-2</v>
      </c>
      <c r="G32">
        <v>1</v>
      </c>
      <c r="H32">
        <v>1</v>
      </c>
      <c r="I32" t="s">
        <v>159</v>
      </c>
    </row>
    <row r="33" spans="1:9" x14ac:dyDescent="0.2">
      <c r="A33" t="s">
        <v>55</v>
      </c>
      <c r="B33">
        <v>180</v>
      </c>
      <c r="C33">
        <v>17</v>
      </c>
      <c r="D33">
        <v>5</v>
      </c>
      <c r="E33">
        <v>5</v>
      </c>
      <c r="F33">
        <v>3.4590987000001398E-2</v>
      </c>
      <c r="G33">
        <v>1</v>
      </c>
      <c r="H33">
        <v>1</v>
      </c>
      <c r="I33" t="s">
        <v>160</v>
      </c>
    </row>
    <row r="34" spans="1:9" x14ac:dyDescent="0.2">
      <c r="A34" t="s">
        <v>56</v>
      </c>
      <c r="B34">
        <v>252</v>
      </c>
      <c r="C34">
        <v>23</v>
      </c>
      <c r="D34">
        <v>4</v>
      </c>
      <c r="E34">
        <v>4</v>
      </c>
      <c r="F34">
        <v>3.7128872000010901E-2</v>
      </c>
      <c r="G34">
        <v>1</v>
      </c>
      <c r="H34">
        <v>1</v>
      </c>
      <c r="I34" t="s">
        <v>161</v>
      </c>
    </row>
    <row r="35" spans="1:9" x14ac:dyDescent="0.2">
      <c r="A35" t="s">
        <v>57</v>
      </c>
      <c r="B35">
        <v>360</v>
      </c>
      <c r="C35">
        <v>32</v>
      </c>
      <c r="D35">
        <v>5</v>
      </c>
      <c r="E35">
        <v>5</v>
      </c>
      <c r="F35">
        <v>7.0446294999982201E-2</v>
      </c>
      <c r="G35">
        <v>1</v>
      </c>
      <c r="H35">
        <v>1</v>
      </c>
      <c r="I35" t="s">
        <v>162</v>
      </c>
    </row>
    <row r="36" spans="1:9" x14ac:dyDescent="0.2">
      <c r="A36" t="s">
        <v>58</v>
      </c>
      <c r="B36">
        <v>384</v>
      </c>
      <c r="C36">
        <v>34</v>
      </c>
      <c r="D36">
        <v>4</v>
      </c>
      <c r="E36">
        <v>4</v>
      </c>
      <c r="F36">
        <v>5.8526432000007803E-2</v>
      </c>
      <c r="G36">
        <v>1</v>
      </c>
      <c r="H36">
        <v>1</v>
      </c>
      <c r="I36" t="s">
        <v>163</v>
      </c>
    </row>
    <row r="37" spans="1:9" x14ac:dyDescent="0.2">
      <c r="A37" t="s">
        <v>59</v>
      </c>
      <c r="B37">
        <v>504</v>
      </c>
      <c r="C37">
        <v>44</v>
      </c>
      <c r="D37">
        <v>6</v>
      </c>
      <c r="E37">
        <v>6</v>
      </c>
      <c r="F37">
        <v>0.27396868400001001</v>
      </c>
      <c r="G37">
        <v>1</v>
      </c>
      <c r="H37">
        <v>1</v>
      </c>
      <c r="I37" t="s">
        <v>164</v>
      </c>
    </row>
    <row r="38" spans="1:9" x14ac:dyDescent="0.2">
      <c r="A38" t="s">
        <v>59</v>
      </c>
      <c r="B38">
        <v>504</v>
      </c>
      <c r="C38">
        <v>44</v>
      </c>
      <c r="D38">
        <v>6</v>
      </c>
      <c r="E38">
        <v>6</v>
      </c>
      <c r="F38">
        <v>0.27369200299997898</v>
      </c>
      <c r="G38">
        <v>1</v>
      </c>
      <c r="H38">
        <v>1</v>
      </c>
      <c r="I38" t="s">
        <v>164</v>
      </c>
    </row>
    <row r="39" spans="1:9" x14ac:dyDescent="0.2">
      <c r="A39" t="s">
        <v>60</v>
      </c>
      <c r="B39">
        <v>540</v>
      </c>
      <c r="C39">
        <v>47</v>
      </c>
      <c r="D39">
        <v>5</v>
      </c>
      <c r="E39">
        <v>5</v>
      </c>
      <c r="F39">
        <v>0.117219873999999</v>
      </c>
      <c r="G39">
        <v>1</v>
      </c>
      <c r="H39">
        <v>1</v>
      </c>
      <c r="I39" t="s">
        <v>165</v>
      </c>
    </row>
    <row r="40" spans="1:9" x14ac:dyDescent="0.2">
      <c r="A40" t="s">
        <v>61</v>
      </c>
      <c r="B40">
        <v>768</v>
      </c>
      <c r="C40">
        <v>66</v>
      </c>
      <c r="D40">
        <v>6</v>
      </c>
      <c r="E40">
        <v>6</v>
      </c>
      <c r="F40">
        <v>0.434171681999998</v>
      </c>
      <c r="G40">
        <v>1</v>
      </c>
      <c r="H40">
        <v>1</v>
      </c>
      <c r="I40" t="s">
        <v>166</v>
      </c>
    </row>
    <row r="41" spans="1:9" x14ac:dyDescent="0.2">
      <c r="A41" t="s">
        <v>62</v>
      </c>
      <c r="B41">
        <v>1008</v>
      </c>
      <c r="C41">
        <v>86</v>
      </c>
      <c r="D41">
        <v>6</v>
      </c>
      <c r="E41">
        <v>6</v>
      </c>
      <c r="F41">
        <v>0.63965472399999601</v>
      </c>
      <c r="G41">
        <v>1</v>
      </c>
      <c r="H41">
        <v>1</v>
      </c>
      <c r="I41" t="s">
        <v>167</v>
      </c>
    </row>
    <row r="42" spans="1:9" x14ac:dyDescent="0.2">
      <c r="A42" t="s">
        <v>63</v>
      </c>
      <c r="B42">
        <v>1080</v>
      </c>
      <c r="C42">
        <v>92</v>
      </c>
      <c r="D42">
        <v>6</v>
      </c>
      <c r="E42">
        <v>6</v>
      </c>
      <c r="F42">
        <v>0.72185197100000598</v>
      </c>
      <c r="G42">
        <v>1</v>
      </c>
      <c r="H42">
        <v>1</v>
      </c>
      <c r="I42" t="s">
        <v>168</v>
      </c>
    </row>
    <row r="43" spans="1:9" x14ac:dyDescent="0.2">
      <c r="A43" t="s">
        <v>63</v>
      </c>
      <c r="B43">
        <v>1080</v>
      </c>
      <c r="C43">
        <v>92</v>
      </c>
      <c r="D43">
        <v>5</v>
      </c>
      <c r="E43">
        <v>5</v>
      </c>
      <c r="F43">
        <v>0.32382920899999501</v>
      </c>
      <c r="G43">
        <v>1</v>
      </c>
      <c r="H43">
        <v>1</v>
      </c>
      <c r="I43" t="s">
        <v>169</v>
      </c>
    </row>
    <row r="44" spans="1:9" x14ac:dyDescent="0.2">
      <c r="A44" t="s">
        <v>64</v>
      </c>
      <c r="B44">
        <v>1224</v>
      </c>
      <c r="C44">
        <v>104</v>
      </c>
      <c r="D44">
        <v>6</v>
      </c>
      <c r="E44">
        <v>6</v>
      </c>
      <c r="F44">
        <v>0.78849559100001398</v>
      </c>
      <c r="G44">
        <v>1</v>
      </c>
      <c r="H44">
        <v>1</v>
      </c>
      <c r="I44" t="s">
        <v>170</v>
      </c>
    </row>
    <row r="45" spans="1:9" x14ac:dyDescent="0.2">
      <c r="A45" t="s">
        <v>64</v>
      </c>
      <c r="B45">
        <v>1224</v>
      </c>
      <c r="C45">
        <v>104</v>
      </c>
      <c r="D45">
        <v>6</v>
      </c>
      <c r="E45">
        <v>6</v>
      </c>
      <c r="F45">
        <v>0.78232529400000295</v>
      </c>
      <c r="G45">
        <v>1</v>
      </c>
      <c r="H45">
        <v>1</v>
      </c>
      <c r="I45" t="s">
        <v>170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0F65-B8CD-9B47-B167-6C9F071F03B6}">
  <dimension ref="A1:I51"/>
  <sheetViews>
    <sheetView workbookViewId="0"/>
  </sheetViews>
  <sheetFormatPr baseColWidth="10" defaultRowHeight="16" x14ac:dyDescent="0.2"/>
  <sheetData>
    <row r="1" spans="1:1" x14ac:dyDescent="0.2">
      <c r="A1" t="s">
        <v>0</v>
      </c>
    </row>
    <row r="2" spans="1:1" x14ac:dyDescent="0.2">
      <c r="A2" t="s">
        <v>1</v>
      </c>
    </row>
    <row r="3" spans="1:1" x14ac:dyDescent="0.2">
      <c r="A3" s="21" t="s">
        <v>48</v>
      </c>
    </row>
    <row r="4" spans="1:1" x14ac:dyDescent="0.2">
      <c r="A4" t="s">
        <v>47</v>
      </c>
    </row>
    <row r="5" spans="1:1" x14ac:dyDescent="0.2">
      <c r="A5" s="21" t="s">
        <v>31</v>
      </c>
    </row>
    <row r="6" spans="1:1" x14ac:dyDescent="0.2">
      <c r="A6" t="s">
        <v>3</v>
      </c>
    </row>
    <row r="7" spans="1:1" x14ac:dyDescent="0.2">
      <c r="A7" t="s">
        <v>30</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t="s">
        <v>129</v>
      </c>
    </row>
    <row r="21" spans="1:9" x14ac:dyDescent="0.2">
      <c r="A21" t="s">
        <v>32</v>
      </c>
    </row>
    <row r="22" spans="1:9" x14ac:dyDescent="0.2">
      <c r="A22" t="s">
        <v>18</v>
      </c>
    </row>
    <row r="23" spans="1:9" x14ac:dyDescent="0.2">
      <c r="A23" t="s">
        <v>33</v>
      </c>
    </row>
    <row r="24" spans="1:9" x14ac:dyDescent="0.2">
      <c r="A24" t="s">
        <v>34</v>
      </c>
    </row>
    <row r="25" spans="1:9" x14ac:dyDescent="0.2">
      <c r="A25" t="s">
        <v>35</v>
      </c>
    </row>
    <row r="26" spans="1:9" x14ac:dyDescent="0.2">
      <c r="A26" t="s">
        <v>36</v>
      </c>
    </row>
    <row r="27" spans="1:9" x14ac:dyDescent="0.2">
      <c r="A27" t="s">
        <v>37</v>
      </c>
    </row>
    <row r="28" spans="1:9" x14ac:dyDescent="0.2">
      <c r="A28" t="s">
        <v>171</v>
      </c>
    </row>
    <row r="29" spans="1:9" x14ac:dyDescent="0.2">
      <c r="A29" t="s">
        <v>19</v>
      </c>
    </row>
    <row r="30" spans="1:9" x14ac:dyDescent="0.2">
      <c r="A30" t="s">
        <v>20</v>
      </c>
      <c r="B30" t="s">
        <v>21</v>
      </c>
      <c r="C30" t="s">
        <v>22</v>
      </c>
      <c r="D30" t="s">
        <v>23</v>
      </c>
      <c r="E30" t="s">
        <v>24</v>
      </c>
      <c r="F30" t="s">
        <v>25</v>
      </c>
      <c r="G30" t="s">
        <v>26</v>
      </c>
      <c r="H30" t="s">
        <v>27</v>
      </c>
      <c r="I30" t="s">
        <v>28</v>
      </c>
    </row>
    <row r="31" spans="1:9" x14ac:dyDescent="0.2">
      <c r="A31" t="s">
        <v>49</v>
      </c>
      <c r="B31">
        <v>6</v>
      </c>
      <c r="C31">
        <v>1</v>
      </c>
      <c r="D31">
        <v>3</v>
      </c>
      <c r="E31">
        <v>3</v>
      </c>
      <c r="F31">
        <v>3.7213676160000002</v>
      </c>
      <c r="G31">
        <v>10000</v>
      </c>
      <c r="H31">
        <v>10000</v>
      </c>
      <c r="I31" t="s">
        <v>172</v>
      </c>
    </row>
    <row r="32" spans="1:9" x14ac:dyDescent="0.2">
      <c r="A32" t="s">
        <v>50</v>
      </c>
      <c r="B32">
        <v>24</v>
      </c>
      <c r="C32">
        <v>4</v>
      </c>
      <c r="D32">
        <v>2</v>
      </c>
      <c r="E32">
        <v>2</v>
      </c>
      <c r="F32">
        <v>13.340036597999999</v>
      </c>
      <c r="G32">
        <v>10000</v>
      </c>
      <c r="H32">
        <v>10000</v>
      </c>
      <c r="I32" t="s">
        <v>173</v>
      </c>
    </row>
    <row r="33" spans="1:9" x14ac:dyDescent="0.2">
      <c r="A33" t="s">
        <v>51</v>
      </c>
      <c r="B33">
        <v>48</v>
      </c>
      <c r="C33">
        <v>6</v>
      </c>
      <c r="D33">
        <v>3</v>
      </c>
      <c r="E33">
        <v>3</v>
      </c>
      <c r="F33">
        <v>20.264650033999999</v>
      </c>
      <c r="G33">
        <v>8365</v>
      </c>
      <c r="H33">
        <v>10000</v>
      </c>
      <c r="I33" t="s">
        <v>174</v>
      </c>
    </row>
    <row r="34" spans="1:9" x14ac:dyDescent="0.2">
      <c r="A34" t="s">
        <v>52</v>
      </c>
      <c r="B34">
        <v>84</v>
      </c>
      <c r="C34">
        <v>9</v>
      </c>
      <c r="D34">
        <v>4</v>
      </c>
      <c r="E34">
        <v>4</v>
      </c>
      <c r="F34">
        <v>29.9118786239999</v>
      </c>
      <c r="G34">
        <v>9676</v>
      </c>
      <c r="H34">
        <v>10000</v>
      </c>
      <c r="I34" t="s">
        <v>175</v>
      </c>
    </row>
    <row r="35" spans="1:9" x14ac:dyDescent="0.2">
      <c r="A35" t="s">
        <v>52</v>
      </c>
      <c r="B35">
        <v>84</v>
      </c>
      <c r="C35">
        <v>9</v>
      </c>
      <c r="D35">
        <v>3</v>
      </c>
      <c r="E35">
        <v>3</v>
      </c>
      <c r="F35">
        <v>30.544077162000001</v>
      </c>
      <c r="G35">
        <v>9261</v>
      </c>
      <c r="H35">
        <v>10000</v>
      </c>
      <c r="I35" t="s">
        <v>176</v>
      </c>
    </row>
    <row r="36" spans="1:9" x14ac:dyDescent="0.2">
      <c r="A36" t="s">
        <v>53</v>
      </c>
      <c r="B36">
        <v>96</v>
      </c>
      <c r="C36">
        <v>10</v>
      </c>
      <c r="D36">
        <v>4</v>
      </c>
      <c r="E36">
        <v>4</v>
      </c>
      <c r="F36">
        <v>34.925642746999898</v>
      </c>
      <c r="G36">
        <v>9930</v>
      </c>
      <c r="H36">
        <v>10000</v>
      </c>
      <c r="I36" t="s">
        <v>177</v>
      </c>
    </row>
    <row r="37" spans="1:9" x14ac:dyDescent="0.2">
      <c r="A37" t="s">
        <v>54</v>
      </c>
      <c r="B37">
        <v>168</v>
      </c>
      <c r="C37">
        <v>16</v>
      </c>
      <c r="D37">
        <v>4</v>
      </c>
      <c r="E37">
        <v>4</v>
      </c>
      <c r="F37">
        <v>58.511440266000001</v>
      </c>
      <c r="G37">
        <v>9304</v>
      </c>
      <c r="H37">
        <v>10000</v>
      </c>
      <c r="I37" t="s">
        <v>178</v>
      </c>
    </row>
    <row r="38" spans="1:9" x14ac:dyDescent="0.2">
      <c r="A38" t="s">
        <v>54</v>
      </c>
      <c r="B38">
        <v>168</v>
      </c>
      <c r="C38">
        <v>16</v>
      </c>
      <c r="D38">
        <v>4</v>
      </c>
      <c r="E38">
        <v>4</v>
      </c>
      <c r="F38">
        <v>59.008067671999903</v>
      </c>
      <c r="G38">
        <v>9280</v>
      </c>
      <c r="H38">
        <v>10000</v>
      </c>
      <c r="I38" t="s">
        <v>179</v>
      </c>
    </row>
    <row r="39" spans="1:9" x14ac:dyDescent="0.2">
      <c r="A39" t="s">
        <v>55</v>
      </c>
      <c r="B39">
        <v>180</v>
      </c>
      <c r="C39">
        <v>17</v>
      </c>
      <c r="D39">
        <v>5</v>
      </c>
      <c r="E39">
        <v>5</v>
      </c>
      <c r="F39">
        <v>62.266185338</v>
      </c>
      <c r="G39">
        <v>9297</v>
      </c>
      <c r="H39">
        <v>10000</v>
      </c>
      <c r="I39" t="s">
        <v>180</v>
      </c>
    </row>
    <row r="40" spans="1:9" x14ac:dyDescent="0.2">
      <c r="A40" t="s">
        <v>56</v>
      </c>
      <c r="B40">
        <v>252</v>
      </c>
      <c r="C40">
        <v>23</v>
      </c>
      <c r="D40">
        <v>4</v>
      </c>
      <c r="E40">
        <v>4</v>
      </c>
      <c r="F40">
        <v>86.240610256999901</v>
      </c>
      <c r="G40">
        <v>7124</v>
      </c>
      <c r="H40">
        <v>10000</v>
      </c>
      <c r="I40" t="s">
        <v>181</v>
      </c>
    </row>
    <row r="41" spans="1:9" x14ac:dyDescent="0.2">
      <c r="A41" t="s">
        <v>57</v>
      </c>
      <c r="B41">
        <v>360</v>
      </c>
      <c r="C41">
        <v>32</v>
      </c>
      <c r="D41">
        <v>5</v>
      </c>
      <c r="E41">
        <v>5</v>
      </c>
      <c r="F41">
        <v>123.926896842</v>
      </c>
      <c r="G41">
        <v>3750</v>
      </c>
      <c r="H41">
        <v>10000</v>
      </c>
      <c r="I41" t="s">
        <v>182</v>
      </c>
    </row>
    <row r="42" spans="1:9" x14ac:dyDescent="0.2">
      <c r="A42" t="s">
        <v>58</v>
      </c>
      <c r="B42">
        <v>384</v>
      </c>
      <c r="C42">
        <v>34</v>
      </c>
      <c r="D42">
        <v>4</v>
      </c>
      <c r="E42">
        <v>4</v>
      </c>
      <c r="F42">
        <v>133.90649044099899</v>
      </c>
      <c r="G42">
        <v>9202</v>
      </c>
      <c r="H42">
        <v>10000</v>
      </c>
      <c r="I42" t="s">
        <v>179</v>
      </c>
    </row>
    <row r="43" spans="1:9" x14ac:dyDescent="0.2">
      <c r="A43" t="s">
        <v>59</v>
      </c>
      <c r="B43">
        <v>504</v>
      </c>
      <c r="C43">
        <v>44</v>
      </c>
      <c r="D43">
        <v>6</v>
      </c>
      <c r="E43">
        <v>6</v>
      </c>
      <c r="F43">
        <v>177.123015256</v>
      </c>
      <c r="G43">
        <v>9474</v>
      </c>
      <c r="H43">
        <v>10000</v>
      </c>
      <c r="I43" t="s">
        <v>183</v>
      </c>
    </row>
    <row r="44" spans="1:9" x14ac:dyDescent="0.2">
      <c r="A44" t="s">
        <v>59</v>
      </c>
      <c r="B44">
        <v>504</v>
      </c>
      <c r="C44">
        <v>44</v>
      </c>
      <c r="D44">
        <v>6</v>
      </c>
      <c r="E44">
        <v>6</v>
      </c>
      <c r="F44">
        <v>178.04975901099999</v>
      </c>
      <c r="G44">
        <v>9066</v>
      </c>
      <c r="H44">
        <v>10000</v>
      </c>
      <c r="I44" t="s">
        <v>184</v>
      </c>
    </row>
    <row r="45" spans="1:9" x14ac:dyDescent="0.2">
      <c r="A45" t="s">
        <v>60</v>
      </c>
      <c r="B45">
        <v>540</v>
      </c>
      <c r="C45">
        <v>47</v>
      </c>
      <c r="D45">
        <v>5</v>
      </c>
      <c r="E45">
        <v>5</v>
      </c>
      <c r="F45">
        <v>191.28706218999901</v>
      </c>
      <c r="G45">
        <v>7523</v>
      </c>
      <c r="H45">
        <v>10000</v>
      </c>
      <c r="I45" t="s">
        <v>185</v>
      </c>
    </row>
    <row r="46" spans="1:9" x14ac:dyDescent="0.2">
      <c r="A46" t="s">
        <v>61</v>
      </c>
      <c r="B46">
        <v>768</v>
      </c>
      <c r="C46">
        <v>66</v>
      </c>
      <c r="D46">
        <v>6</v>
      </c>
      <c r="E46">
        <v>6</v>
      </c>
      <c r="F46">
        <v>281.06226768900001</v>
      </c>
      <c r="G46">
        <v>9248</v>
      </c>
      <c r="H46">
        <v>10000</v>
      </c>
      <c r="I46" t="s">
        <v>186</v>
      </c>
    </row>
    <row r="47" spans="1:9" x14ac:dyDescent="0.2">
      <c r="A47" t="s">
        <v>62</v>
      </c>
      <c r="B47">
        <v>1008</v>
      </c>
      <c r="C47">
        <v>86</v>
      </c>
      <c r="D47">
        <v>6</v>
      </c>
      <c r="E47">
        <v>6</v>
      </c>
      <c r="F47">
        <v>376.24762440799998</v>
      </c>
      <c r="G47">
        <v>4392</v>
      </c>
      <c r="H47">
        <v>10000</v>
      </c>
      <c r="I47" t="s">
        <v>187</v>
      </c>
    </row>
    <row r="48" spans="1:9" x14ac:dyDescent="0.2">
      <c r="A48" t="s">
        <v>63</v>
      </c>
      <c r="B48">
        <v>1080</v>
      </c>
      <c r="C48">
        <v>92</v>
      </c>
      <c r="D48">
        <v>6</v>
      </c>
      <c r="E48">
        <v>6</v>
      </c>
      <c r="F48">
        <v>412.61023582500002</v>
      </c>
      <c r="G48">
        <v>7877</v>
      </c>
      <c r="H48">
        <v>10000</v>
      </c>
      <c r="I48" t="s">
        <v>188</v>
      </c>
    </row>
    <row r="49" spans="1:9" x14ac:dyDescent="0.2">
      <c r="A49" t="s">
        <v>63</v>
      </c>
      <c r="B49">
        <v>1080</v>
      </c>
      <c r="C49">
        <v>92</v>
      </c>
      <c r="D49">
        <v>5</v>
      </c>
      <c r="E49">
        <v>5</v>
      </c>
      <c r="F49">
        <v>413.82480713799902</v>
      </c>
      <c r="G49">
        <v>9189</v>
      </c>
      <c r="H49">
        <v>10000</v>
      </c>
      <c r="I49" t="s">
        <v>189</v>
      </c>
    </row>
    <row r="50" spans="1:9" x14ac:dyDescent="0.2">
      <c r="A50" t="s">
        <v>64</v>
      </c>
      <c r="B50">
        <v>1224</v>
      </c>
      <c r="C50">
        <v>104</v>
      </c>
      <c r="D50">
        <v>6</v>
      </c>
      <c r="E50">
        <v>6</v>
      </c>
      <c r="F50">
        <v>470.68464827600002</v>
      </c>
      <c r="G50">
        <v>4539</v>
      </c>
      <c r="H50">
        <v>10000</v>
      </c>
      <c r="I50" t="s">
        <v>190</v>
      </c>
    </row>
    <row r="51" spans="1:9" x14ac:dyDescent="0.2">
      <c r="A51" t="s">
        <v>64</v>
      </c>
      <c r="B51">
        <v>1224</v>
      </c>
      <c r="C51">
        <v>104</v>
      </c>
      <c r="D51">
        <v>6</v>
      </c>
      <c r="E51">
        <v>6</v>
      </c>
      <c r="F51">
        <v>469.02189136499902</v>
      </c>
      <c r="G51">
        <v>7819</v>
      </c>
      <c r="H51">
        <v>10000</v>
      </c>
      <c r="I51" t="s">
        <v>191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8FC68-421A-A549-91BF-87D22664C974}">
  <dimension ref="A1:I47"/>
  <sheetViews>
    <sheetView topLeftCell="A27" workbookViewId="0"/>
  </sheetViews>
  <sheetFormatPr baseColWidth="10" defaultRowHeight="16" x14ac:dyDescent="0.2"/>
  <sheetData>
    <row r="1" spans="1:1" x14ac:dyDescent="0.2">
      <c r="A1" t="s">
        <v>0</v>
      </c>
    </row>
    <row r="2" spans="1:1" x14ac:dyDescent="0.2">
      <c r="A2" t="s">
        <v>1</v>
      </c>
    </row>
    <row r="3" spans="1:1" x14ac:dyDescent="0.2">
      <c r="A3" s="21" t="s">
        <v>48</v>
      </c>
    </row>
    <row r="4" spans="1:1" x14ac:dyDescent="0.2">
      <c r="A4" t="s">
        <v>47</v>
      </c>
    </row>
    <row r="5" spans="1:1" x14ac:dyDescent="0.2">
      <c r="A5" s="21" t="s">
        <v>38</v>
      </c>
    </row>
    <row r="6" spans="1:1" x14ac:dyDescent="0.2">
      <c r="A6" t="s">
        <v>3</v>
      </c>
    </row>
    <row r="7" spans="1:1" x14ac:dyDescent="0.2">
      <c r="A7" t="s">
        <v>30</v>
      </c>
    </row>
    <row r="8" spans="1:1" x14ac:dyDescent="0.2">
      <c r="A8" s="21" t="s">
        <v>365</v>
      </c>
    </row>
    <row r="9" spans="1:1" x14ac:dyDescent="0.2">
      <c r="A9" t="s">
        <v>366</v>
      </c>
    </row>
    <row r="10" spans="1:1" x14ac:dyDescent="0.2">
      <c r="A10" t="s">
        <v>5</v>
      </c>
    </row>
    <row r="11" spans="1:1" x14ac:dyDescent="0.2">
      <c r="A11" t="s">
        <v>6</v>
      </c>
    </row>
    <row r="12" spans="1:1" x14ac:dyDescent="0.2">
      <c r="A12" t="s">
        <v>7</v>
      </c>
    </row>
    <row r="13" spans="1:1" x14ac:dyDescent="0.2">
      <c r="A13" t="s">
        <v>8</v>
      </c>
    </row>
    <row r="14" spans="1:1" x14ac:dyDescent="0.2">
      <c r="A14" t="s">
        <v>9</v>
      </c>
    </row>
    <row r="15" spans="1:1" x14ac:dyDescent="0.2">
      <c r="A15" t="s">
        <v>10</v>
      </c>
    </row>
    <row r="16" spans="1:1" x14ac:dyDescent="0.2">
      <c r="A16" t="s">
        <v>11</v>
      </c>
    </row>
    <row r="17" spans="1:9" x14ac:dyDescent="0.2">
      <c r="A17" t="s">
        <v>12</v>
      </c>
    </row>
    <row r="18" spans="1:9" x14ac:dyDescent="0.2">
      <c r="A18" t="s">
        <v>13</v>
      </c>
    </row>
    <row r="19" spans="1:9" x14ac:dyDescent="0.2">
      <c r="A19" t="s">
        <v>14</v>
      </c>
    </row>
    <row r="20" spans="1:9" x14ac:dyDescent="0.2">
      <c r="A20" t="s">
        <v>15</v>
      </c>
    </row>
    <row r="21" spans="1:9" x14ac:dyDescent="0.2">
      <c r="A21" t="s">
        <v>16</v>
      </c>
    </row>
    <row r="22" spans="1:9" x14ac:dyDescent="0.2">
      <c r="A22" t="s">
        <v>17</v>
      </c>
    </row>
    <row r="23" spans="1:9" x14ac:dyDescent="0.2">
      <c r="A23" t="s">
        <v>18</v>
      </c>
    </row>
    <row r="24" spans="1:9" x14ac:dyDescent="0.2">
      <c r="A24" t="s">
        <v>367</v>
      </c>
    </row>
    <row r="25" spans="1:9" x14ac:dyDescent="0.2">
      <c r="A25" t="s">
        <v>19</v>
      </c>
    </row>
    <row r="26" spans="1:9" x14ac:dyDescent="0.2">
      <c r="A26" t="s">
        <v>20</v>
      </c>
      <c r="B26" t="s">
        <v>21</v>
      </c>
      <c r="C26" t="s">
        <v>22</v>
      </c>
      <c r="D26" t="s">
        <v>23</v>
      </c>
      <c r="E26" t="s">
        <v>24</v>
      </c>
      <c r="F26" t="s">
        <v>25</v>
      </c>
      <c r="G26" t="s">
        <v>26</v>
      </c>
      <c r="H26" t="s">
        <v>27</v>
      </c>
      <c r="I26" t="s">
        <v>28</v>
      </c>
    </row>
    <row r="27" spans="1:9" x14ac:dyDescent="0.2">
      <c r="A27" t="s">
        <v>49</v>
      </c>
      <c r="B27">
        <v>6</v>
      </c>
      <c r="C27">
        <v>1</v>
      </c>
      <c r="D27">
        <v>3</v>
      </c>
      <c r="E27">
        <v>3</v>
      </c>
      <c r="F27">
        <v>3.0194660946726799</v>
      </c>
      <c r="G27">
        <v>1</v>
      </c>
      <c r="H27">
        <v>1</v>
      </c>
      <c r="I27" t="s">
        <v>368</v>
      </c>
    </row>
    <row r="28" spans="1:9" x14ac:dyDescent="0.2">
      <c r="A28" t="s">
        <v>50</v>
      </c>
      <c r="B28">
        <v>24</v>
      </c>
      <c r="C28">
        <v>4</v>
      </c>
      <c r="D28">
        <v>3</v>
      </c>
      <c r="E28">
        <v>3</v>
      </c>
      <c r="F28">
        <v>0.445460505783557</v>
      </c>
      <c r="G28">
        <v>1</v>
      </c>
      <c r="H28">
        <v>1</v>
      </c>
      <c r="I28" t="s">
        <v>369</v>
      </c>
    </row>
    <row r="29" spans="1:9" x14ac:dyDescent="0.2">
      <c r="A29" t="s">
        <v>51</v>
      </c>
      <c r="B29">
        <v>48</v>
      </c>
      <c r="C29">
        <v>6</v>
      </c>
      <c r="D29">
        <v>3</v>
      </c>
      <c r="E29">
        <v>3</v>
      </c>
      <c r="F29">
        <v>0.71660214662551802</v>
      </c>
      <c r="G29">
        <v>1</v>
      </c>
      <c r="H29">
        <v>1</v>
      </c>
      <c r="I29" t="s">
        <v>370</v>
      </c>
    </row>
    <row r="30" spans="1:9" x14ac:dyDescent="0.2">
      <c r="A30" t="s">
        <v>52</v>
      </c>
      <c r="B30">
        <v>84</v>
      </c>
      <c r="C30">
        <v>9</v>
      </c>
      <c r="D30">
        <v>4</v>
      </c>
      <c r="E30">
        <v>4</v>
      </c>
      <c r="F30">
        <v>0.40703600645065302</v>
      </c>
      <c r="G30">
        <v>1</v>
      </c>
      <c r="H30">
        <v>1</v>
      </c>
      <c r="I30" t="s">
        <v>371</v>
      </c>
    </row>
    <row r="31" spans="1:9" x14ac:dyDescent="0.2">
      <c r="A31" t="s">
        <v>52</v>
      </c>
      <c r="B31">
        <v>84</v>
      </c>
      <c r="C31">
        <v>9</v>
      </c>
      <c r="D31">
        <v>4</v>
      </c>
      <c r="E31">
        <v>4</v>
      </c>
      <c r="F31">
        <v>0.52773988246917702</v>
      </c>
      <c r="G31">
        <v>1</v>
      </c>
      <c r="H31">
        <v>1</v>
      </c>
      <c r="I31" t="s">
        <v>372</v>
      </c>
    </row>
    <row r="32" spans="1:9" x14ac:dyDescent="0.2">
      <c r="A32" t="s">
        <v>53</v>
      </c>
      <c r="B32">
        <v>96</v>
      </c>
      <c r="C32">
        <v>10</v>
      </c>
      <c r="D32">
        <v>4</v>
      </c>
      <c r="E32">
        <v>4</v>
      </c>
      <c r="F32">
        <v>0.234454736113548</v>
      </c>
      <c r="G32">
        <v>1</v>
      </c>
      <c r="H32">
        <v>1</v>
      </c>
      <c r="I32" t="s">
        <v>373</v>
      </c>
    </row>
    <row r="33" spans="1:9" x14ac:dyDescent="0.2">
      <c r="A33" t="s">
        <v>54</v>
      </c>
      <c r="B33">
        <v>168</v>
      </c>
      <c r="C33">
        <v>16</v>
      </c>
      <c r="D33">
        <v>4</v>
      </c>
      <c r="E33">
        <v>4</v>
      </c>
      <c r="F33">
        <v>0.41423094272613498</v>
      </c>
      <c r="G33">
        <v>1</v>
      </c>
      <c r="H33">
        <v>1</v>
      </c>
      <c r="I33" t="s">
        <v>374</v>
      </c>
    </row>
    <row r="34" spans="1:9" x14ac:dyDescent="0.2">
      <c r="A34" t="s">
        <v>54</v>
      </c>
      <c r="B34">
        <v>168</v>
      </c>
      <c r="C34">
        <v>16</v>
      </c>
      <c r="D34">
        <v>4</v>
      </c>
      <c r="E34">
        <v>4</v>
      </c>
      <c r="F34">
        <v>0.193822681903839</v>
      </c>
      <c r="G34">
        <v>1</v>
      </c>
      <c r="H34">
        <v>1</v>
      </c>
      <c r="I34" t="s">
        <v>375</v>
      </c>
    </row>
    <row r="35" spans="1:9" x14ac:dyDescent="0.2">
      <c r="A35" t="s">
        <v>55</v>
      </c>
      <c r="B35">
        <v>180</v>
      </c>
      <c r="C35">
        <v>17</v>
      </c>
      <c r="D35">
        <v>5</v>
      </c>
      <c r="E35">
        <v>5</v>
      </c>
      <c r="F35">
        <v>0.404356248676776</v>
      </c>
      <c r="G35">
        <v>1</v>
      </c>
      <c r="H35">
        <v>1</v>
      </c>
      <c r="I35" t="s">
        <v>376</v>
      </c>
    </row>
    <row r="36" spans="1:9" x14ac:dyDescent="0.2">
      <c r="A36" t="s">
        <v>56</v>
      </c>
      <c r="B36">
        <v>252</v>
      </c>
      <c r="C36">
        <v>23</v>
      </c>
      <c r="D36">
        <v>4</v>
      </c>
      <c r="E36">
        <v>4</v>
      </c>
      <c r="F36">
        <v>0.26396721601486201</v>
      </c>
      <c r="G36">
        <v>1</v>
      </c>
      <c r="H36">
        <v>1</v>
      </c>
      <c r="I36" t="s">
        <v>377</v>
      </c>
    </row>
    <row r="37" spans="1:9" x14ac:dyDescent="0.2">
      <c r="A37" t="s">
        <v>57</v>
      </c>
      <c r="B37">
        <v>360</v>
      </c>
      <c r="C37">
        <v>32</v>
      </c>
      <c r="D37">
        <v>5</v>
      </c>
      <c r="E37">
        <v>5</v>
      </c>
      <c r="F37">
        <v>0.378590427339077</v>
      </c>
      <c r="G37">
        <v>1</v>
      </c>
      <c r="H37">
        <v>1</v>
      </c>
      <c r="I37" t="s">
        <v>378</v>
      </c>
    </row>
    <row r="38" spans="1:9" x14ac:dyDescent="0.2">
      <c r="A38" t="s">
        <v>58</v>
      </c>
      <c r="B38">
        <v>384</v>
      </c>
      <c r="C38">
        <v>34</v>
      </c>
      <c r="D38">
        <v>4</v>
      </c>
      <c r="E38">
        <v>4</v>
      </c>
      <c r="F38">
        <v>0.33766335248947099</v>
      </c>
      <c r="G38">
        <v>1</v>
      </c>
      <c r="H38">
        <v>1</v>
      </c>
      <c r="I38" t="s">
        <v>379</v>
      </c>
    </row>
    <row r="39" spans="1:9" x14ac:dyDescent="0.2">
      <c r="A39" t="s">
        <v>59</v>
      </c>
      <c r="B39">
        <v>504</v>
      </c>
      <c r="C39">
        <v>44</v>
      </c>
      <c r="D39">
        <v>6</v>
      </c>
      <c r="E39">
        <v>6</v>
      </c>
      <c r="F39">
        <v>0.46135014295577997</v>
      </c>
      <c r="G39">
        <v>1</v>
      </c>
      <c r="H39">
        <v>1</v>
      </c>
      <c r="I39" t="s">
        <v>380</v>
      </c>
    </row>
    <row r="40" spans="1:9" x14ac:dyDescent="0.2">
      <c r="A40" t="s">
        <v>59</v>
      </c>
      <c r="B40">
        <v>504</v>
      </c>
      <c r="C40">
        <v>44</v>
      </c>
      <c r="D40">
        <v>6</v>
      </c>
      <c r="E40">
        <v>6</v>
      </c>
      <c r="F40">
        <v>0.23877234011888501</v>
      </c>
      <c r="G40">
        <v>1</v>
      </c>
      <c r="H40">
        <v>1</v>
      </c>
      <c r="I40" t="s">
        <v>381</v>
      </c>
    </row>
    <row r="41" spans="1:9" x14ac:dyDescent="0.2">
      <c r="A41" t="s">
        <v>60</v>
      </c>
      <c r="B41">
        <v>540</v>
      </c>
      <c r="C41">
        <v>47</v>
      </c>
      <c r="D41">
        <v>5</v>
      </c>
      <c r="E41">
        <v>5</v>
      </c>
      <c r="F41">
        <v>0.42129651457071299</v>
      </c>
      <c r="G41">
        <v>1</v>
      </c>
      <c r="H41">
        <v>1</v>
      </c>
      <c r="I41" t="s">
        <v>382</v>
      </c>
    </row>
    <row r="42" spans="1:9" x14ac:dyDescent="0.2">
      <c r="A42" t="s">
        <v>61</v>
      </c>
      <c r="B42">
        <v>768</v>
      </c>
      <c r="C42">
        <v>66</v>
      </c>
      <c r="D42">
        <v>6</v>
      </c>
      <c r="E42">
        <v>6</v>
      </c>
      <c r="F42">
        <v>0.11874093115329699</v>
      </c>
      <c r="G42">
        <v>1</v>
      </c>
      <c r="H42">
        <v>1</v>
      </c>
      <c r="I42" t="s">
        <v>383</v>
      </c>
    </row>
    <row r="43" spans="1:9" x14ac:dyDescent="0.2">
      <c r="A43" t="s">
        <v>62</v>
      </c>
      <c r="B43">
        <v>1008</v>
      </c>
      <c r="C43">
        <v>86</v>
      </c>
      <c r="D43">
        <v>6</v>
      </c>
      <c r="E43">
        <v>6</v>
      </c>
      <c r="F43">
        <v>0.27097292244434301</v>
      </c>
      <c r="G43">
        <v>1</v>
      </c>
      <c r="H43">
        <v>1</v>
      </c>
      <c r="I43" t="s">
        <v>384</v>
      </c>
    </row>
    <row r="44" spans="1:9" x14ac:dyDescent="0.2">
      <c r="A44" t="s">
        <v>63</v>
      </c>
      <c r="B44">
        <v>1080</v>
      </c>
      <c r="C44">
        <v>92</v>
      </c>
      <c r="D44">
        <v>6</v>
      </c>
      <c r="E44">
        <v>6</v>
      </c>
      <c r="F44">
        <v>0.452575303614139</v>
      </c>
      <c r="G44">
        <v>1</v>
      </c>
      <c r="H44">
        <v>1</v>
      </c>
      <c r="I44" t="s">
        <v>385</v>
      </c>
    </row>
    <row r="45" spans="1:9" x14ac:dyDescent="0.2">
      <c r="A45" t="s">
        <v>63</v>
      </c>
      <c r="B45">
        <v>1080</v>
      </c>
      <c r="C45">
        <v>92</v>
      </c>
      <c r="D45">
        <v>5</v>
      </c>
      <c r="E45">
        <v>5</v>
      </c>
      <c r="F45">
        <v>0.22835221886634799</v>
      </c>
      <c r="G45">
        <v>1</v>
      </c>
      <c r="H45">
        <v>1</v>
      </c>
      <c r="I45" t="s">
        <v>386</v>
      </c>
    </row>
    <row r="46" spans="1:9" x14ac:dyDescent="0.2">
      <c r="A46" t="s">
        <v>64</v>
      </c>
      <c r="B46">
        <v>1224</v>
      </c>
      <c r="C46">
        <v>104</v>
      </c>
      <c r="D46">
        <v>6</v>
      </c>
      <c r="E46">
        <v>6</v>
      </c>
      <c r="F46">
        <v>0.15963375568389801</v>
      </c>
      <c r="G46">
        <v>1</v>
      </c>
      <c r="H46">
        <v>1</v>
      </c>
      <c r="I46" t="s">
        <v>387</v>
      </c>
    </row>
    <row r="47" spans="1:9" x14ac:dyDescent="0.2">
      <c r="A47" t="s">
        <v>64</v>
      </c>
      <c r="B47">
        <v>1224</v>
      </c>
      <c r="C47">
        <v>104</v>
      </c>
      <c r="D47">
        <v>6</v>
      </c>
      <c r="E47">
        <v>6</v>
      </c>
      <c r="F47">
        <v>0.37063743919134101</v>
      </c>
      <c r="G47">
        <v>1</v>
      </c>
      <c r="H47">
        <v>1</v>
      </c>
      <c r="I47" t="s">
        <v>388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CAF9-8045-954A-B154-8211A168039B}">
  <dimension ref="A1:I45"/>
  <sheetViews>
    <sheetView workbookViewId="0">
      <selection activeCell="E16" sqref="E16"/>
    </sheetView>
  </sheetViews>
  <sheetFormatPr baseColWidth="10" defaultRowHeight="16" x14ac:dyDescent="0.2"/>
  <sheetData>
    <row r="1" spans="1:1" x14ac:dyDescent="0.2">
      <c r="A1" t="s">
        <v>0</v>
      </c>
    </row>
    <row r="2" spans="1:1" x14ac:dyDescent="0.2">
      <c r="A2" t="s">
        <v>1</v>
      </c>
    </row>
    <row r="3" spans="1:1" x14ac:dyDescent="0.2">
      <c r="A3" s="21" t="s">
        <v>48</v>
      </c>
    </row>
    <row r="4" spans="1:1" x14ac:dyDescent="0.2">
      <c r="A4" t="s">
        <v>47</v>
      </c>
    </row>
    <row r="5" spans="1:1" x14ac:dyDescent="0.2">
      <c r="A5" s="21" t="s">
        <v>38</v>
      </c>
    </row>
    <row r="6" spans="1:1" x14ac:dyDescent="0.2">
      <c r="A6" t="s">
        <v>3</v>
      </c>
    </row>
    <row r="7" spans="1:1" x14ac:dyDescent="0.2">
      <c r="A7" t="s">
        <v>30</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s="6" t="s">
        <v>129</v>
      </c>
    </row>
    <row r="21" spans="1:9" x14ac:dyDescent="0.2">
      <c r="A21" t="s">
        <v>18</v>
      </c>
    </row>
    <row r="22" spans="1:9" x14ac:dyDescent="0.2">
      <c r="A22" t="s">
        <v>281</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49</v>
      </c>
      <c r="B25">
        <v>6</v>
      </c>
      <c r="C25">
        <v>1</v>
      </c>
      <c r="D25">
        <v>2</v>
      </c>
      <c r="E25">
        <v>2</v>
      </c>
      <c r="F25">
        <v>2.8568935999999202E-2</v>
      </c>
      <c r="G25">
        <v>1</v>
      </c>
      <c r="H25">
        <v>1</v>
      </c>
      <c r="I25" t="s">
        <v>282</v>
      </c>
    </row>
    <row r="26" spans="1:9" x14ac:dyDescent="0.2">
      <c r="A26" t="s">
        <v>50</v>
      </c>
      <c r="B26">
        <v>24</v>
      </c>
      <c r="C26">
        <v>4</v>
      </c>
      <c r="D26">
        <v>2</v>
      </c>
      <c r="E26">
        <v>2</v>
      </c>
      <c r="F26">
        <v>3.3505929999989803E-2</v>
      </c>
      <c r="G26">
        <v>1</v>
      </c>
      <c r="H26">
        <v>1</v>
      </c>
      <c r="I26" t="s">
        <v>282</v>
      </c>
    </row>
    <row r="27" spans="1:9" x14ac:dyDescent="0.2">
      <c r="A27" t="s">
        <v>51</v>
      </c>
      <c r="B27">
        <v>48</v>
      </c>
      <c r="C27">
        <v>6</v>
      </c>
      <c r="D27">
        <v>3</v>
      </c>
      <c r="E27">
        <v>3</v>
      </c>
      <c r="F27">
        <v>3.7549334000004798E-2</v>
      </c>
      <c r="G27">
        <v>1</v>
      </c>
      <c r="H27">
        <v>1</v>
      </c>
      <c r="I27" t="s">
        <v>283</v>
      </c>
    </row>
    <row r="28" spans="1:9" x14ac:dyDescent="0.2">
      <c r="A28" t="s">
        <v>52</v>
      </c>
      <c r="B28">
        <v>84</v>
      </c>
      <c r="C28">
        <v>9</v>
      </c>
      <c r="D28">
        <v>4</v>
      </c>
      <c r="E28">
        <v>4</v>
      </c>
      <c r="F28">
        <v>4.5564963999993303E-2</v>
      </c>
      <c r="G28">
        <v>1</v>
      </c>
      <c r="H28">
        <v>1</v>
      </c>
      <c r="I28" t="s">
        <v>284</v>
      </c>
    </row>
    <row r="29" spans="1:9" x14ac:dyDescent="0.2">
      <c r="A29" t="s">
        <v>52</v>
      </c>
      <c r="B29">
        <v>84</v>
      </c>
      <c r="C29">
        <v>9</v>
      </c>
      <c r="D29">
        <v>3</v>
      </c>
      <c r="E29">
        <v>3</v>
      </c>
      <c r="F29">
        <v>5.05600049999941E-2</v>
      </c>
      <c r="G29">
        <v>1</v>
      </c>
      <c r="H29">
        <v>1</v>
      </c>
      <c r="I29" t="s">
        <v>285</v>
      </c>
    </row>
    <row r="30" spans="1:9" x14ac:dyDescent="0.2">
      <c r="A30" t="s">
        <v>53</v>
      </c>
      <c r="B30">
        <v>96</v>
      </c>
      <c r="C30">
        <v>10</v>
      </c>
      <c r="D30">
        <v>4</v>
      </c>
      <c r="E30">
        <v>4</v>
      </c>
      <c r="F30">
        <v>5.0963901000017103E-2</v>
      </c>
      <c r="G30">
        <v>1</v>
      </c>
      <c r="H30">
        <v>1</v>
      </c>
      <c r="I30" t="s">
        <v>286</v>
      </c>
    </row>
    <row r="31" spans="1:9" x14ac:dyDescent="0.2">
      <c r="A31" t="s">
        <v>54</v>
      </c>
      <c r="B31">
        <v>168</v>
      </c>
      <c r="C31">
        <v>16</v>
      </c>
      <c r="D31">
        <v>4</v>
      </c>
      <c r="E31">
        <v>4</v>
      </c>
      <c r="F31">
        <v>5.4005230999990703E-2</v>
      </c>
      <c r="G31">
        <v>1</v>
      </c>
      <c r="H31">
        <v>1</v>
      </c>
      <c r="I31" t="s">
        <v>287</v>
      </c>
    </row>
    <row r="32" spans="1:9" x14ac:dyDescent="0.2">
      <c r="A32" t="s">
        <v>54</v>
      </c>
      <c r="B32">
        <v>168</v>
      </c>
      <c r="C32">
        <v>16</v>
      </c>
      <c r="D32">
        <v>4</v>
      </c>
      <c r="E32">
        <v>4</v>
      </c>
      <c r="F32">
        <v>5.0963958000011099E-2</v>
      </c>
      <c r="G32">
        <v>1</v>
      </c>
      <c r="H32">
        <v>1</v>
      </c>
      <c r="I32" t="s">
        <v>288</v>
      </c>
    </row>
    <row r="33" spans="1:9" x14ac:dyDescent="0.2">
      <c r="A33" t="s">
        <v>55</v>
      </c>
      <c r="B33">
        <v>180</v>
      </c>
      <c r="C33">
        <v>17</v>
      </c>
      <c r="D33">
        <v>5</v>
      </c>
      <c r="E33">
        <v>5</v>
      </c>
      <c r="F33">
        <v>3.3827711999975897E-2</v>
      </c>
      <c r="G33">
        <v>1</v>
      </c>
      <c r="H33">
        <v>1</v>
      </c>
      <c r="I33" t="s">
        <v>289</v>
      </c>
    </row>
    <row r="34" spans="1:9" x14ac:dyDescent="0.2">
      <c r="A34" t="s">
        <v>56</v>
      </c>
      <c r="B34">
        <v>252</v>
      </c>
      <c r="C34">
        <v>23</v>
      </c>
      <c r="D34">
        <v>4</v>
      </c>
      <c r="E34">
        <v>4</v>
      </c>
      <c r="F34">
        <v>1.6204288000011498E-2</v>
      </c>
      <c r="G34">
        <v>1</v>
      </c>
      <c r="H34">
        <v>1</v>
      </c>
      <c r="I34" t="s">
        <v>290</v>
      </c>
    </row>
    <row r="35" spans="1:9" x14ac:dyDescent="0.2">
      <c r="A35" t="s">
        <v>57</v>
      </c>
      <c r="B35">
        <v>360</v>
      </c>
      <c r="C35">
        <v>32</v>
      </c>
      <c r="D35">
        <v>5</v>
      </c>
      <c r="E35">
        <v>5</v>
      </c>
      <c r="F35">
        <v>1.95556639999949E-2</v>
      </c>
      <c r="G35">
        <v>1</v>
      </c>
      <c r="H35">
        <v>1</v>
      </c>
      <c r="I35" t="s">
        <v>291</v>
      </c>
    </row>
    <row r="36" spans="1:9" x14ac:dyDescent="0.2">
      <c r="A36" t="s">
        <v>58</v>
      </c>
      <c r="B36">
        <v>384</v>
      </c>
      <c r="C36">
        <v>34</v>
      </c>
      <c r="D36">
        <v>4</v>
      </c>
      <c r="E36">
        <v>4</v>
      </c>
      <c r="F36">
        <v>1.89862029999972E-2</v>
      </c>
      <c r="G36">
        <v>1</v>
      </c>
      <c r="H36">
        <v>1</v>
      </c>
      <c r="I36" t="s">
        <v>292</v>
      </c>
    </row>
    <row r="37" spans="1:9" x14ac:dyDescent="0.2">
      <c r="A37" t="s">
        <v>59</v>
      </c>
      <c r="B37">
        <v>504</v>
      </c>
      <c r="C37">
        <v>44</v>
      </c>
      <c r="D37">
        <v>6</v>
      </c>
      <c r="E37">
        <v>6</v>
      </c>
      <c r="F37">
        <v>3.67883450000192E-2</v>
      </c>
      <c r="G37">
        <v>1</v>
      </c>
      <c r="H37">
        <v>1</v>
      </c>
      <c r="I37" t="s">
        <v>293</v>
      </c>
    </row>
    <row r="38" spans="1:9" x14ac:dyDescent="0.2">
      <c r="A38" t="s">
        <v>59</v>
      </c>
      <c r="B38">
        <v>504</v>
      </c>
      <c r="C38">
        <v>44</v>
      </c>
      <c r="D38">
        <v>6</v>
      </c>
      <c r="E38">
        <v>6</v>
      </c>
      <c r="F38">
        <v>4.0009113999985801E-2</v>
      </c>
      <c r="G38">
        <v>1</v>
      </c>
      <c r="H38">
        <v>1</v>
      </c>
      <c r="I38" t="s">
        <v>294</v>
      </c>
    </row>
    <row r="39" spans="1:9" x14ac:dyDescent="0.2">
      <c r="A39" t="s">
        <v>60</v>
      </c>
      <c r="B39">
        <v>540</v>
      </c>
      <c r="C39">
        <v>47</v>
      </c>
      <c r="D39">
        <v>5</v>
      </c>
      <c r="E39">
        <v>5</v>
      </c>
      <c r="F39">
        <v>2.8709085999992098E-2</v>
      </c>
      <c r="G39">
        <v>1</v>
      </c>
      <c r="H39">
        <v>1</v>
      </c>
      <c r="I39" t="s">
        <v>295</v>
      </c>
    </row>
    <row r="40" spans="1:9" x14ac:dyDescent="0.2">
      <c r="A40" t="s">
        <v>61</v>
      </c>
      <c r="B40">
        <v>768</v>
      </c>
      <c r="C40">
        <v>66</v>
      </c>
      <c r="D40">
        <v>6</v>
      </c>
      <c r="E40">
        <v>6</v>
      </c>
      <c r="F40">
        <v>6.1816340000007103E-2</v>
      </c>
      <c r="G40">
        <v>1</v>
      </c>
      <c r="H40">
        <v>1</v>
      </c>
      <c r="I40" t="s">
        <v>296</v>
      </c>
    </row>
    <row r="41" spans="1:9" x14ac:dyDescent="0.2">
      <c r="A41" t="s">
        <v>62</v>
      </c>
      <c r="B41">
        <v>1008</v>
      </c>
      <c r="C41">
        <v>86</v>
      </c>
      <c r="D41">
        <v>6</v>
      </c>
      <c r="E41">
        <v>6</v>
      </c>
      <c r="F41">
        <v>7.9695103999995298E-2</v>
      </c>
      <c r="G41">
        <v>1</v>
      </c>
      <c r="H41">
        <v>1</v>
      </c>
      <c r="I41" t="s">
        <v>297</v>
      </c>
    </row>
    <row r="42" spans="1:9" x14ac:dyDescent="0.2">
      <c r="A42" t="s">
        <v>63</v>
      </c>
      <c r="B42">
        <v>1080</v>
      </c>
      <c r="C42">
        <v>92</v>
      </c>
      <c r="D42">
        <v>6</v>
      </c>
      <c r="E42">
        <v>6</v>
      </c>
      <c r="F42">
        <v>9.2204737000002895E-2</v>
      </c>
      <c r="G42">
        <v>1</v>
      </c>
      <c r="H42">
        <v>1</v>
      </c>
      <c r="I42" t="s">
        <v>298</v>
      </c>
    </row>
    <row r="43" spans="1:9" x14ac:dyDescent="0.2">
      <c r="A43" t="s">
        <v>63</v>
      </c>
      <c r="B43">
        <v>1080</v>
      </c>
      <c r="C43">
        <v>92</v>
      </c>
      <c r="D43">
        <v>5</v>
      </c>
      <c r="E43">
        <v>5</v>
      </c>
      <c r="F43">
        <v>5.1249105000010703E-2</v>
      </c>
      <c r="G43">
        <v>1</v>
      </c>
      <c r="H43">
        <v>1</v>
      </c>
      <c r="I43" t="s">
        <v>299</v>
      </c>
    </row>
    <row r="44" spans="1:9" x14ac:dyDescent="0.2">
      <c r="A44" t="s">
        <v>64</v>
      </c>
      <c r="B44">
        <v>1224</v>
      </c>
      <c r="C44">
        <v>104</v>
      </c>
      <c r="D44">
        <v>6</v>
      </c>
      <c r="E44">
        <v>6</v>
      </c>
      <c r="F44">
        <v>9.2133343999989806E-2</v>
      </c>
      <c r="G44">
        <v>1</v>
      </c>
      <c r="H44">
        <v>1</v>
      </c>
      <c r="I44" t="s">
        <v>300</v>
      </c>
    </row>
    <row r="45" spans="1:9" x14ac:dyDescent="0.2">
      <c r="A45" t="s">
        <v>64</v>
      </c>
      <c r="B45">
        <v>1224</v>
      </c>
      <c r="C45">
        <v>104</v>
      </c>
      <c r="D45">
        <v>6</v>
      </c>
      <c r="E45">
        <v>6</v>
      </c>
      <c r="F45">
        <v>9.1798936000003495E-2</v>
      </c>
      <c r="G45">
        <v>1</v>
      </c>
      <c r="H45">
        <v>1</v>
      </c>
      <c r="I45" t="s">
        <v>301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2EBB-33A2-B84B-82E4-598367A80FA7}">
  <dimension ref="A1:I45"/>
  <sheetViews>
    <sheetView workbookViewId="0"/>
  </sheetViews>
  <sheetFormatPr baseColWidth="10" defaultRowHeight="16" x14ac:dyDescent="0.2"/>
  <sheetData>
    <row r="1" spans="1:1" x14ac:dyDescent="0.2">
      <c r="A1" t="s">
        <v>0</v>
      </c>
    </row>
    <row r="2" spans="1:1" x14ac:dyDescent="0.2">
      <c r="A2" t="s">
        <v>1</v>
      </c>
    </row>
    <row r="3" spans="1:1" x14ac:dyDescent="0.2">
      <c r="A3" s="21" t="s">
        <v>48</v>
      </c>
    </row>
    <row r="4" spans="1:1" x14ac:dyDescent="0.2">
      <c r="A4" t="s">
        <v>47</v>
      </c>
    </row>
    <row r="5" spans="1:1" x14ac:dyDescent="0.2">
      <c r="A5" s="21" t="s">
        <v>39</v>
      </c>
    </row>
    <row r="6" spans="1:1" x14ac:dyDescent="0.2">
      <c r="A6" t="s">
        <v>3</v>
      </c>
    </row>
    <row r="7" spans="1:1" x14ac:dyDescent="0.2">
      <c r="A7" t="s">
        <v>30</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t="s">
        <v>129</v>
      </c>
    </row>
    <row r="21" spans="1:9" x14ac:dyDescent="0.2">
      <c r="A21" t="s">
        <v>18</v>
      </c>
    </row>
    <row r="22" spans="1:9" x14ac:dyDescent="0.2">
      <c r="A22" t="s">
        <v>192</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49</v>
      </c>
      <c r="B25">
        <v>6</v>
      </c>
      <c r="C25">
        <v>1</v>
      </c>
      <c r="D25">
        <v>2</v>
      </c>
      <c r="E25">
        <v>2</v>
      </c>
      <c r="F25">
        <v>0.26319782000001601</v>
      </c>
      <c r="G25">
        <v>1</v>
      </c>
      <c r="H25">
        <v>1</v>
      </c>
      <c r="I25" t="s">
        <v>193</v>
      </c>
    </row>
    <row r="26" spans="1:9" x14ac:dyDescent="0.2">
      <c r="A26" t="s">
        <v>50</v>
      </c>
      <c r="B26">
        <v>24</v>
      </c>
      <c r="C26">
        <v>4</v>
      </c>
      <c r="D26">
        <v>2</v>
      </c>
      <c r="E26">
        <v>2</v>
      </c>
      <c r="F26">
        <v>0.17097907999999501</v>
      </c>
      <c r="G26">
        <v>1</v>
      </c>
      <c r="H26">
        <v>1</v>
      </c>
      <c r="I26" t="s">
        <v>194</v>
      </c>
    </row>
    <row r="27" spans="1:9" x14ac:dyDescent="0.2">
      <c r="A27" t="s">
        <v>51</v>
      </c>
      <c r="B27">
        <v>48</v>
      </c>
      <c r="C27">
        <v>6</v>
      </c>
      <c r="D27">
        <v>3</v>
      </c>
      <c r="E27">
        <v>3</v>
      </c>
      <c r="F27">
        <v>0.231853051000001</v>
      </c>
      <c r="G27">
        <v>1</v>
      </c>
      <c r="H27">
        <v>1</v>
      </c>
      <c r="I27" t="s">
        <v>195</v>
      </c>
    </row>
    <row r="28" spans="1:9" x14ac:dyDescent="0.2">
      <c r="A28" t="s">
        <v>52</v>
      </c>
      <c r="B28">
        <v>84</v>
      </c>
      <c r="C28">
        <v>9</v>
      </c>
      <c r="D28">
        <v>4</v>
      </c>
      <c r="E28">
        <v>4</v>
      </c>
      <c r="F28">
        <v>0.276482280999999</v>
      </c>
      <c r="G28">
        <v>1</v>
      </c>
      <c r="H28">
        <v>1</v>
      </c>
      <c r="I28" t="s">
        <v>196</v>
      </c>
    </row>
    <row r="29" spans="1:9" x14ac:dyDescent="0.2">
      <c r="A29" t="s">
        <v>52</v>
      </c>
      <c r="B29">
        <v>84</v>
      </c>
      <c r="C29">
        <v>9</v>
      </c>
      <c r="D29">
        <v>3</v>
      </c>
      <c r="E29">
        <v>3</v>
      </c>
      <c r="F29">
        <v>0.22740771899998399</v>
      </c>
      <c r="G29">
        <v>1</v>
      </c>
      <c r="H29">
        <v>1</v>
      </c>
      <c r="I29" t="s">
        <v>197</v>
      </c>
    </row>
    <row r="30" spans="1:9" x14ac:dyDescent="0.2">
      <c r="A30" t="s">
        <v>53</v>
      </c>
      <c r="B30">
        <v>96</v>
      </c>
      <c r="C30">
        <v>10</v>
      </c>
      <c r="D30">
        <v>4</v>
      </c>
      <c r="E30">
        <v>4</v>
      </c>
      <c r="F30">
        <v>0.30276896800000902</v>
      </c>
      <c r="G30">
        <v>1</v>
      </c>
      <c r="H30">
        <v>1</v>
      </c>
      <c r="I30" t="s">
        <v>198</v>
      </c>
    </row>
    <row r="31" spans="1:9" x14ac:dyDescent="0.2">
      <c r="A31" t="s">
        <v>54</v>
      </c>
      <c r="B31">
        <v>168</v>
      </c>
      <c r="C31">
        <v>16</v>
      </c>
      <c r="D31">
        <v>4</v>
      </c>
      <c r="E31">
        <v>4</v>
      </c>
      <c r="F31">
        <v>0.32114244800001701</v>
      </c>
      <c r="G31">
        <v>1</v>
      </c>
      <c r="H31">
        <v>1</v>
      </c>
      <c r="I31" t="s">
        <v>199</v>
      </c>
    </row>
    <row r="32" spans="1:9" x14ac:dyDescent="0.2">
      <c r="A32" t="s">
        <v>54</v>
      </c>
      <c r="B32">
        <v>168</v>
      </c>
      <c r="C32">
        <v>16</v>
      </c>
      <c r="D32">
        <v>4</v>
      </c>
      <c r="E32">
        <v>4</v>
      </c>
      <c r="F32">
        <v>0.31108095799999003</v>
      </c>
      <c r="G32">
        <v>1</v>
      </c>
      <c r="H32">
        <v>1</v>
      </c>
      <c r="I32" t="s">
        <v>200</v>
      </c>
    </row>
    <row r="33" spans="1:9" x14ac:dyDescent="0.2">
      <c r="A33" t="s">
        <v>55</v>
      </c>
      <c r="B33">
        <v>180</v>
      </c>
      <c r="C33">
        <v>17</v>
      </c>
      <c r="D33">
        <v>5</v>
      </c>
      <c r="E33">
        <v>5</v>
      </c>
      <c r="F33">
        <v>0.447264197999999</v>
      </c>
      <c r="G33">
        <v>1</v>
      </c>
      <c r="H33">
        <v>1</v>
      </c>
      <c r="I33" t="s">
        <v>201</v>
      </c>
    </row>
    <row r="34" spans="1:9" x14ac:dyDescent="0.2">
      <c r="A34" t="s">
        <v>56</v>
      </c>
      <c r="B34">
        <v>252</v>
      </c>
      <c r="C34">
        <v>23</v>
      </c>
      <c r="D34">
        <v>4</v>
      </c>
      <c r="E34">
        <v>4</v>
      </c>
      <c r="F34">
        <v>0.591771319999992</v>
      </c>
      <c r="G34">
        <v>1</v>
      </c>
      <c r="H34">
        <v>1</v>
      </c>
      <c r="I34" t="s">
        <v>202</v>
      </c>
    </row>
    <row r="35" spans="1:9" x14ac:dyDescent="0.2">
      <c r="A35" t="s">
        <v>57</v>
      </c>
      <c r="B35">
        <v>360</v>
      </c>
      <c r="C35">
        <v>32</v>
      </c>
      <c r="D35">
        <v>5</v>
      </c>
      <c r="E35">
        <v>5</v>
      </c>
      <c r="F35">
        <v>1.3576629899999899</v>
      </c>
      <c r="G35">
        <v>1</v>
      </c>
      <c r="H35">
        <v>1</v>
      </c>
      <c r="I35" t="s">
        <v>203</v>
      </c>
    </row>
    <row r="36" spans="1:9" x14ac:dyDescent="0.2">
      <c r="A36" t="s">
        <v>58</v>
      </c>
      <c r="B36">
        <v>384</v>
      </c>
      <c r="C36">
        <v>34</v>
      </c>
      <c r="D36">
        <v>4</v>
      </c>
      <c r="E36">
        <v>4</v>
      </c>
      <c r="F36">
        <v>1.18251888900002</v>
      </c>
      <c r="G36">
        <v>1</v>
      </c>
      <c r="H36">
        <v>1</v>
      </c>
      <c r="I36" t="s">
        <v>204</v>
      </c>
    </row>
    <row r="37" spans="1:9" x14ac:dyDescent="0.2">
      <c r="A37" t="s">
        <v>59</v>
      </c>
      <c r="B37">
        <v>504</v>
      </c>
      <c r="C37">
        <v>44</v>
      </c>
      <c r="D37">
        <v>6</v>
      </c>
      <c r="E37">
        <v>6</v>
      </c>
      <c r="F37">
        <v>3.2374514739999798</v>
      </c>
      <c r="G37">
        <v>1</v>
      </c>
      <c r="H37">
        <v>1</v>
      </c>
      <c r="I37" t="s">
        <v>205</v>
      </c>
    </row>
    <row r="38" spans="1:9" x14ac:dyDescent="0.2">
      <c r="A38" t="s">
        <v>59</v>
      </c>
      <c r="B38">
        <v>504</v>
      </c>
      <c r="C38">
        <v>44</v>
      </c>
      <c r="D38">
        <v>6</v>
      </c>
      <c r="E38">
        <v>6</v>
      </c>
      <c r="F38">
        <v>3.25712238599999</v>
      </c>
      <c r="G38">
        <v>1</v>
      </c>
      <c r="H38">
        <v>1</v>
      </c>
      <c r="I38" t="s">
        <v>206</v>
      </c>
    </row>
    <row r="39" spans="1:9" x14ac:dyDescent="0.2">
      <c r="A39" t="s">
        <v>60</v>
      </c>
      <c r="B39">
        <v>540</v>
      </c>
      <c r="C39">
        <v>47</v>
      </c>
      <c r="D39">
        <v>5</v>
      </c>
      <c r="E39">
        <v>5</v>
      </c>
      <c r="F39">
        <v>2.6913316300000001</v>
      </c>
      <c r="G39">
        <v>1</v>
      </c>
      <c r="H39">
        <v>1</v>
      </c>
      <c r="I39" t="s">
        <v>207</v>
      </c>
    </row>
    <row r="40" spans="1:9" x14ac:dyDescent="0.2">
      <c r="A40" t="s">
        <v>61</v>
      </c>
      <c r="B40">
        <v>768</v>
      </c>
      <c r="C40">
        <v>66</v>
      </c>
      <c r="D40">
        <v>6</v>
      </c>
      <c r="E40">
        <v>6</v>
      </c>
      <c r="F40">
        <v>6.3442136940000102</v>
      </c>
      <c r="G40">
        <v>1</v>
      </c>
      <c r="H40">
        <v>1</v>
      </c>
      <c r="I40" t="s">
        <v>208</v>
      </c>
    </row>
    <row r="41" spans="1:9" x14ac:dyDescent="0.2">
      <c r="A41" t="s">
        <v>62</v>
      </c>
      <c r="B41">
        <v>1008</v>
      </c>
      <c r="C41">
        <v>86</v>
      </c>
      <c r="D41">
        <v>6</v>
      </c>
      <c r="E41">
        <v>6</v>
      </c>
      <c r="F41">
        <v>10.8520533999999</v>
      </c>
      <c r="G41">
        <v>1</v>
      </c>
      <c r="H41">
        <v>1</v>
      </c>
      <c r="I41" t="s">
        <v>209</v>
      </c>
    </row>
    <row r="42" spans="1:9" x14ac:dyDescent="0.2">
      <c r="A42" t="s">
        <v>63</v>
      </c>
      <c r="B42">
        <v>1080</v>
      </c>
      <c r="C42">
        <v>92</v>
      </c>
      <c r="D42">
        <v>6</v>
      </c>
      <c r="E42">
        <v>6</v>
      </c>
      <c r="F42">
        <v>14.46624072</v>
      </c>
      <c r="G42">
        <v>1</v>
      </c>
      <c r="H42">
        <v>1</v>
      </c>
      <c r="I42" t="s">
        <v>210</v>
      </c>
    </row>
    <row r="43" spans="1:9" x14ac:dyDescent="0.2">
      <c r="A43" t="s">
        <v>63</v>
      </c>
      <c r="B43">
        <v>1080</v>
      </c>
      <c r="C43">
        <v>92</v>
      </c>
      <c r="D43">
        <v>5</v>
      </c>
      <c r="E43">
        <v>5</v>
      </c>
      <c r="F43">
        <v>10.9245841569999</v>
      </c>
      <c r="G43">
        <v>1</v>
      </c>
      <c r="H43">
        <v>1</v>
      </c>
      <c r="I43" t="s">
        <v>211</v>
      </c>
    </row>
    <row r="44" spans="1:9" x14ac:dyDescent="0.2">
      <c r="A44" t="s">
        <v>64</v>
      </c>
      <c r="B44">
        <v>1224</v>
      </c>
      <c r="C44">
        <v>104</v>
      </c>
      <c r="D44">
        <v>6</v>
      </c>
      <c r="E44">
        <v>6</v>
      </c>
      <c r="F44">
        <v>16.198882986999902</v>
      </c>
      <c r="G44">
        <v>1</v>
      </c>
      <c r="H44">
        <v>1</v>
      </c>
      <c r="I44" t="s">
        <v>212</v>
      </c>
    </row>
    <row r="45" spans="1:9" x14ac:dyDescent="0.2">
      <c r="A45" t="s">
        <v>64</v>
      </c>
      <c r="B45">
        <v>1224</v>
      </c>
      <c r="C45">
        <v>104</v>
      </c>
      <c r="D45">
        <v>6</v>
      </c>
      <c r="E45">
        <v>6</v>
      </c>
      <c r="F45">
        <v>14.960022197000001</v>
      </c>
      <c r="G45">
        <v>1</v>
      </c>
      <c r="H45">
        <v>1</v>
      </c>
      <c r="I45" t="s">
        <v>213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B187B-0C55-8248-A316-BB7516FB0397}">
  <dimension ref="A1:I45"/>
  <sheetViews>
    <sheetView workbookViewId="0"/>
  </sheetViews>
  <sheetFormatPr baseColWidth="10" defaultRowHeight="16" x14ac:dyDescent="0.2"/>
  <sheetData>
    <row r="1" spans="1:1" x14ac:dyDescent="0.2">
      <c r="A1" t="s">
        <v>0</v>
      </c>
    </row>
    <row r="2" spans="1:1" x14ac:dyDescent="0.2">
      <c r="A2" t="s">
        <v>1</v>
      </c>
    </row>
    <row r="3" spans="1:1" x14ac:dyDescent="0.2">
      <c r="A3" s="21" t="s">
        <v>48</v>
      </c>
    </row>
    <row r="4" spans="1:1" x14ac:dyDescent="0.2">
      <c r="A4" t="s">
        <v>47</v>
      </c>
    </row>
    <row r="5" spans="1:1" x14ac:dyDescent="0.2">
      <c r="A5" s="21" t="s">
        <v>40</v>
      </c>
    </row>
    <row r="6" spans="1:1" x14ac:dyDescent="0.2">
      <c r="A6" t="s">
        <v>3</v>
      </c>
    </row>
    <row r="7" spans="1:1" x14ac:dyDescent="0.2">
      <c r="A7" t="s">
        <v>30</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t="s">
        <v>129</v>
      </c>
    </row>
    <row r="21" spans="1:9" x14ac:dyDescent="0.2">
      <c r="A21" t="s">
        <v>18</v>
      </c>
    </row>
    <row r="22" spans="1:9" x14ac:dyDescent="0.2">
      <c r="A22" t="s">
        <v>214</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49</v>
      </c>
      <c r="B25">
        <v>6</v>
      </c>
      <c r="C25">
        <v>1</v>
      </c>
      <c r="D25">
        <v>2</v>
      </c>
      <c r="E25">
        <v>2</v>
      </c>
      <c r="F25" s="1">
        <v>1.89029709999886E-2</v>
      </c>
      <c r="G25">
        <v>1</v>
      </c>
      <c r="H25">
        <v>1</v>
      </c>
      <c r="I25" t="s">
        <v>215</v>
      </c>
    </row>
    <row r="26" spans="1:9" x14ac:dyDescent="0.2">
      <c r="A26" t="s">
        <v>50</v>
      </c>
      <c r="B26">
        <v>24</v>
      </c>
      <c r="C26">
        <v>4</v>
      </c>
      <c r="D26">
        <v>2</v>
      </c>
      <c r="E26">
        <v>2</v>
      </c>
      <c r="F26">
        <v>9.6205559999873406E-3</v>
      </c>
      <c r="G26">
        <v>1</v>
      </c>
      <c r="H26">
        <v>1</v>
      </c>
      <c r="I26" t="s">
        <v>215</v>
      </c>
    </row>
    <row r="27" spans="1:9" x14ac:dyDescent="0.2">
      <c r="A27" t="s">
        <v>51</v>
      </c>
      <c r="B27">
        <v>48</v>
      </c>
      <c r="C27">
        <v>6</v>
      </c>
      <c r="D27">
        <v>3</v>
      </c>
      <c r="E27">
        <v>3</v>
      </c>
      <c r="F27">
        <v>1.12023340000178E-2</v>
      </c>
      <c r="G27">
        <v>1</v>
      </c>
      <c r="H27">
        <v>1</v>
      </c>
      <c r="I27" t="s">
        <v>46</v>
      </c>
    </row>
    <row r="28" spans="1:9" x14ac:dyDescent="0.2">
      <c r="A28" t="s">
        <v>52</v>
      </c>
      <c r="B28">
        <v>84</v>
      </c>
      <c r="C28">
        <v>9</v>
      </c>
      <c r="D28">
        <v>4</v>
      </c>
      <c r="E28">
        <v>4</v>
      </c>
      <c r="F28">
        <v>1.52931529999875E-2</v>
      </c>
      <c r="G28">
        <v>1</v>
      </c>
      <c r="H28">
        <v>1</v>
      </c>
      <c r="I28" t="s">
        <v>216</v>
      </c>
    </row>
    <row r="29" spans="1:9" x14ac:dyDescent="0.2">
      <c r="A29" t="s">
        <v>52</v>
      </c>
      <c r="B29">
        <v>84</v>
      </c>
      <c r="C29">
        <v>9</v>
      </c>
      <c r="D29">
        <v>3</v>
      </c>
      <c r="E29">
        <v>3</v>
      </c>
      <c r="F29">
        <v>1.5606151000014201E-2</v>
      </c>
      <c r="G29">
        <v>1</v>
      </c>
      <c r="H29">
        <v>1</v>
      </c>
      <c r="I29" t="s">
        <v>46</v>
      </c>
    </row>
    <row r="30" spans="1:9" x14ac:dyDescent="0.2">
      <c r="A30" t="s">
        <v>53</v>
      </c>
      <c r="B30">
        <v>96</v>
      </c>
      <c r="C30">
        <v>10</v>
      </c>
      <c r="D30">
        <v>4</v>
      </c>
      <c r="E30">
        <v>4</v>
      </c>
      <c r="F30">
        <v>1.5376677000006099E-2</v>
      </c>
      <c r="G30">
        <v>1</v>
      </c>
      <c r="H30">
        <v>1</v>
      </c>
      <c r="I30" t="s">
        <v>216</v>
      </c>
    </row>
    <row r="31" spans="1:9" x14ac:dyDescent="0.2">
      <c r="A31" t="s">
        <v>54</v>
      </c>
      <c r="B31">
        <v>168</v>
      </c>
      <c r="C31">
        <v>16</v>
      </c>
      <c r="D31">
        <v>4</v>
      </c>
      <c r="E31">
        <v>4</v>
      </c>
      <c r="F31">
        <v>2.58613809999985E-2</v>
      </c>
      <c r="G31">
        <v>1</v>
      </c>
      <c r="H31">
        <v>1</v>
      </c>
      <c r="I31" t="s">
        <v>216</v>
      </c>
    </row>
    <row r="32" spans="1:9" x14ac:dyDescent="0.2">
      <c r="A32" t="s">
        <v>54</v>
      </c>
      <c r="B32">
        <v>168</v>
      </c>
      <c r="C32">
        <v>16</v>
      </c>
      <c r="D32">
        <v>4</v>
      </c>
      <c r="E32">
        <v>4</v>
      </c>
      <c r="F32">
        <v>2.4847744999988201E-2</v>
      </c>
      <c r="G32">
        <v>1</v>
      </c>
      <c r="H32">
        <v>1</v>
      </c>
      <c r="I32" t="s">
        <v>216</v>
      </c>
    </row>
    <row r="33" spans="1:9" x14ac:dyDescent="0.2">
      <c r="A33" t="s">
        <v>55</v>
      </c>
      <c r="B33">
        <v>180</v>
      </c>
      <c r="C33">
        <v>17</v>
      </c>
      <c r="D33">
        <v>5</v>
      </c>
      <c r="E33">
        <v>5</v>
      </c>
      <c r="F33">
        <v>4.6398414000009297E-2</v>
      </c>
      <c r="G33">
        <v>1</v>
      </c>
      <c r="H33">
        <v>1</v>
      </c>
      <c r="I33" t="s">
        <v>217</v>
      </c>
    </row>
    <row r="34" spans="1:9" x14ac:dyDescent="0.2">
      <c r="A34" t="s">
        <v>56</v>
      </c>
      <c r="B34">
        <v>252</v>
      </c>
      <c r="C34">
        <v>23</v>
      </c>
      <c r="D34">
        <v>4</v>
      </c>
      <c r="E34">
        <v>4</v>
      </c>
      <c r="F34">
        <v>4.4623967999996197E-2</v>
      </c>
      <c r="G34">
        <v>1</v>
      </c>
      <c r="H34">
        <v>1</v>
      </c>
      <c r="I34" t="s">
        <v>216</v>
      </c>
    </row>
    <row r="35" spans="1:9" x14ac:dyDescent="0.2">
      <c r="A35" t="s">
        <v>57</v>
      </c>
      <c r="B35">
        <v>360</v>
      </c>
      <c r="C35">
        <v>32</v>
      </c>
      <c r="D35">
        <v>5</v>
      </c>
      <c r="E35">
        <v>5</v>
      </c>
      <c r="F35">
        <v>9.6175316999989394E-2</v>
      </c>
      <c r="G35">
        <v>1</v>
      </c>
      <c r="H35">
        <v>1</v>
      </c>
      <c r="I35" t="s">
        <v>217</v>
      </c>
    </row>
    <row r="36" spans="1:9" x14ac:dyDescent="0.2">
      <c r="A36" t="s">
        <v>58</v>
      </c>
      <c r="B36">
        <v>384</v>
      </c>
      <c r="C36">
        <v>34</v>
      </c>
      <c r="D36">
        <v>4</v>
      </c>
      <c r="E36">
        <v>4</v>
      </c>
      <c r="F36">
        <v>6.5719649000016006E-2</v>
      </c>
      <c r="G36">
        <v>1</v>
      </c>
      <c r="H36">
        <v>1</v>
      </c>
      <c r="I36" t="s">
        <v>216</v>
      </c>
    </row>
    <row r="37" spans="1:9" x14ac:dyDescent="0.2">
      <c r="A37" t="s">
        <v>59</v>
      </c>
      <c r="B37">
        <v>504</v>
      </c>
      <c r="C37">
        <v>44</v>
      </c>
      <c r="D37">
        <v>6</v>
      </c>
      <c r="E37">
        <v>6</v>
      </c>
      <c r="F37">
        <v>0.38964252699997798</v>
      </c>
      <c r="G37">
        <v>1</v>
      </c>
      <c r="H37">
        <v>1</v>
      </c>
      <c r="I37" t="s">
        <v>65</v>
      </c>
    </row>
    <row r="38" spans="1:9" x14ac:dyDescent="0.2">
      <c r="A38" t="s">
        <v>59</v>
      </c>
      <c r="B38">
        <v>504</v>
      </c>
      <c r="C38">
        <v>44</v>
      </c>
      <c r="D38">
        <v>6</v>
      </c>
      <c r="E38">
        <v>6</v>
      </c>
      <c r="F38">
        <v>0.44351509400001898</v>
      </c>
      <c r="G38">
        <v>1</v>
      </c>
      <c r="H38">
        <v>1</v>
      </c>
      <c r="I38" t="s">
        <v>65</v>
      </c>
    </row>
    <row r="39" spans="1:9" x14ac:dyDescent="0.2">
      <c r="A39" t="s">
        <v>60</v>
      </c>
      <c r="B39">
        <v>540</v>
      </c>
      <c r="C39">
        <v>47</v>
      </c>
      <c r="D39">
        <v>5</v>
      </c>
      <c r="E39">
        <v>5</v>
      </c>
      <c r="F39">
        <v>0.16429381099999299</v>
      </c>
      <c r="G39">
        <v>1</v>
      </c>
      <c r="H39">
        <v>1</v>
      </c>
      <c r="I39" t="s">
        <v>217</v>
      </c>
    </row>
    <row r="40" spans="1:9" x14ac:dyDescent="0.2">
      <c r="A40" t="s">
        <v>61</v>
      </c>
      <c r="B40">
        <v>768</v>
      </c>
      <c r="C40">
        <v>66</v>
      </c>
      <c r="D40">
        <v>6</v>
      </c>
      <c r="E40">
        <v>6</v>
      </c>
      <c r="F40">
        <v>0.650186386000001</v>
      </c>
      <c r="G40">
        <v>1</v>
      </c>
      <c r="H40">
        <v>1</v>
      </c>
      <c r="I40" t="s">
        <v>65</v>
      </c>
    </row>
    <row r="41" spans="1:9" x14ac:dyDescent="0.2">
      <c r="A41" t="s">
        <v>62</v>
      </c>
      <c r="B41">
        <v>1008</v>
      </c>
      <c r="C41">
        <v>86</v>
      </c>
      <c r="D41">
        <v>6</v>
      </c>
      <c r="E41">
        <v>6</v>
      </c>
      <c r="F41">
        <v>0.88339284399998497</v>
      </c>
      <c r="G41">
        <v>1</v>
      </c>
      <c r="H41">
        <v>1</v>
      </c>
      <c r="I41" t="s">
        <v>65</v>
      </c>
    </row>
    <row r="42" spans="1:9" x14ac:dyDescent="0.2">
      <c r="A42" t="s">
        <v>63</v>
      </c>
      <c r="B42">
        <v>1080</v>
      </c>
      <c r="C42">
        <v>92</v>
      </c>
      <c r="D42">
        <v>6</v>
      </c>
      <c r="E42">
        <v>6</v>
      </c>
      <c r="F42">
        <v>1.0283605650000101</v>
      </c>
      <c r="G42">
        <v>1</v>
      </c>
      <c r="H42">
        <v>1</v>
      </c>
      <c r="I42" t="s">
        <v>65</v>
      </c>
    </row>
    <row r="43" spans="1:9" x14ac:dyDescent="0.2">
      <c r="A43" t="s">
        <v>63</v>
      </c>
      <c r="B43">
        <v>1080</v>
      </c>
      <c r="C43">
        <v>92</v>
      </c>
      <c r="D43">
        <v>5</v>
      </c>
      <c r="E43">
        <v>5</v>
      </c>
      <c r="F43">
        <v>0.42300122000000301</v>
      </c>
      <c r="G43">
        <v>1</v>
      </c>
      <c r="H43">
        <v>1</v>
      </c>
      <c r="I43" t="s">
        <v>217</v>
      </c>
    </row>
    <row r="44" spans="1:9" x14ac:dyDescent="0.2">
      <c r="A44" t="s">
        <v>64</v>
      </c>
      <c r="B44">
        <v>1224</v>
      </c>
      <c r="C44">
        <v>104</v>
      </c>
      <c r="D44">
        <v>6</v>
      </c>
      <c r="E44">
        <v>6</v>
      </c>
      <c r="F44">
        <v>1.0976127819999899</v>
      </c>
      <c r="G44">
        <v>1</v>
      </c>
      <c r="H44">
        <v>1</v>
      </c>
      <c r="I44" t="s">
        <v>65</v>
      </c>
    </row>
    <row r="45" spans="1:9" x14ac:dyDescent="0.2">
      <c r="A45" t="s">
        <v>64</v>
      </c>
      <c r="B45">
        <v>1224</v>
      </c>
      <c r="C45">
        <v>104</v>
      </c>
      <c r="D45">
        <v>6</v>
      </c>
      <c r="E45">
        <v>6</v>
      </c>
      <c r="F45">
        <v>1.11586894399999</v>
      </c>
      <c r="G45">
        <v>1</v>
      </c>
      <c r="H45">
        <v>1</v>
      </c>
      <c r="I45" t="s">
        <v>65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0CD76-2BFC-3F43-9C69-0A117A9561DB}">
  <dimension ref="A1:I45"/>
  <sheetViews>
    <sheetView workbookViewId="0"/>
  </sheetViews>
  <sheetFormatPr baseColWidth="10" defaultRowHeight="16" x14ac:dyDescent="0.2"/>
  <sheetData>
    <row r="1" spans="1:1" x14ac:dyDescent="0.2">
      <c r="A1" t="s">
        <v>0</v>
      </c>
    </row>
    <row r="2" spans="1:1" x14ac:dyDescent="0.2">
      <c r="A2" t="s">
        <v>1</v>
      </c>
    </row>
    <row r="3" spans="1:1" x14ac:dyDescent="0.2">
      <c r="A3" s="21" t="s">
        <v>48</v>
      </c>
    </row>
    <row r="4" spans="1:1" x14ac:dyDescent="0.2">
      <c r="A4" t="s">
        <v>47</v>
      </c>
    </row>
    <row r="5" spans="1:1" x14ac:dyDescent="0.2">
      <c r="A5" s="21" t="s">
        <v>41</v>
      </c>
    </row>
    <row r="6" spans="1:1" x14ac:dyDescent="0.2">
      <c r="A6" t="s">
        <v>3</v>
      </c>
    </row>
    <row r="7" spans="1:1" x14ac:dyDescent="0.2">
      <c r="A7" t="s">
        <v>30</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t="s">
        <v>129</v>
      </c>
    </row>
    <row r="21" spans="1:9" x14ac:dyDescent="0.2">
      <c r="A21" t="s">
        <v>18</v>
      </c>
    </row>
    <row r="22" spans="1:9" x14ac:dyDescent="0.2">
      <c r="A22" t="s">
        <v>218</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49</v>
      </c>
      <c r="B25">
        <v>6</v>
      </c>
      <c r="C25">
        <v>1</v>
      </c>
      <c r="D25">
        <v>2</v>
      </c>
      <c r="E25">
        <v>2</v>
      </c>
      <c r="F25">
        <v>2.75834059999908E-2</v>
      </c>
      <c r="G25">
        <v>1</v>
      </c>
      <c r="H25">
        <v>1</v>
      </c>
    </row>
    <row r="26" spans="1:9" x14ac:dyDescent="0.2">
      <c r="A26" t="s">
        <v>50</v>
      </c>
      <c r="B26">
        <v>24</v>
      </c>
      <c r="C26">
        <v>4</v>
      </c>
      <c r="D26">
        <v>2</v>
      </c>
      <c r="E26">
        <v>2</v>
      </c>
      <c r="F26">
        <v>3.4852212000004101E-2</v>
      </c>
      <c r="G26">
        <v>1</v>
      </c>
      <c r="H26">
        <v>1</v>
      </c>
    </row>
    <row r="27" spans="1:9" x14ac:dyDescent="0.2">
      <c r="A27" t="s">
        <v>51</v>
      </c>
      <c r="B27">
        <v>48</v>
      </c>
      <c r="C27">
        <v>6</v>
      </c>
      <c r="D27">
        <v>3</v>
      </c>
      <c r="E27">
        <v>3</v>
      </c>
      <c r="F27">
        <v>4.7167422999990501E-2</v>
      </c>
      <c r="G27">
        <v>1</v>
      </c>
      <c r="H27">
        <v>1</v>
      </c>
    </row>
    <row r="28" spans="1:9" x14ac:dyDescent="0.2">
      <c r="A28" t="s">
        <v>52</v>
      </c>
      <c r="B28">
        <v>84</v>
      </c>
      <c r="C28">
        <v>9</v>
      </c>
      <c r="D28">
        <v>4</v>
      </c>
      <c r="E28">
        <v>4</v>
      </c>
      <c r="F28">
        <v>0.112384547000004</v>
      </c>
      <c r="G28">
        <v>1</v>
      </c>
      <c r="H28">
        <v>1</v>
      </c>
    </row>
    <row r="29" spans="1:9" x14ac:dyDescent="0.2">
      <c r="A29" t="s">
        <v>52</v>
      </c>
      <c r="B29">
        <v>84</v>
      </c>
      <c r="C29">
        <v>9</v>
      </c>
      <c r="D29">
        <v>3</v>
      </c>
      <c r="E29">
        <v>3</v>
      </c>
      <c r="F29">
        <v>6.7334399999992897E-2</v>
      </c>
      <c r="G29">
        <v>1</v>
      </c>
      <c r="H29">
        <v>1</v>
      </c>
    </row>
    <row r="30" spans="1:9" x14ac:dyDescent="0.2">
      <c r="A30" t="s">
        <v>53</v>
      </c>
      <c r="B30">
        <v>96</v>
      </c>
      <c r="C30">
        <v>10</v>
      </c>
      <c r="D30">
        <v>4</v>
      </c>
      <c r="E30">
        <v>4</v>
      </c>
      <c r="F30">
        <v>0.11192677600001801</v>
      </c>
      <c r="G30">
        <v>1</v>
      </c>
      <c r="H30">
        <v>1</v>
      </c>
    </row>
    <row r="31" spans="1:9" x14ac:dyDescent="0.2">
      <c r="A31" t="s">
        <v>54</v>
      </c>
      <c r="B31">
        <v>168</v>
      </c>
      <c r="C31">
        <v>16</v>
      </c>
      <c r="D31">
        <v>4</v>
      </c>
      <c r="E31">
        <v>4</v>
      </c>
      <c r="F31">
        <v>0.15171580300000101</v>
      </c>
      <c r="G31">
        <v>1</v>
      </c>
      <c r="H31">
        <v>1</v>
      </c>
    </row>
    <row r="32" spans="1:9" x14ac:dyDescent="0.2">
      <c r="A32" t="s">
        <v>54</v>
      </c>
      <c r="B32">
        <v>168</v>
      </c>
      <c r="C32">
        <v>16</v>
      </c>
      <c r="D32">
        <v>4</v>
      </c>
      <c r="E32">
        <v>4</v>
      </c>
      <c r="F32">
        <v>0.16301514399998401</v>
      </c>
      <c r="G32">
        <v>1</v>
      </c>
      <c r="H32">
        <v>1</v>
      </c>
    </row>
    <row r="33" spans="1:8" x14ac:dyDescent="0.2">
      <c r="A33" t="s">
        <v>55</v>
      </c>
      <c r="B33">
        <v>180</v>
      </c>
      <c r="C33">
        <v>17</v>
      </c>
      <c r="D33">
        <v>5</v>
      </c>
      <c r="E33">
        <v>5</v>
      </c>
      <c r="F33">
        <v>0.844972967000018</v>
      </c>
      <c r="G33">
        <v>1</v>
      </c>
      <c r="H33">
        <v>1</v>
      </c>
    </row>
    <row r="34" spans="1:8" x14ac:dyDescent="0.2">
      <c r="A34" t="s">
        <v>56</v>
      </c>
      <c r="B34">
        <v>252</v>
      </c>
      <c r="C34">
        <v>23</v>
      </c>
      <c r="D34">
        <v>4</v>
      </c>
      <c r="E34">
        <v>4</v>
      </c>
      <c r="F34">
        <v>0.26669667199999397</v>
      </c>
      <c r="G34">
        <v>1</v>
      </c>
      <c r="H34">
        <v>1</v>
      </c>
    </row>
    <row r="35" spans="1:8" x14ac:dyDescent="0.2">
      <c r="A35" t="s">
        <v>57</v>
      </c>
      <c r="B35">
        <v>360</v>
      </c>
      <c r="C35">
        <v>32</v>
      </c>
      <c r="D35">
        <v>5</v>
      </c>
      <c r="E35">
        <v>5</v>
      </c>
      <c r="F35">
        <v>2.7897537229999898</v>
      </c>
      <c r="G35">
        <v>1</v>
      </c>
      <c r="H35">
        <v>1</v>
      </c>
    </row>
    <row r="36" spans="1:8" x14ac:dyDescent="0.2">
      <c r="A36" t="s">
        <v>58</v>
      </c>
      <c r="B36">
        <v>384</v>
      </c>
      <c r="C36">
        <v>34</v>
      </c>
      <c r="D36">
        <v>4</v>
      </c>
      <c r="E36">
        <v>4</v>
      </c>
      <c r="F36">
        <v>0.62966321900000799</v>
      </c>
      <c r="G36">
        <v>1</v>
      </c>
      <c r="H36">
        <v>1</v>
      </c>
    </row>
    <row r="37" spans="1:8" x14ac:dyDescent="0.2">
      <c r="A37" t="s">
        <v>59</v>
      </c>
      <c r="B37">
        <v>504</v>
      </c>
      <c r="C37">
        <v>44</v>
      </c>
      <c r="D37">
        <v>6</v>
      </c>
      <c r="E37">
        <v>6</v>
      </c>
      <c r="F37">
        <v>42.549868285999899</v>
      </c>
      <c r="G37">
        <v>1</v>
      </c>
      <c r="H37">
        <v>1</v>
      </c>
    </row>
    <row r="38" spans="1:8" x14ac:dyDescent="0.2">
      <c r="A38" t="s">
        <v>59</v>
      </c>
      <c r="B38">
        <v>504</v>
      </c>
      <c r="C38">
        <v>44</v>
      </c>
      <c r="D38">
        <v>6</v>
      </c>
      <c r="E38">
        <v>6</v>
      </c>
      <c r="F38">
        <v>38.179762527000001</v>
      </c>
      <c r="G38">
        <v>1</v>
      </c>
      <c r="H38">
        <v>1</v>
      </c>
    </row>
    <row r="39" spans="1:8" x14ac:dyDescent="0.2">
      <c r="A39" t="s">
        <v>60</v>
      </c>
      <c r="B39">
        <v>540</v>
      </c>
      <c r="C39">
        <v>47</v>
      </c>
      <c r="D39">
        <v>5</v>
      </c>
      <c r="E39">
        <v>5</v>
      </c>
      <c r="F39">
        <v>7.8030764479999801</v>
      </c>
      <c r="G39">
        <v>1</v>
      </c>
      <c r="H39">
        <v>1</v>
      </c>
    </row>
    <row r="40" spans="1:8" x14ac:dyDescent="0.2">
      <c r="A40" t="s">
        <v>61</v>
      </c>
      <c r="B40">
        <v>768</v>
      </c>
      <c r="C40">
        <v>66</v>
      </c>
      <c r="D40">
        <v>6</v>
      </c>
      <c r="E40">
        <v>6</v>
      </c>
      <c r="F40">
        <v>102.113936584</v>
      </c>
      <c r="G40">
        <v>1</v>
      </c>
      <c r="H40">
        <v>1</v>
      </c>
    </row>
    <row r="41" spans="1:8" x14ac:dyDescent="0.2">
      <c r="A41" t="s">
        <v>62</v>
      </c>
      <c r="B41">
        <v>1008</v>
      </c>
      <c r="C41">
        <v>86</v>
      </c>
      <c r="D41">
        <v>6</v>
      </c>
      <c r="E41">
        <v>6</v>
      </c>
      <c r="F41">
        <v>228.24339808799999</v>
      </c>
      <c r="G41">
        <v>1</v>
      </c>
      <c r="H41">
        <v>1</v>
      </c>
    </row>
    <row r="42" spans="1:8" x14ac:dyDescent="0.2">
      <c r="A42" t="s">
        <v>63</v>
      </c>
      <c r="B42">
        <v>1080</v>
      </c>
      <c r="C42">
        <v>92</v>
      </c>
      <c r="D42">
        <v>6</v>
      </c>
      <c r="E42">
        <v>6</v>
      </c>
      <c r="F42">
        <v>250.97541239399899</v>
      </c>
      <c r="G42">
        <v>1</v>
      </c>
      <c r="H42">
        <v>1</v>
      </c>
    </row>
    <row r="43" spans="1:8" x14ac:dyDescent="0.2">
      <c r="A43" t="s">
        <v>63</v>
      </c>
      <c r="B43">
        <v>1080</v>
      </c>
      <c r="C43">
        <v>92</v>
      </c>
      <c r="D43">
        <v>5</v>
      </c>
      <c r="E43">
        <v>5</v>
      </c>
      <c r="F43">
        <v>47.218034606000003</v>
      </c>
      <c r="G43">
        <v>1</v>
      </c>
      <c r="H43">
        <v>1</v>
      </c>
    </row>
    <row r="44" spans="1:8" x14ac:dyDescent="0.2">
      <c r="A44" t="s">
        <v>64</v>
      </c>
      <c r="B44">
        <v>1224</v>
      </c>
      <c r="C44">
        <v>104</v>
      </c>
      <c r="D44">
        <v>6</v>
      </c>
      <c r="E44">
        <v>6</v>
      </c>
      <c r="F44">
        <v>345.49177407100001</v>
      </c>
      <c r="G44">
        <v>1</v>
      </c>
      <c r="H44">
        <v>1</v>
      </c>
    </row>
    <row r="45" spans="1:8" x14ac:dyDescent="0.2">
      <c r="A45" t="s">
        <v>64</v>
      </c>
      <c r="B45">
        <v>1224</v>
      </c>
      <c r="C45">
        <v>104</v>
      </c>
      <c r="D45">
        <v>6</v>
      </c>
      <c r="E45">
        <v>6</v>
      </c>
      <c r="F45">
        <v>395.60455541699997</v>
      </c>
      <c r="G45">
        <v>1</v>
      </c>
      <c r="H45">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9EF3-6ECC-1742-88E4-B042E47C2704}">
  <dimension ref="A1:I46"/>
  <sheetViews>
    <sheetView workbookViewId="0"/>
  </sheetViews>
  <sheetFormatPr baseColWidth="10" defaultRowHeight="16" x14ac:dyDescent="0.2"/>
  <sheetData>
    <row r="1" spans="1:1" x14ac:dyDescent="0.2">
      <c r="A1" t="s">
        <v>0</v>
      </c>
    </row>
    <row r="2" spans="1:1" x14ac:dyDescent="0.2">
      <c r="A2" t="s">
        <v>1</v>
      </c>
    </row>
    <row r="3" spans="1:1" x14ac:dyDescent="0.2">
      <c r="A3" s="21" t="s">
        <v>48</v>
      </c>
    </row>
    <row r="4" spans="1:1" x14ac:dyDescent="0.2">
      <c r="A4" t="s">
        <v>47</v>
      </c>
    </row>
    <row r="5" spans="1:1" x14ac:dyDescent="0.2">
      <c r="A5" s="21" t="s">
        <v>42</v>
      </c>
    </row>
    <row r="6" spans="1:1" x14ac:dyDescent="0.2">
      <c r="A6" t="s">
        <v>3</v>
      </c>
    </row>
    <row r="7" spans="1:1" x14ac:dyDescent="0.2">
      <c r="A7" t="s">
        <v>30</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t="s">
        <v>129</v>
      </c>
    </row>
    <row r="21" spans="1:9" x14ac:dyDescent="0.2">
      <c r="A21" t="s">
        <v>43</v>
      </c>
    </row>
    <row r="22" spans="1:9" x14ac:dyDescent="0.2">
      <c r="A22" t="s">
        <v>18</v>
      </c>
    </row>
    <row r="23" spans="1:9" x14ac:dyDescent="0.2">
      <c r="A23" t="s">
        <v>219</v>
      </c>
    </row>
    <row r="24" spans="1:9" x14ac:dyDescent="0.2">
      <c r="A24" t="s">
        <v>19</v>
      </c>
    </row>
    <row r="25" spans="1:9" x14ac:dyDescent="0.2">
      <c r="A25" t="s">
        <v>20</v>
      </c>
      <c r="B25" t="s">
        <v>21</v>
      </c>
      <c r="C25" t="s">
        <v>22</v>
      </c>
      <c r="D25" t="s">
        <v>23</v>
      </c>
      <c r="E25" t="s">
        <v>24</v>
      </c>
      <c r="F25" t="s">
        <v>25</v>
      </c>
      <c r="G25" t="s">
        <v>26</v>
      </c>
      <c r="H25" t="s">
        <v>27</v>
      </c>
      <c r="I25" t="s">
        <v>28</v>
      </c>
    </row>
    <row r="26" spans="1:9" x14ac:dyDescent="0.2">
      <c r="A26" t="s">
        <v>49</v>
      </c>
      <c r="B26">
        <v>6</v>
      </c>
      <c r="C26">
        <v>1</v>
      </c>
      <c r="D26">
        <v>2</v>
      </c>
      <c r="E26">
        <v>2</v>
      </c>
      <c r="F26">
        <v>1.0639320999985101E-2</v>
      </c>
      <c r="G26">
        <v>1</v>
      </c>
      <c r="H26">
        <v>1</v>
      </c>
      <c r="I26" t="s">
        <v>220</v>
      </c>
    </row>
    <row r="27" spans="1:9" x14ac:dyDescent="0.2">
      <c r="A27" t="s">
        <v>50</v>
      </c>
      <c r="B27">
        <v>24</v>
      </c>
      <c r="C27">
        <v>4</v>
      </c>
      <c r="D27">
        <v>2</v>
      </c>
      <c r="E27">
        <v>2</v>
      </c>
      <c r="F27">
        <v>3.4914958000001599E-2</v>
      </c>
      <c r="G27">
        <v>1</v>
      </c>
      <c r="H27">
        <v>1</v>
      </c>
      <c r="I27" t="s">
        <v>221</v>
      </c>
    </row>
    <row r="28" spans="1:9" x14ac:dyDescent="0.2">
      <c r="A28" t="s">
        <v>51</v>
      </c>
      <c r="B28">
        <v>48</v>
      </c>
      <c r="C28">
        <v>6</v>
      </c>
      <c r="D28">
        <v>3</v>
      </c>
      <c r="E28">
        <v>3</v>
      </c>
      <c r="F28">
        <v>0.29817301100001697</v>
      </c>
      <c r="G28">
        <v>1</v>
      </c>
      <c r="H28">
        <v>1</v>
      </c>
      <c r="I28" t="s">
        <v>222</v>
      </c>
    </row>
    <row r="29" spans="1:9" x14ac:dyDescent="0.2">
      <c r="A29" t="s">
        <v>52</v>
      </c>
      <c r="B29">
        <v>84</v>
      </c>
      <c r="C29">
        <v>9</v>
      </c>
      <c r="D29">
        <v>4</v>
      </c>
      <c r="E29">
        <v>4</v>
      </c>
      <c r="F29">
        <v>0.40802639299999999</v>
      </c>
      <c r="G29">
        <v>1</v>
      </c>
      <c r="H29">
        <v>1</v>
      </c>
      <c r="I29" t="s">
        <v>223</v>
      </c>
    </row>
    <row r="30" spans="1:9" x14ac:dyDescent="0.2">
      <c r="A30" t="s">
        <v>52</v>
      </c>
      <c r="B30">
        <v>84</v>
      </c>
      <c r="C30">
        <v>9</v>
      </c>
      <c r="D30">
        <v>3</v>
      </c>
      <c r="E30">
        <v>3</v>
      </c>
      <c r="F30">
        <v>0.51865816699998302</v>
      </c>
      <c r="G30">
        <v>1</v>
      </c>
      <c r="H30">
        <v>1</v>
      </c>
      <c r="I30" t="s">
        <v>224</v>
      </c>
    </row>
    <row r="31" spans="1:9" x14ac:dyDescent="0.2">
      <c r="A31" t="s">
        <v>53</v>
      </c>
      <c r="B31">
        <v>96</v>
      </c>
      <c r="C31">
        <v>10</v>
      </c>
      <c r="D31">
        <v>4</v>
      </c>
      <c r="E31">
        <v>4</v>
      </c>
      <c r="F31">
        <v>0.47393867400001</v>
      </c>
      <c r="G31">
        <v>1</v>
      </c>
      <c r="H31">
        <v>1</v>
      </c>
      <c r="I31" t="s">
        <v>225</v>
      </c>
    </row>
    <row r="32" spans="1:9" x14ac:dyDescent="0.2">
      <c r="A32" t="s">
        <v>54</v>
      </c>
      <c r="B32">
        <v>168</v>
      </c>
      <c r="C32">
        <v>16</v>
      </c>
      <c r="D32">
        <v>4</v>
      </c>
      <c r="E32">
        <v>4</v>
      </c>
      <c r="F32">
        <v>1.0122901849999799</v>
      </c>
      <c r="G32">
        <v>1</v>
      </c>
      <c r="H32">
        <v>1</v>
      </c>
      <c r="I32" t="s">
        <v>226</v>
      </c>
    </row>
    <row r="33" spans="1:9" x14ac:dyDescent="0.2">
      <c r="A33" t="s">
        <v>54</v>
      </c>
      <c r="B33">
        <v>168</v>
      </c>
      <c r="C33">
        <v>16</v>
      </c>
      <c r="D33">
        <v>4</v>
      </c>
      <c r="E33">
        <v>4</v>
      </c>
      <c r="F33">
        <v>0.76202639100000602</v>
      </c>
      <c r="G33">
        <v>1</v>
      </c>
      <c r="H33">
        <v>1</v>
      </c>
      <c r="I33" t="s">
        <v>227</v>
      </c>
    </row>
    <row r="34" spans="1:9" x14ac:dyDescent="0.2">
      <c r="A34" t="s">
        <v>55</v>
      </c>
      <c r="B34">
        <v>180</v>
      </c>
      <c r="C34">
        <v>17</v>
      </c>
      <c r="D34">
        <v>5</v>
      </c>
      <c r="E34">
        <v>5</v>
      </c>
      <c r="F34">
        <v>10.124023284</v>
      </c>
      <c r="G34">
        <v>1</v>
      </c>
      <c r="H34">
        <v>1</v>
      </c>
      <c r="I34" t="s">
        <v>228</v>
      </c>
    </row>
    <row r="35" spans="1:9" x14ac:dyDescent="0.2">
      <c r="A35" t="s">
        <v>56</v>
      </c>
      <c r="B35">
        <v>252</v>
      </c>
      <c r="C35">
        <v>23</v>
      </c>
      <c r="D35">
        <v>4</v>
      </c>
      <c r="E35">
        <v>4</v>
      </c>
      <c r="F35">
        <v>2.1146252409999899</v>
      </c>
      <c r="G35">
        <v>1</v>
      </c>
      <c r="H35">
        <v>1</v>
      </c>
      <c r="I35" t="s">
        <v>229</v>
      </c>
    </row>
    <row r="36" spans="1:9" x14ac:dyDescent="0.2">
      <c r="A36" t="s">
        <v>57</v>
      </c>
      <c r="B36">
        <v>360</v>
      </c>
      <c r="C36">
        <v>32</v>
      </c>
      <c r="D36">
        <v>5</v>
      </c>
      <c r="E36">
        <v>5</v>
      </c>
      <c r="F36">
        <v>27.542506889999999</v>
      </c>
      <c r="G36">
        <v>1</v>
      </c>
      <c r="H36">
        <v>1</v>
      </c>
      <c r="I36" t="s">
        <v>230</v>
      </c>
    </row>
    <row r="37" spans="1:9" x14ac:dyDescent="0.2">
      <c r="A37" t="s">
        <v>58</v>
      </c>
      <c r="B37">
        <v>384</v>
      </c>
      <c r="C37">
        <v>34</v>
      </c>
      <c r="D37">
        <v>4</v>
      </c>
      <c r="E37">
        <v>4</v>
      </c>
      <c r="F37">
        <v>3.5109025229999902</v>
      </c>
      <c r="G37">
        <v>1</v>
      </c>
      <c r="H37">
        <v>1</v>
      </c>
      <c r="I37" t="s">
        <v>231</v>
      </c>
    </row>
    <row r="38" spans="1:9" x14ac:dyDescent="0.2">
      <c r="A38" t="s">
        <v>59</v>
      </c>
      <c r="B38">
        <v>504</v>
      </c>
      <c r="C38">
        <v>44</v>
      </c>
      <c r="D38">
        <v>6</v>
      </c>
      <c r="E38">
        <v>6</v>
      </c>
      <c r="F38">
        <v>293.339920097</v>
      </c>
      <c r="G38">
        <v>1</v>
      </c>
      <c r="H38">
        <v>1</v>
      </c>
      <c r="I38" t="s">
        <v>232</v>
      </c>
    </row>
    <row r="39" spans="1:9" x14ac:dyDescent="0.2">
      <c r="A39" t="s">
        <v>59</v>
      </c>
      <c r="B39">
        <v>504</v>
      </c>
      <c r="C39">
        <v>44</v>
      </c>
      <c r="D39">
        <v>6</v>
      </c>
      <c r="E39">
        <v>6</v>
      </c>
      <c r="F39">
        <v>297.91383050500002</v>
      </c>
      <c r="G39">
        <v>1</v>
      </c>
      <c r="H39">
        <v>1</v>
      </c>
      <c r="I39" t="s">
        <v>233</v>
      </c>
    </row>
    <row r="40" spans="1:9" x14ac:dyDescent="0.2">
      <c r="A40" t="s">
        <v>60</v>
      </c>
      <c r="B40">
        <v>540</v>
      </c>
      <c r="C40">
        <v>47</v>
      </c>
      <c r="D40">
        <v>5</v>
      </c>
      <c r="E40">
        <v>5</v>
      </c>
      <c r="F40">
        <v>69.451348521</v>
      </c>
      <c r="G40">
        <v>1</v>
      </c>
      <c r="H40">
        <v>1</v>
      </c>
      <c r="I40" t="s">
        <v>234</v>
      </c>
    </row>
    <row r="41" spans="1:9" x14ac:dyDescent="0.2">
      <c r="A41" t="s">
        <v>61</v>
      </c>
      <c r="B41">
        <v>768</v>
      </c>
      <c r="C41">
        <v>66</v>
      </c>
      <c r="D41">
        <v>6</v>
      </c>
      <c r="E41">
        <v>6</v>
      </c>
      <c r="F41">
        <v>497.90931817199998</v>
      </c>
      <c r="G41">
        <v>1</v>
      </c>
      <c r="H41">
        <v>1</v>
      </c>
      <c r="I41" t="s">
        <v>235</v>
      </c>
    </row>
    <row r="42" spans="1:9" x14ac:dyDescent="0.2">
      <c r="A42" t="s">
        <v>62</v>
      </c>
      <c r="B42">
        <v>1008</v>
      </c>
      <c r="C42">
        <v>86</v>
      </c>
      <c r="D42">
        <v>6</v>
      </c>
      <c r="E42">
        <v>6</v>
      </c>
      <c r="F42">
        <v>1663.068156781</v>
      </c>
      <c r="G42">
        <v>1</v>
      </c>
      <c r="H42">
        <v>1</v>
      </c>
      <c r="I42" t="s">
        <v>236</v>
      </c>
    </row>
    <row r="43" spans="1:9" x14ac:dyDescent="0.2">
      <c r="A43" t="s">
        <v>63</v>
      </c>
      <c r="B43">
        <v>1080</v>
      </c>
      <c r="C43">
        <v>92</v>
      </c>
      <c r="D43">
        <v>6</v>
      </c>
      <c r="E43">
        <v>6</v>
      </c>
      <c r="F43">
        <v>1982.3425811489999</v>
      </c>
      <c r="G43">
        <v>1</v>
      </c>
      <c r="H43">
        <v>1</v>
      </c>
      <c r="I43" t="s">
        <v>237</v>
      </c>
    </row>
    <row r="44" spans="1:9" x14ac:dyDescent="0.2">
      <c r="A44" t="s">
        <v>63</v>
      </c>
      <c r="B44">
        <v>1080</v>
      </c>
      <c r="C44">
        <v>92</v>
      </c>
      <c r="D44">
        <v>5</v>
      </c>
      <c r="E44">
        <v>5</v>
      </c>
      <c r="F44">
        <v>310.35862129699899</v>
      </c>
      <c r="G44">
        <v>1</v>
      </c>
      <c r="H44">
        <v>1</v>
      </c>
      <c r="I44" t="s">
        <v>238</v>
      </c>
    </row>
    <row r="45" spans="1:9" x14ac:dyDescent="0.2">
      <c r="A45" t="s">
        <v>64</v>
      </c>
      <c r="B45">
        <v>1224</v>
      </c>
      <c r="C45">
        <v>104</v>
      </c>
      <c r="D45">
        <v>6</v>
      </c>
      <c r="E45">
        <v>6</v>
      </c>
      <c r="F45">
        <v>1941.0721801549901</v>
      </c>
      <c r="G45">
        <v>1</v>
      </c>
      <c r="H45">
        <v>1</v>
      </c>
      <c r="I45" t="s">
        <v>239</v>
      </c>
    </row>
    <row r="46" spans="1:9" x14ac:dyDescent="0.2">
      <c r="A46" t="s">
        <v>64</v>
      </c>
      <c r="B46">
        <v>1224</v>
      </c>
      <c r="C46">
        <v>104</v>
      </c>
      <c r="D46">
        <v>6</v>
      </c>
      <c r="E46">
        <v>6</v>
      </c>
      <c r="F46">
        <v>1619.775421155</v>
      </c>
      <c r="G46">
        <v>1</v>
      </c>
      <c r="H46">
        <v>1</v>
      </c>
      <c r="I46" t="s">
        <v>240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6FD23-2671-CB45-B947-E2776D6C94D3}">
  <dimension ref="A1:I45"/>
  <sheetViews>
    <sheetView topLeftCell="A11" workbookViewId="0">
      <selection activeCell="F25" sqref="F25:F45"/>
    </sheetView>
  </sheetViews>
  <sheetFormatPr baseColWidth="10" defaultRowHeight="16" x14ac:dyDescent="0.2"/>
  <sheetData>
    <row r="1" spans="1:1" x14ac:dyDescent="0.2">
      <c r="A1" t="s">
        <v>0</v>
      </c>
    </row>
    <row r="2" spans="1:1" x14ac:dyDescent="0.2">
      <c r="A2" t="s">
        <v>1</v>
      </c>
    </row>
    <row r="3" spans="1:1" x14ac:dyDescent="0.2">
      <c r="A3" s="21" t="s">
        <v>48</v>
      </c>
    </row>
    <row r="4" spans="1:1" x14ac:dyDescent="0.2">
      <c r="A4" t="s">
        <v>47</v>
      </c>
    </row>
    <row r="5" spans="1:1" x14ac:dyDescent="0.2">
      <c r="A5" s="21" t="s">
        <v>302</v>
      </c>
    </row>
    <row r="6" spans="1:1" x14ac:dyDescent="0.2">
      <c r="A6" t="s">
        <v>3</v>
      </c>
    </row>
    <row r="7" spans="1:1" x14ac:dyDescent="0.2">
      <c r="A7" t="s">
        <v>30</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t="s">
        <v>129</v>
      </c>
    </row>
    <row r="21" spans="1:9" x14ac:dyDescent="0.2">
      <c r="A21" t="s">
        <v>18</v>
      </c>
    </row>
    <row r="22" spans="1:9" x14ac:dyDescent="0.2">
      <c r="A22" t="s">
        <v>303</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49</v>
      </c>
      <c r="B25">
        <v>6</v>
      </c>
      <c r="C25">
        <v>1</v>
      </c>
      <c r="D25">
        <v>2</v>
      </c>
      <c r="E25">
        <v>2</v>
      </c>
      <c r="F25">
        <v>1.253094395</v>
      </c>
      <c r="G25">
        <v>10000</v>
      </c>
      <c r="H25">
        <v>10000</v>
      </c>
      <c r="I25" t="s">
        <v>304</v>
      </c>
    </row>
    <row r="26" spans="1:9" x14ac:dyDescent="0.2">
      <c r="A26" t="s">
        <v>50</v>
      </c>
      <c r="B26">
        <v>24</v>
      </c>
      <c r="C26">
        <v>4</v>
      </c>
      <c r="D26">
        <v>2</v>
      </c>
      <c r="E26">
        <v>2</v>
      </c>
      <c r="F26">
        <v>2.7963973580000001</v>
      </c>
      <c r="G26">
        <v>10000</v>
      </c>
      <c r="H26">
        <v>10000</v>
      </c>
      <c r="I26" t="s">
        <v>305</v>
      </c>
    </row>
    <row r="27" spans="1:9" x14ac:dyDescent="0.2">
      <c r="A27" t="s">
        <v>51</v>
      </c>
      <c r="B27">
        <v>48</v>
      </c>
      <c r="C27">
        <v>6</v>
      </c>
      <c r="D27">
        <v>3</v>
      </c>
      <c r="E27">
        <v>3</v>
      </c>
      <c r="F27">
        <v>5.1335453969999998</v>
      </c>
      <c r="G27">
        <v>9991</v>
      </c>
      <c r="H27">
        <v>10000</v>
      </c>
      <c r="I27" t="s">
        <v>306</v>
      </c>
    </row>
    <row r="28" spans="1:9" x14ac:dyDescent="0.2">
      <c r="A28" t="s">
        <v>52</v>
      </c>
      <c r="B28">
        <v>84</v>
      </c>
      <c r="C28">
        <v>9</v>
      </c>
      <c r="D28">
        <v>4</v>
      </c>
      <c r="E28">
        <v>4</v>
      </c>
      <c r="F28">
        <v>10.203793805999901</v>
      </c>
      <c r="G28">
        <v>9997</v>
      </c>
      <c r="H28">
        <v>10000</v>
      </c>
      <c r="I28" t="s">
        <v>307</v>
      </c>
    </row>
    <row r="29" spans="1:9" x14ac:dyDescent="0.2">
      <c r="A29" t="s">
        <v>52</v>
      </c>
      <c r="B29">
        <v>84</v>
      </c>
      <c r="C29">
        <v>9</v>
      </c>
      <c r="D29">
        <v>3</v>
      </c>
      <c r="E29">
        <v>3</v>
      </c>
      <c r="F29">
        <v>9.8441820779999798</v>
      </c>
      <c r="G29">
        <v>9982</v>
      </c>
      <c r="H29">
        <v>10000</v>
      </c>
      <c r="I29" t="s">
        <v>308</v>
      </c>
    </row>
    <row r="30" spans="1:9" x14ac:dyDescent="0.2">
      <c r="A30" t="s">
        <v>53</v>
      </c>
      <c r="B30">
        <v>96</v>
      </c>
      <c r="C30">
        <v>10</v>
      </c>
      <c r="D30">
        <v>4</v>
      </c>
      <c r="E30">
        <v>4</v>
      </c>
      <c r="F30">
        <v>12.003277792</v>
      </c>
      <c r="G30">
        <v>9998</v>
      </c>
      <c r="H30">
        <v>10000</v>
      </c>
      <c r="I30" t="s">
        <v>309</v>
      </c>
    </row>
    <row r="31" spans="1:9" x14ac:dyDescent="0.2">
      <c r="A31" t="s">
        <v>54</v>
      </c>
      <c r="B31">
        <v>168</v>
      </c>
      <c r="C31">
        <v>16</v>
      </c>
      <c r="D31">
        <v>4</v>
      </c>
      <c r="E31">
        <v>4</v>
      </c>
      <c r="F31">
        <v>26.618528275999999</v>
      </c>
      <c r="G31">
        <v>9753</v>
      </c>
      <c r="H31">
        <v>10000</v>
      </c>
      <c r="I31" t="s">
        <v>310</v>
      </c>
    </row>
    <row r="32" spans="1:9" x14ac:dyDescent="0.2">
      <c r="A32" t="s">
        <v>54</v>
      </c>
      <c r="B32">
        <v>168</v>
      </c>
      <c r="C32">
        <v>16</v>
      </c>
      <c r="D32">
        <v>4</v>
      </c>
      <c r="E32">
        <v>4</v>
      </c>
      <c r="F32">
        <v>26.696277326999901</v>
      </c>
      <c r="G32">
        <v>9748</v>
      </c>
      <c r="H32">
        <v>10000</v>
      </c>
      <c r="I32" t="s">
        <v>311</v>
      </c>
    </row>
    <row r="33" spans="1:9" x14ac:dyDescent="0.2">
      <c r="A33" t="s">
        <v>55</v>
      </c>
      <c r="B33">
        <v>180</v>
      </c>
      <c r="C33">
        <v>17</v>
      </c>
      <c r="D33">
        <v>5</v>
      </c>
      <c r="E33">
        <v>5</v>
      </c>
      <c r="F33">
        <v>30.699700338</v>
      </c>
      <c r="G33">
        <v>9993</v>
      </c>
      <c r="H33">
        <v>10000</v>
      </c>
      <c r="I33" t="s">
        <v>312</v>
      </c>
    </row>
    <row r="34" spans="1:9" x14ac:dyDescent="0.2">
      <c r="A34" t="s">
        <v>56</v>
      </c>
      <c r="B34">
        <v>252</v>
      </c>
      <c r="C34">
        <v>23</v>
      </c>
      <c r="D34">
        <v>4</v>
      </c>
      <c r="E34">
        <v>4</v>
      </c>
      <c r="F34">
        <v>53.828619185999997</v>
      </c>
      <c r="G34">
        <v>9359</v>
      </c>
      <c r="H34">
        <v>10000</v>
      </c>
      <c r="I34" t="s">
        <v>313</v>
      </c>
    </row>
    <row r="35" spans="1:9" x14ac:dyDescent="0.2">
      <c r="A35" t="s">
        <v>57</v>
      </c>
      <c r="B35">
        <v>360</v>
      </c>
      <c r="C35">
        <v>32</v>
      </c>
      <c r="D35">
        <v>5</v>
      </c>
      <c r="E35">
        <v>5</v>
      </c>
      <c r="F35">
        <v>113.078315319</v>
      </c>
      <c r="G35">
        <v>7543</v>
      </c>
      <c r="H35">
        <v>10000</v>
      </c>
      <c r="I35" t="s">
        <v>314</v>
      </c>
    </row>
    <row r="36" spans="1:9" x14ac:dyDescent="0.2">
      <c r="A36" t="s">
        <v>58</v>
      </c>
      <c r="B36">
        <v>384</v>
      </c>
      <c r="C36">
        <v>34</v>
      </c>
      <c r="D36">
        <v>4</v>
      </c>
      <c r="E36">
        <v>4</v>
      </c>
      <c r="F36">
        <v>129.67088639299899</v>
      </c>
      <c r="G36">
        <v>9845</v>
      </c>
      <c r="H36">
        <v>10000</v>
      </c>
      <c r="I36" t="s">
        <v>315</v>
      </c>
    </row>
    <row r="37" spans="1:9" x14ac:dyDescent="0.2">
      <c r="A37" t="s">
        <v>59</v>
      </c>
      <c r="B37">
        <v>504</v>
      </c>
      <c r="C37">
        <v>44</v>
      </c>
      <c r="D37">
        <v>6</v>
      </c>
      <c r="E37">
        <v>6</v>
      </c>
      <c r="F37">
        <v>240.11447558699999</v>
      </c>
      <c r="G37">
        <v>9976</v>
      </c>
      <c r="H37">
        <v>10000</v>
      </c>
      <c r="I37" t="s">
        <v>316</v>
      </c>
    </row>
    <row r="38" spans="1:9" x14ac:dyDescent="0.2">
      <c r="A38" t="s">
        <v>59</v>
      </c>
      <c r="B38">
        <v>504</v>
      </c>
      <c r="C38">
        <v>44</v>
      </c>
      <c r="D38">
        <v>6</v>
      </c>
      <c r="E38">
        <v>6</v>
      </c>
      <c r="F38">
        <v>238.19767484599899</v>
      </c>
      <c r="G38">
        <v>9842</v>
      </c>
      <c r="H38">
        <v>10000</v>
      </c>
      <c r="I38" t="s">
        <v>317</v>
      </c>
    </row>
    <row r="39" spans="1:9" x14ac:dyDescent="0.2">
      <c r="A39" t="s">
        <v>60</v>
      </c>
      <c r="B39">
        <v>540</v>
      </c>
      <c r="C39">
        <v>47</v>
      </c>
      <c r="D39">
        <v>5</v>
      </c>
      <c r="E39">
        <v>5</v>
      </c>
      <c r="F39">
        <v>278.26768243700002</v>
      </c>
      <c r="G39">
        <v>9557</v>
      </c>
      <c r="H39">
        <v>10000</v>
      </c>
      <c r="I39" t="s">
        <v>318</v>
      </c>
    </row>
    <row r="40" spans="1:9" x14ac:dyDescent="0.2">
      <c r="A40" t="s">
        <v>61</v>
      </c>
      <c r="B40">
        <v>768</v>
      </c>
      <c r="C40">
        <v>66</v>
      </c>
      <c r="D40">
        <v>6</v>
      </c>
      <c r="E40">
        <v>6</v>
      </c>
      <c r="F40">
        <v>643.66980315199999</v>
      </c>
      <c r="G40">
        <v>8054</v>
      </c>
      <c r="H40">
        <v>10000</v>
      </c>
      <c r="I40" t="s">
        <v>319</v>
      </c>
    </row>
    <row r="41" spans="1:9" x14ac:dyDescent="0.2">
      <c r="A41" t="s">
        <v>62</v>
      </c>
      <c r="B41">
        <v>1008</v>
      </c>
      <c r="C41">
        <v>86</v>
      </c>
      <c r="D41">
        <v>6</v>
      </c>
      <c r="E41">
        <v>6</v>
      </c>
      <c r="F41">
        <v>1277.1739304999901</v>
      </c>
      <c r="G41">
        <v>7601</v>
      </c>
      <c r="H41">
        <v>10000</v>
      </c>
      <c r="I41" t="s">
        <v>320</v>
      </c>
    </row>
    <row r="42" spans="1:9" x14ac:dyDescent="0.2">
      <c r="A42" t="s">
        <v>63</v>
      </c>
      <c r="B42">
        <v>1080</v>
      </c>
      <c r="C42">
        <v>92</v>
      </c>
      <c r="D42">
        <v>6</v>
      </c>
      <c r="E42">
        <v>6</v>
      </c>
      <c r="F42">
        <v>1522.7170111529999</v>
      </c>
      <c r="G42">
        <v>9033</v>
      </c>
      <c r="H42">
        <v>10000</v>
      </c>
      <c r="I42" t="s">
        <v>321</v>
      </c>
    </row>
    <row r="43" spans="1:9" x14ac:dyDescent="0.2">
      <c r="A43" t="s">
        <v>63</v>
      </c>
      <c r="B43">
        <v>1080</v>
      </c>
      <c r="C43">
        <v>92</v>
      </c>
      <c r="D43">
        <v>5</v>
      </c>
      <c r="E43">
        <v>5</v>
      </c>
      <c r="F43">
        <v>1526.23424163199</v>
      </c>
      <c r="G43">
        <v>9869</v>
      </c>
      <c r="H43">
        <v>10000</v>
      </c>
      <c r="I43" t="s">
        <v>322</v>
      </c>
    </row>
    <row r="44" spans="1:9" x14ac:dyDescent="0.2">
      <c r="A44" t="s">
        <v>64</v>
      </c>
      <c r="B44">
        <v>1224</v>
      </c>
      <c r="C44">
        <v>104</v>
      </c>
      <c r="D44">
        <v>6</v>
      </c>
      <c r="E44">
        <v>6</v>
      </c>
      <c r="F44">
        <v>2107.4720736079998</v>
      </c>
      <c r="G44">
        <v>8221</v>
      </c>
      <c r="H44">
        <v>10000</v>
      </c>
      <c r="I44" t="s">
        <v>323</v>
      </c>
    </row>
    <row r="45" spans="1:9" x14ac:dyDescent="0.2">
      <c r="A45" t="s">
        <v>64</v>
      </c>
      <c r="B45">
        <v>1224</v>
      </c>
      <c r="C45">
        <v>104</v>
      </c>
      <c r="D45">
        <v>6</v>
      </c>
      <c r="E45">
        <v>6</v>
      </c>
      <c r="F45">
        <v>2113.45778793299</v>
      </c>
      <c r="G45">
        <v>9984</v>
      </c>
      <c r="H45">
        <v>10000</v>
      </c>
      <c r="I45" t="s">
        <v>324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86776-3A50-DF41-9920-2A1257ED8800}">
  <dimension ref="A1:I54"/>
  <sheetViews>
    <sheetView workbookViewId="0">
      <selection activeCell="G19" sqref="G19"/>
    </sheetView>
  </sheetViews>
  <sheetFormatPr baseColWidth="10" defaultRowHeight="16" x14ac:dyDescent="0.2"/>
  <sheetData>
    <row r="1" spans="1:1" x14ac:dyDescent="0.2">
      <c r="A1" t="s">
        <v>0</v>
      </c>
    </row>
    <row r="2" spans="1:1" x14ac:dyDescent="0.2">
      <c r="A2" t="s">
        <v>1</v>
      </c>
    </row>
    <row r="3" spans="1:1" x14ac:dyDescent="0.2">
      <c r="A3" t="s">
        <v>120</v>
      </c>
    </row>
    <row r="4" spans="1:1" x14ac:dyDescent="0.2">
      <c r="A4" t="s">
        <v>439</v>
      </c>
    </row>
    <row r="5" spans="1:1" x14ac:dyDescent="0.2">
      <c r="A5" t="s">
        <v>48</v>
      </c>
    </row>
    <row r="6" spans="1:1" x14ac:dyDescent="0.2">
      <c r="A6" t="s">
        <v>47</v>
      </c>
    </row>
    <row r="7" spans="1:1" x14ac:dyDescent="0.2">
      <c r="A7" t="s">
        <v>302</v>
      </c>
    </row>
    <row r="8" spans="1:1" x14ac:dyDescent="0.2">
      <c r="A8" t="s">
        <v>3</v>
      </c>
    </row>
    <row r="9" spans="1:1" x14ac:dyDescent="0.2">
      <c r="A9" t="s">
        <v>30</v>
      </c>
    </row>
    <row r="10" spans="1:1" x14ac:dyDescent="0.2">
      <c r="A10" t="s">
        <v>365</v>
      </c>
    </row>
    <row r="11" spans="1:1" x14ac:dyDescent="0.2">
      <c r="A11" t="s">
        <v>366</v>
      </c>
    </row>
    <row r="12" spans="1:1" x14ac:dyDescent="0.2">
      <c r="A12" t="s">
        <v>5</v>
      </c>
    </row>
    <row r="13" spans="1:1" x14ac:dyDescent="0.2">
      <c r="A13" t="s">
        <v>6</v>
      </c>
    </row>
    <row r="14" spans="1:1" x14ac:dyDescent="0.2">
      <c r="A14" t="s">
        <v>7</v>
      </c>
    </row>
    <row r="15" spans="1:1" x14ac:dyDescent="0.2">
      <c r="A15" t="s">
        <v>8</v>
      </c>
    </row>
    <row r="16" spans="1:1" x14ac:dyDescent="0.2">
      <c r="A16" t="s">
        <v>9</v>
      </c>
    </row>
    <row r="17" spans="1:1" x14ac:dyDescent="0.2">
      <c r="A17" t="s">
        <v>404</v>
      </c>
    </row>
    <row r="18" spans="1:1" x14ac:dyDescent="0.2">
      <c r="A18" t="s">
        <v>405</v>
      </c>
    </row>
    <row r="19" spans="1:1" x14ac:dyDescent="0.2">
      <c r="A19" t="s">
        <v>10</v>
      </c>
    </row>
    <row r="20" spans="1:1" x14ac:dyDescent="0.2">
      <c r="A20" t="s">
        <v>14</v>
      </c>
    </row>
    <row r="21" spans="1:1" x14ac:dyDescent="0.2">
      <c r="A21" t="s">
        <v>122</v>
      </c>
    </row>
    <row r="22" spans="1:1" x14ac:dyDescent="0.2">
      <c r="A22" t="s">
        <v>16</v>
      </c>
    </row>
    <row r="23" spans="1:1" x14ac:dyDescent="0.2">
      <c r="A23" t="s">
        <v>123</v>
      </c>
    </row>
    <row r="24" spans="1:1" x14ac:dyDescent="0.2">
      <c r="A24" t="s">
        <v>406</v>
      </c>
    </row>
    <row r="25" spans="1:1" x14ac:dyDescent="0.2">
      <c r="A25" t="s">
        <v>407</v>
      </c>
    </row>
    <row r="26" spans="1:1" x14ac:dyDescent="0.2">
      <c r="A26" t="s">
        <v>408</v>
      </c>
    </row>
    <row r="27" spans="1:1" x14ac:dyDescent="0.2">
      <c r="A27" t="s">
        <v>409</v>
      </c>
    </row>
    <row r="28" spans="1:1" x14ac:dyDescent="0.2">
      <c r="A28" t="s">
        <v>440</v>
      </c>
    </row>
    <row r="29" spans="1:1" x14ac:dyDescent="0.2">
      <c r="A29" t="s">
        <v>129</v>
      </c>
    </row>
    <row r="30" spans="1:1" x14ac:dyDescent="0.2">
      <c r="A30" t="s">
        <v>18</v>
      </c>
    </row>
    <row r="31" spans="1:1" x14ac:dyDescent="0.2">
      <c r="A31" t="s">
        <v>441</v>
      </c>
    </row>
    <row r="32" spans="1:1" x14ac:dyDescent="0.2">
      <c r="A32" t="s">
        <v>19</v>
      </c>
    </row>
    <row r="33" spans="1:9" x14ac:dyDescent="0.2">
      <c r="A33" t="s">
        <v>20</v>
      </c>
      <c r="B33" t="s">
        <v>21</v>
      </c>
      <c r="C33" t="s">
        <v>22</v>
      </c>
      <c r="D33" t="s">
        <v>23</v>
      </c>
      <c r="E33" t="s">
        <v>24</v>
      </c>
      <c r="F33" t="s">
        <v>25</v>
      </c>
      <c r="G33" t="s">
        <v>26</v>
      </c>
      <c r="H33" t="s">
        <v>27</v>
      </c>
      <c r="I33" t="s">
        <v>28</v>
      </c>
    </row>
    <row r="34" spans="1:9" x14ac:dyDescent="0.2">
      <c r="A34" t="s">
        <v>49</v>
      </c>
      <c r="B34">
        <v>6</v>
      </c>
      <c r="C34">
        <v>1</v>
      </c>
      <c r="D34">
        <v>2</v>
      </c>
      <c r="E34">
        <v>2</v>
      </c>
      <c r="F34">
        <v>1.3578701214864799</v>
      </c>
      <c r="G34">
        <v>10000</v>
      </c>
      <c r="H34">
        <v>10000</v>
      </c>
      <c r="I34" t="s">
        <v>410</v>
      </c>
    </row>
    <row r="35" spans="1:9" x14ac:dyDescent="0.2">
      <c r="A35" t="s">
        <v>50</v>
      </c>
      <c r="B35">
        <v>24</v>
      </c>
      <c r="C35">
        <v>4</v>
      </c>
      <c r="D35">
        <v>2</v>
      </c>
      <c r="E35">
        <v>2</v>
      </c>
      <c r="F35">
        <v>1.7540229549631401</v>
      </c>
      <c r="G35">
        <v>10000</v>
      </c>
      <c r="H35">
        <v>10000</v>
      </c>
      <c r="I35" t="s">
        <v>411</v>
      </c>
    </row>
    <row r="36" spans="1:9" x14ac:dyDescent="0.2">
      <c r="A36" t="s">
        <v>51</v>
      </c>
      <c r="B36">
        <v>48</v>
      </c>
      <c r="C36">
        <v>6</v>
      </c>
      <c r="D36">
        <v>3</v>
      </c>
      <c r="E36">
        <v>3</v>
      </c>
      <c r="F36">
        <v>2.3957461230456798</v>
      </c>
      <c r="G36">
        <v>10000</v>
      </c>
      <c r="H36">
        <v>10000</v>
      </c>
      <c r="I36" t="s">
        <v>437</v>
      </c>
    </row>
    <row r="37" spans="1:9" x14ac:dyDescent="0.2">
      <c r="A37" t="s">
        <v>52</v>
      </c>
      <c r="B37">
        <v>84</v>
      </c>
      <c r="C37">
        <v>9</v>
      </c>
      <c r="D37">
        <v>4</v>
      </c>
      <c r="E37">
        <v>4</v>
      </c>
      <c r="F37">
        <v>5.20993322879076</v>
      </c>
      <c r="G37">
        <v>10000</v>
      </c>
      <c r="H37">
        <v>10000</v>
      </c>
      <c r="I37" t="s">
        <v>416</v>
      </c>
    </row>
    <row r="38" spans="1:9" x14ac:dyDescent="0.2">
      <c r="A38" t="s">
        <v>52</v>
      </c>
      <c r="B38">
        <v>84</v>
      </c>
      <c r="C38">
        <v>9</v>
      </c>
      <c r="D38">
        <v>3</v>
      </c>
      <c r="E38">
        <v>3</v>
      </c>
      <c r="F38">
        <v>3.5871522827073901</v>
      </c>
      <c r="G38">
        <v>10000</v>
      </c>
      <c r="H38">
        <v>10000</v>
      </c>
      <c r="I38" t="s">
        <v>438</v>
      </c>
    </row>
    <row r="39" spans="1:9" x14ac:dyDescent="0.2">
      <c r="A39" t="s">
        <v>53</v>
      </c>
      <c r="B39">
        <v>96</v>
      </c>
      <c r="C39">
        <v>10</v>
      </c>
      <c r="D39">
        <v>4</v>
      </c>
      <c r="E39">
        <v>4</v>
      </c>
      <c r="F39">
        <v>5.5740961711853698</v>
      </c>
      <c r="G39">
        <v>10000</v>
      </c>
      <c r="H39">
        <v>10000</v>
      </c>
      <c r="I39" t="s">
        <v>412</v>
      </c>
    </row>
    <row r="40" spans="1:9" x14ac:dyDescent="0.2">
      <c r="A40" t="s">
        <v>54</v>
      </c>
      <c r="B40">
        <v>168</v>
      </c>
      <c r="C40">
        <v>16</v>
      </c>
      <c r="D40">
        <v>4</v>
      </c>
      <c r="E40">
        <v>4</v>
      </c>
      <c r="F40">
        <v>9.8347646137699396</v>
      </c>
      <c r="G40">
        <v>9956</v>
      </c>
      <c r="H40">
        <v>10000</v>
      </c>
      <c r="I40" t="s">
        <v>442</v>
      </c>
    </row>
    <row r="41" spans="1:9" x14ac:dyDescent="0.2">
      <c r="A41" t="s">
        <v>54</v>
      </c>
      <c r="B41">
        <v>168</v>
      </c>
      <c r="C41">
        <v>16</v>
      </c>
      <c r="D41">
        <v>4</v>
      </c>
      <c r="E41">
        <v>4</v>
      </c>
      <c r="F41">
        <v>10.0203861072659</v>
      </c>
      <c r="G41">
        <v>9988</v>
      </c>
      <c r="H41">
        <v>10000</v>
      </c>
      <c r="I41" t="s">
        <v>443</v>
      </c>
    </row>
    <row r="42" spans="1:9" x14ac:dyDescent="0.2">
      <c r="A42" t="s">
        <v>55</v>
      </c>
      <c r="B42">
        <v>180</v>
      </c>
      <c r="C42">
        <v>17</v>
      </c>
      <c r="D42">
        <v>5</v>
      </c>
      <c r="E42">
        <v>5</v>
      </c>
      <c r="F42">
        <v>14.553080238401799</v>
      </c>
      <c r="G42">
        <v>10000</v>
      </c>
      <c r="H42">
        <v>10000</v>
      </c>
      <c r="I42" t="s">
        <v>444</v>
      </c>
    </row>
    <row r="43" spans="1:9" x14ac:dyDescent="0.2">
      <c r="A43" t="s">
        <v>56</v>
      </c>
      <c r="B43">
        <v>252</v>
      </c>
      <c r="C43">
        <v>23</v>
      </c>
      <c r="D43">
        <v>4</v>
      </c>
      <c r="E43">
        <v>4</v>
      </c>
      <c r="F43">
        <v>23.245266930200099</v>
      </c>
      <c r="G43">
        <v>9867</v>
      </c>
      <c r="H43">
        <v>10000</v>
      </c>
      <c r="I43" t="s">
        <v>445</v>
      </c>
    </row>
    <row r="44" spans="1:9" x14ac:dyDescent="0.2">
      <c r="A44" t="s">
        <v>57</v>
      </c>
      <c r="B44">
        <v>360</v>
      </c>
      <c r="C44">
        <v>32</v>
      </c>
      <c r="D44">
        <v>5</v>
      </c>
      <c r="E44">
        <v>5</v>
      </c>
      <c r="F44">
        <v>57.761488088406601</v>
      </c>
      <c r="G44">
        <v>9379</v>
      </c>
      <c r="H44">
        <v>10000</v>
      </c>
      <c r="I44" t="s">
        <v>446</v>
      </c>
    </row>
    <row r="45" spans="1:9" x14ac:dyDescent="0.2">
      <c r="A45" t="s">
        <v>58</v>
      </c>
      <c r="B45">
        <v>384</v>
      </c>
      <c r="C45">
        <v>34</v>
      </c>
      <c r="D45">
        <v>4</v>
      </c>
      <c r="E45">
        <v>4</v>
      </c>
      <c r="F45">
        <v>68.668509258888605</v>
      </c>
      <c r="G45">
        <v>9954</v>
      </c>
      <c r="H45">
        <v>10000</v>
      </c>
      <c r="I45" t="s">
        <v>447</v>
      </c>
    </row>
    <row r="46" spans="1:9" x14ac:dyDescent="0.2">
      <c r="A46" t="s">
        <v>59</v>
      </c>
      <c r="B46">
        <v>504</v>
      </c>
      <c r="C46">
        <v>44</v>
      </c>
      <c r="D46">
        <v>6</v>
      </c>
      <c r="E46">
        <v>6</v>
      </c>
      <c r="F46">
        <v>148.421716318465</v>
      </c>
      <c r="G46">
        <v>10000</v>
      </c>
      <c r="H46">
        <v>10000</v>
      </c>
      <c r="I46" t="s">
        <v>448</v>
      </c>
    </row>
    <row r="47" spans="1:9" x14ac:dyDescent="0.2">
      <c r="A47" t="s">
        <v>59</v>
      </c>
      <c r="B47">
        <v>504</v>
      </c>
      <c r="C47">
        <v>44</v>
      </c>
      <c r="D47">
        <v>6</v>
      </c>
      <c r="E47">
        <v>6</v>
      </c>
      <c r="F47">
        <v>138.09537153597901</v>
      </c>
      <c r="G47">
        <v>9992</v>
      </c>
      <c r="H47">
        <v>10000</v>
      </c>
      <c r="I47" t="s">
        <v>449</v>
      </c>
    </row>
    <row r="48" spans="1:9" x14ac:dyDescent="0.2">
      <c r="A48" t="s">
        <v>60</v>
      </c>
      <c r="B48">
        <v>540</v>
      </c>
      <c r="C48">
        <v>47</v>
      </c>
      <c r="D48">
        <v>5</v>
      </c>
      <c r="E48">
        <v>5</v>
      </c>
      <c r="F48">
        <v>162.898467569611</v>
      </c>
      <c r="G48">
        <v>9906</v>
      </c>
      <c r="H48">
        <v>10000</v>
      </c>
      <c r="I48" t="s">
        <v>450</v>
      </c>
    </row>
    <row r="49" spans="1:9" x14ac:dyDescent="0.2">
      <c r="A49" t="s">
        <v>61</v>
      </c>
      <c r="B49">
        <v>768</v>
      </c>
      <c r="C49">
        <v>66</v>
      </c>
      <c r="D49">
        <v>6</v>
      </c>
      <c r="E49">
        <v>6</v>
      </c>
      <c r="F49">
        <v>440.09425559453598</v>
      </c>
      <c r="G49">
        <v>9609</v>
      </c>
      <c r="H49">
        <v>10000</v>
      </c>
      <c r="I49" t="s">
        <v>451</v>
      </c>
    </row>
    <row r="50" spans="1:9" x14ac:dyDescent="0.2">
      <c r="A50" t="s">
        <v>62</v>
      </c>
      <c r="B50">
        <v>1008</v>
      </c>
      <c r="C50">
        <v>86</v>
      </c>
      <c r="D50">
        <v>6</v>
      </c>
      <c r="E50">
        <v>6</v>
      </c>
      <c r="F50">
        <v>902.58050555549505</v>
      </c>
      <c r="G50">
        <v>9035</v>
      </c>
      <c r="H50">
        <v>10000</v>
      </c>
      <c r="I50" t="s">
        <v>452</v>
      </c>
    </row>
    <row r="51" spans="1:9" x14ac:dyDescent="0.2">
      <c r="A51" t="s">
        <v>63</v>
      </c>
      <c r="B51">
        <v>1080</v>
      </c>
      <c r="C51">
        <v>92</v>
      </c>
      <c r="D51">
        <v>6</v>
      </c>
      <c r="E51">
        <v>6</v>
      </c>
      <c r="F51">
        <v>1072.5095231859</v>
      </c>
      <c r="G51">
        <v>9692</v>
      </c>
      <c r="H51">
        <v>10000</v>
      </c>
      <c r="I51" t="s">
        <v>453</v>
      </c>
    </row>
    <row r="52" spans="1:9" x14ac:dyDescent="0.2">
      <c r="A52" t="s">
        <v>63</v>
      </c>
      <c r="B52">
        <v>1080</v>
      </c>
      <c r="C52">
        <v>92</v>
      </c>
      <c r="D52">
        <v>5</v>
      </c>
      <c r="E52">
        <v>5</v>
      </c>
      <c r="F52">
        <v>1075.2630106043</v>
      </c>
      <c r="G52">
        <v>9958</v>
      </c>
      <c r="H52">
        <v>10000</v>
      </c>
      <c r="I52" t="s">
        <v>454</v>
      </c>
    </row>
    <row r="53" spans="1:9" x14ac:dyDescent="0.2">
      <c r="A53" t="s">
        <v>64</v>
      </c>
      <c r="B53">
        <v>1224</v>
      </c>
      <c r="C53">
        <v>104</v>
      </c>
      <c r="D53">
        <v>6</v>
      </c>
      <c r="E53">
        <v>6</v>
      </c>
      <c r="F53">
        <v>1546.2506000278499</v>
      </c>
      <c r="G53">
        <v>9295</v>
      </c>
      <c r="H53">
        <v>10000</v>
      </c>
      <c r="I53" t="s">
        <v>455</v>
      </c>
    </row>
    <row r="54" spans="1:9" x14ac:dyDescent="0.2">
      <c r="A54" t="s">
        <v>64</v>
      </c>
      <c r="B54">
        <v>1224</v>
      </c>
      <c r="C54">
        <v>104</v>
      </c>
      <c r="D54">
        <v>6</v>
      </c>
      <c r="E54">
        <v>6</v>
      </c>
      <c r="F54">
        <v>1551.9877261351701</v>
      </c>
      <c r="G54">
        <v>9997</v>
      </c>
      <c r="H54">
        <v>10000</v>
      </c>
      <c r="I54" t="s">
        <v>456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D758-EFE7-5540-8BEC-C3C6E7E8BACC}">
  <dimension ref="A1:I45"/>
  <sheetViews>
    <sheetView topLeftCell="A11" workbookViewId="0">
      <selection activeCell="E14" sqref="E14"/>
    </sheetView>
  </sheetViews>
  <sheetFormatPr baseColWidth="10" defaultRowHeight="16" x14ac:dyDescent="0.2"/>
  <sheetData>
    <row r="1" spans="1:1" x14ac:dyDescent="0.2">
      <c r="A1" t="s">
        <v>0</v>
      </c>
    </row>
    <row r="2" spans="1:1" x14ac:dyDescent="0.2">
      <c r="A2" t="s">
        <v>1</v>
      </c>
    </row>
    <row r="3" spans="1:1" x14ac:dyDescent="0.2">
      <c r="A3" s="21" t="s">
        <v>48</v>
      </c>
    </row>
    <row r="4" spans="1:1" x14ac:dyDescent="0.2">
      <c r="A4" t="s">
        <v>47</v>
      </c>
    </row>
    <row r="5" spans="1:1" x14ac:dyDescent="0.2">
      <c r="A5" s="21" t="s">
        <v>44</v>
      </c>
    </row>
    <row r="6" spans="1:1" x14ac:dyDescent="0.2">
      <c r="A6" t="s">
        <v>3</v>
      </c>
    </row>
    <row r="7" spans="1:1" x14ac:dyDescent="0.2">
      <c r="A7" t="s">
        <v>30</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t="s">
        <v>129</v>
      </c>
    </row>
    <row r="21" spans="1:9" x14ac:dyDescent="0.2">
      <c r="A21" t="s">
        <v>18</v>
      </c>
    </row>
    <row r="22" spans="1:9" x14ac:dyDescent="0.2">
      <c r="A22" t="s">
        <v>241</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49</v>
      </c>
      <c r="B25">
        <v>6</v>
      </c>
      <c r="C25">
        <v>1</v>
      </c>
      <c r="D25">
        <v>2</v>
      </c>
      <c r="E25">
        <v>2</v>
      </c>
      <c r="F25">
        <v>0.95225691600000995</v>
      </c>
      <c r="G25">
        <v>10000</v>
      </c>
      <c r="H25">
        <v>10000</v>
      </c>
      <c r="I25" t="s">
        <v>242</v>
      </c>
    </row>
    <row r="26" spans="1:9" x14ac:dyDescent="0.2">
      <c r="A26" t="s">
        <v>50</v>
      </c>
      <c r="B26">
        <v>24</v>
      </c>
      <c r="C26">
        <v>4</v>
      </c>
      <c r="D26">
        <v>2</v>
      </c>
      <c r="E26">
        <v>2</v>
      </c>
      <c r="F26">
        <v>1.3381166529999799</v>
      </c>
      <c r="G26">
        <v>10000</v>
      </c>
      <c r="H26">
        <v>10000</v>
      </c>
      <c r="I26" t="s">
        <v>173</v>
      </c>
    </row>
    <row r="27" spans="1:9" x14ac:dyDescent="0.2">
      <c r="A27" t="s">
        <v>51</v>
      </c>
      <c r="B27">
        <v>48</v>
      </c>
      <c r="C27">
        <v>6</v>
      </c>
      <c r="D27">
        <v>3</v>
      </c>
      <c r="E27">
        <v>3</v>
      </c>
      <c r="F27">
        <v>1.78972906300001</v>
      </c>
      <c r="G27">
        <v>9978</v>
      </c>
      <c r="H27">
        <v>10000</v>
      </c>
      <c r="I27" t="s">
        <v>243</v>
      </c>
    </row>
    <row r="28" spans="1:9" x14ac:dyDescent="0.2">
      <c r="A28" t="s">
        <v>52</v>
      </c>
      <c r="B28">
        <v>84</v>
      </c>
      <c r="C28">
        <v>9</v>
      </c>
      <c r="D28">
        <v>4</v>
      </c>
      <c r="E28">
        <v>4</v>
      </c>
      <c r="F28">
        <v>3.4438125290000099</v>
      </c>
      <c r="G28">
        <v>10000</v>
      </c>
      <c r="H28">
        <v>10000</v>
      </c>
      <c r="I28" t="s">
        <v>244</v>
      </c>
    </row>
    <row r="29" spans="1:9" x14ac:dyDescent="0.2">
      <c r="A29" t="s">
        <v>52</v>
      </c>
      <c r="B29">
        <v>84</v>
      </c>
      <c r="C29">
        <v>9</v>
      </c>
      <c r="D29">
        <v>3</v>
      </c>
      <c r="E29">
        <v>3</v>
      </c>
      <c r="F29">
        <v>2.96752347099999</v>
      </c>
      <c r="G29">
        <v>9982</v>
      </c>
      <c r="H29">
        <v>10000</v>
      </c>
      <c r="I29" t="s">
        <v>245</v>
      </c>
    </row>
    <row r="30" spans="1:9" x14ac:dyDescent="0.2">
      <c r="A30" t="s">
        <v>53</v>
      </c>
      <c r="B30">
        <v>96</v>
      </c>
      <c r="C30">
        <v>10</v>
      </c>
      <c r="D30">
        <v>4</v>
      </c>
      <c r="E30">
        <v>4</v>
      </c>
      <c r="F30">
        <v>3.910183875</v>
      </c>
      <c r="G30">
        <v>9994</v>
      </c>
      <c r="H30">
        <v>10000</v>
      </c>
      <c r="I30" t="s">
        <v>246</v>
      </c>
    </row>
    <row r="31" spans="1:9" x14ac:dyDescent="0.2">
      <c r="A31" t="s">
        <v>54</v>
      </c>
      <c r="B31">
        <v>168</v>
      </c>
      <c r="C31">
        <v>16</v>
      </c>
      <c r="D31">
        <v>4</v>
      </c>
      <c r="E31">
        <v>4</v>
      </c>
      <c r="F31">
        <v>9.2603999129999792</v>
      </c>
      <c r="G31">
        <v>9671</v>
      </c>
      <c r="H31">
        <v>10000</v>
      </c>
      <c r="I31" t="s">
        <v>247</v>
      </c>
    </row>
    <row r="32" spans="1:9" x14ac:dyDescent="0.2">
      <c r="A32" t="s">
        <v>54</v>
      </c>
      <c r="B32">
        <v>168</v>
      </c>
      <c r="C32">
        <v>16</v>
      </c>
      <c r="D32">
        <v>4</v>
      </c>
      <c r="E32">
        <v>4</v>
      </c>
      <c r="F32">
        <v>9.2276759869999907</v>
      </c>
      <c r="G32">
        <v>9713</v>
      </c>
      <c r="H32">
        <v>10000</v>
      </c>
      <c r="I32" t="s">
        <v>248</v>
      </c>
    </row>
    <row r="33" spans="1:9" x14ac:dyDescent="0.2">
      <c r="A33" t="s">
        <v>55</v>
      </c>
      <c r="B33">
        <v>180</v>
      </c>
      <c r="C33">
        <v>17</v>
      </c>
      <c r="D33">
        <v>5</v>
      </c>
      <c r="E33">
        <v>5</v>
      </c>
      <c r="F33">
        <v>11.507108892</v>
      </c>
      <c r="G33">
        <v>9987</v>
      </c>
      <c r="H33">
        <v>10000</v>
      </c>
      <c r="I33" t="s">
        <v>249</v>
      </c>
    </row>
    <row r="34" spans="1:9" x14ac:dyDescent="0.2">
      <c r="A34" t="s">
        <v>56</v>
      </c>
      <c r="B34">
        <v>252</v>
      </c>
      <c r="C34">
        <v>23</v>
      </c>
      <c r="D34">
        <v>4</v>
      </c>
      <c r="E34">
        <v>4</v>
      </c>
      <c r="F34">
        <v>22.320578140999999</v>
      </c>
      <c r="G34">
        <v>9303</v>
      </c>
      <c r="H34">
        <v>10000</v>
      </c>
      <c r="I34" t="s">
        <v>250</v>
      </c>
    </row>
    <row r="35" spans="1:9" x14ac:dyDescent="0.2">
      <c r="A35" t="s">
        <v>57</v>
      </c>
      <c r="B35">
        <v>360</v>
      </c>
      <c r="C35">
        <v>32</v>
      </c>
      <c r="D35">
        <v>5</v>
      </c>
      <c r="E35">
        <v>5</v>
      </c>
      <c r="F35">
        <v>54.207650973999897</v>
      </c>
      <c r="G35">
        <v>7336</v>
      </c>
      <c r="H35">
        <v>10000</v>
      </c>
      <c r="I35" t="s">
        <v>251</v>
      </c>
    </row>
    <row r="36" spans="1:9" x14ac:dyDescent="0.2">
      <c r="A36" t="s">
        <v>58</v>
      </c>
      <c r="B36">
        <v>384</v>
      </c>
      <c r="C36">
        <v>34</v>
      </c>
      <c r="D36">
        <v>4</v>
      </c>
      <c r="E36">
        <v>4</v>
      </c>
      <c r="F36">
        <v>63.573057063999897</v>
      </c>
      <c r="G36">
        <v>9844</v>
      </c>
      <c r="H36">
        <v>10000</v>
      </c>
      <c r="I36" t="s">
        <v>252</v>
      </c>
    </row>
    <row r="37" spans="1:9" x14ac:dyDescent="0.2">
      <c r="A37" t="s">
        <v>59</v>
      </c>
      <c r="B37">
        <v>504</v>
      </c>
      <c r="C37">
        <v>44</v>
      </c>
      <c r="D37">
        <v>6</v>
      </c>
      <c r="E37">
        <v>6</v>
      </c>
      <c r="F37">
        <v>136.628924923</v>
      </c>
      <c r="G37">
        <v>9978</v>
      </c>
      <c r="H37">
        <v>10000</v>
      </c>
      <c r="I37" t="s">
        <v>253</v>
      </c>
    </row>
    <row r="38" spans="1:9" x14ac:dyDescent="0.2">
      <c r="A38" t="s">
        <v>59</v>
      </c>
      <c r="B38">
        <v>504</v>
      </c>
      <c r="C38">
        <v>44</v>
      </c>
      <c r="D38">
        <v>6</v>
      </c>
      <c r="E38">
        <v>6</v>
      </c>
      <c r="F38">
        <v>135.358971473</v>
      </c>
      <c r="G38">
        <v>9810</v>
      </c>
      <c r="H38">
        <v>10000</v>
      </c>
      <c r="I38" t="s">
        <v>254</v>
      </c>
    </row>
    <row r="39" spans="1:9" x14ac:dyDescent="0.2">
      <c r="A39" t="s">
        <v>60</v>
      </c>
      <c r="B39">
        <v>540</v>
      </c>
      <c r="C39">
        <v>47</v>
      </c>
      <c r="D39">
        <v>5</v>
      </c>
      <c r="E39">
        <v>5</v>
      </c>
      <c r="F39">
        <v>162.76777313699901</v>
      </c>
      <c r="G39">
        <v>9556</v>
      </c>
      <c r="H39">
        <v>10000</v>
      </c>
      <c r="I39" t="s">
        <v>255</v>
      </c>
    </row>
    <row r="40" spans="1:9" x14ac:dyDescent="0.2">
      <c r="A40" t="s">
        <v>61</v>
      </c>
      <c r="B40">
        <v>768</v>
      </c>
      <c r="C40">
        <v>66</v>
      </c>
      <c r="D40">
        <v>6</v>
      </c>
      <c r="E40">
        <v>6</v>
      </c>
      <c r="F40">
        <v>440.40088783599998</v>
      </c>
      <c r="G40">
        <v>7911</v>
      </c>
      <c r="H40">
        <v>10000</v>
      </c>
      <c r="I40" t="s">
        <v>256</v>
      </c>
    </row>
    <row r="41" spans="1:9" x14ac:dyDescent="0.2">
      <c r="A41" t="s">
        <v>62</v>
      </c>
      <c r="B41">
        <v>1008</v>
      </c>
      <c r="C41">
        <v>86</v>
      </c>
      <c r="D41">
        <v>6</v>
      </c>
      <c r="E41">
        <v>6</v>
      </c>
      <c r="F41">
        <v>943.11323113799995</v>
      </c>
      <c r="G41">
        <v>7515</v>
      </c>
      <c r="H41">
        <v>10000</v>
      </c>
      <c r="I41" t="s">
        <v>257</v>
      </c>
    </row>
    <row r="42" spans="1:9" x14ac:dyDescent="0.2">
      <c r="A42" t="s">
        <v>63</v>
      </c>
      <c r="B42">
        <v>1080</v>
      </c>
      <c r="C42">
        <v>92</v>
      </c>
      <c r="D42">
        <v>6</v>
      </c>
      <c r="E42">
        <v>6</v>
      </c>
      <c r="F42">
        <v>1097.70666899199</v>
      </c>
      <c r="G42">
        <v>8938</v>
      </c>
      <c r="H42">
        <v>10000</v>
      </c>
      <c r="I42" t="s">
        <v>258</v>
      </c>
    </row>
    <row r="43" spans="1:9" x14ac:dyDescent="0.2">
      <c r="A43" t="s">
        <v>63</v>
      </c>
      <c r="B43">
        <v>1080</v>
      </c>
      <c r="C43">
        <v>92</v>
      </c>
      <c r="D43">
        <v>5</v>
      </c>
      <c r="E43">
        <v>5</v>
      </c>
      <c r="F43">
        <v>1082.4578797849999</v>
      </c>
      <c r="G43">
        <v>9842</v>
      </c>
      <c r="H43">
        <v>10000</v>
      </c>
      <c r="I43" t="s">
        <v>259</v>
      </c>
    </row>
    <row r="44" spans="1:9" x14ac:dyDescent="0.2">
      <c r="A44" t="s">
        <v>64</v>
      </c>
      <c r="B44">
        <v>1224</v>
      </c>
      <c r="C44">
        <v>104</v>
      </c>
      <c r="D44">
        <v>6</v>
      </c>
      <c r="E44">
        <v>6</v>
      </c>
      <c r="F44">
        <v>1558.8900393679901</v>
      </c>
      <c r="G44">
        <v>8195</v>
      </c>
      <c r="H44">
        <v>10000</v>
      </c>
      <c r="I44" t="s">
        <v>260</v>
      </c>
    </row>
    <row r="45" spans="1:9" x14ac:dyDescent="0.2">
      <c r="A45" t="s">
        <v>64</v>
      </c>
      <c r="B45">
        <v>1224</v>
      </c>
      <c r="C45">
        <v>104</v>
      </c>
      <c r="D45">
        <v>6</v>
      </c>
      <c r="E45">
        <v>6</v>
      </c>
      <c r="F45">
        <v>1562.09513029499</v>
      </c>
      <c r="G45">
        <v>9968</v>
      </c>
      <c r="H45">
        <v>10000</v>
      </c>
      <c r="I45" t="s">
        <v>261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2BC45-AD18-B742-B96C-F3FD5574B9E6}">
  <dimension ref="A1:I52"/>
  <sheetViews>
    <sheetView topLeftCell="A18" workbookViewId="0">
      <selection activeCell="F32" sqref="F32:F52"/>
    </sheetView>
  </sheetViews>
  <sheetFormatPr baseColWidth="10" defaultRowHeight="16" x14ac:dyDescent="0.2"/>
  <sheetData>
    <row r="1" spans="1:1" x14ac:dyDescent="0.2">
      <c r="A1" t="s">
        <v>0</v>
      </c>
    </row>
    <row r="2" spans="1:1" x14ac:dyDescent="0.2">
      <c r="A2" t="s">
        <v>1</v>
      </c>
    </row>
    <row r="3" spans="1:1" x14ac:dyDescent="0.2">
      <c r="A3" t="s">
        <v>120</v>
      </c>
    </row>
    <row r="4" spans="1:1" x14ac:dyDescent="0.2">
      <c r="A4" t="s">
        <v>48</v>
      </c>
    </row>
    <row r="5" spans="1:1" x14ac:dyDescent="0.2">
      <c r="A5" t="s">
        <v>47</v>
      </c>
    </row>
    <row r="6" spans="1:1" x14ac:dyDescent="0.2">
      <c r="A6" t="s">
        <v>44</v>
      </c>
    </row>
    <row r="7" spans="1:1" x14ac:dyDescent="0.2">
      <c r="A7" t="s">
        <v>3</v>
      </c>
    </row>
    <row r="8" spans="1:1" x14ac:dyDescent="0.2">
      <c r="A8" t="s">
        <v>30</v>
      </c>
    </row>
    <row r="9" spans="1:1" x14ac:dyDescent="0.2">
      <c r="A9" t="s">
        <v>365</v>
      </c>
    </row>
    <row r="10" spans="1:1" x14ac:dyDescent="0.2">
      <c r="A10" t="s">
        <v>366</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404</v>
      </c>
    </row>
    <row r="17" spans="1:9" x14ac:dyDescent="0.2">
      <c r="A17" t="s">
        <v>405</v>
      </c>
    </row>
    <row r="18" spans="1:9" x14ac:dyDescent="0.2">
      <c r="A18" t="s">
        <v>10</v>
      </c>
    </row>
    <row r="19" spans="1:9" x14ac:dyDescent="0.2">
      <c r="A19" t="s">
        <v>14</v>
      </c>
    </row>
    <row r="20" spans="1:9" x14ac:dyDescent="0.2">
      <c r="A20" t="s">
        <v>122</v>
      </c>
    </row>
    <row r="21" spans="1:9" x14ac:dyDescent="0.2">
      <c r="A21" t="s">
        <v>16</v>
      </c>
    </row>
    <row r="22" spans="1:9" x14ac:dyDescent="0.2">
      <c r="A22" t="s">
        <v>415</v>
      </c>
    </row>
    <row r="23" spans="1:9" x14ac:dyDescent="0.2">
      <c r="A23" t="s">
        <v>406</v>
      </c>
    </row>
    <row r="24" spans="1:9" x14ac:dyDescent="0.2">
      <c r="A24" t="s">
        <v>407</v>
      </c>
    </row>
    <row r="25" spans="1:9" x14ac:dyDescent="0.2">
      <c r="A25" t="s">
        <v>408</v>
      </c>
    </row>
    <row r="26" spans="1:9" x14ac:dyDescent="0.2">
      <c r="A26" t="s">
        <v>409</v>
      </c>
    </row>
    <row r="27" spans="1:9" x14ac:dyDescent="0.2">
      <c r="A27" t="s">
        <v>129</v>
      </c>
    </row>
    <row r="28" spans="1:9" x14ac:dyDescent="0.2">
      <c r="A28" t="s">
        <v>18</v>
      </c>
    </row>
    <row r="29" spans="1:9" x14ac:dyDescent="0.2">
      <c r="A29" t="s">
        <v>417</v>
      </c>
    </row>
    <row r="30" spans="1:9" x14ac:dyDescent="0.2">
      <c r="A30" t="s">
        <v>19</v>
      </c>
    </row>
    <row r="31" spans="1:9" x14ac:dyDescent="0.2">
      <c r="A31" t="s">
        <v>20</v>
      </c>
      <c r="B31" t="s">
        <v>21</v>
      </c>
      <c r="C31" t="s">
        <v>22</v>
      </c>
      <c r="D31" t="s">
        <v>23</v>
      </c>
      <c r="E31" t="s">
        <v>24</v>
      </c>
      <c r="F31" t="s">
        <v>25</v>
      </c>
      <c r="G31" t="s">
        <v>26</v>
      </c>
      <c r="H31" t="s">
        <v>27</v>
      </c>
      <c r="I31" t="s">
        <v>28</v>
      </c>
    </row>
    <row r="32" spans="1:9" x14ac:dyDescent="0.2">
      <c r="A32" t="s">
        <v>49</v>
      </c>
      <c r="B32">
        <v>6</v>
      </c>
      <c r="C32">
        <v>1</v>
      </c>
      <c r="D32">
        <v>2</v>
      </c>
      <c r="E32">
        <v>2</v>
      </c>
      <c r="F32">
        <v>0.82838383689522699</v>
      </c>
      <c r="G32">
        <v>10000</v>
      </c>
      <c r="H32">
        <v>10000</v>
      </c>
      <c r="I32" t="s">
        <v>413</v>
      </c>
    </row>
    <row r="33" spans="1:9" x14ac:dyDescent="0.2">
      <c r="A33" t="s">
        <v>50</v>
      </c>
      <c r="B33">
        <v>24</v>
      </c>
      <c r="C33">
        <v>4</v>
      </c>
      <c r="D33">
        <v>2</v>
      </c>
      <c r="E33">
        <v>2</v>
      </c>
      <c r="F33">
        <v>1.21307155210524</v>
      </c>
      <c r="G33">
        <v>10000</v>
      </c>
      <c r="H33">
        <v>10000</v>
      </c>
      <c r="I33" t="s">
        <v>414</v>
      </c>
    </row>
    <row r="34" spans="1:9" x14ac:dyDescent="0.2">
      <c r="A34" t="s">
        <v>51</v>
      </c>
      <c r="B34">
        <v>48</v>
      </c>
      <c r="C34">
        <v>6</v>
      </c>
      <c r="D34">
        <v>3</v>
      </c>
      <c r="E34">
        <v>3</v>
      </c>
      <c r="F34">
        <v>1.67105035856366</v>
      </c>
      <c r="G34">
        <v>9982</v>
      </c>
      <c r="H34">
        <v>10000</v>
      </c>
      <c r="I34" t="s">
        <v>418</v>
      </c>
    </row>
    <row r="35" spans="1:9" x14ac:dyDescent="0.2">
      <c r="A35" t="s">
        <v>52</v>
      </c>
      <c r="B35">
        <v>84</v>
      </c>
      <c r="C35">
        <v>9</v>
      </c>
      <c r="D35">
        <v>4</v>
      </c>
      <c r="E35">
        <v>4</v>
      </c>
      <c r="F35">
        <v>3.29546856135129</v>
      </c>
      <c r="G35">
        <v>9997</v>
      </c>
      <c r="H35">
        <v>10000</v>
      </c>
      <c r="I35" t="s">
        <v>419</v>
      </c>
    </row>
    <row r="36" spans="1:9" x14ac:dyDescent="0.2">
      <c r="A36" t="s">
        <v>52</v>
      </c>
      <c r="B36">
        <v>84</v>
      </c>
      <c r="C36">
        <v>9</v>
      </c>
      <c r="D36">
        <v>3</v>
      </c>
      <c r="E36">
        <v>3</v>
      </c>
      <c r="F36">
        <v>2.8614557106047802</v>
      </c>
      <c r="G36">
        <v>9978</v>
      </c>
      <c r="H36">
        <v>10000</v>
      </c>
      <c r="I36" t="s">
        <v>420</v>
      </c>
    </row>
    <row r="37" spans="1:9" x14ac:dyDescent="0.2">
      <c r="A37" t="s">
        <v>53</v>
      </c>
      <c r="B37">
        <v>96</v>
      </c>
      <c r="C37">
        <v>10</v>
      </c>
      <c r="D37">
        <v>4</v>
      </c>
      <c r="E37">
        <v>4</v>
      </c>
      <c r="F37">
        <v>3.78560858778655</v>
      </c>
      <c r="G37">
        <v>9995</v>
      </c>
      <c r="H37">
        <v>10000</v>
      </c>
      <c r="I37" t="s">
        <v>421</v>
      </c>
    </row>
    <row r="38" spans="1:9" x14ac:dyDescent="0.2">
      <c r="A38" t="s">
        <v>54</v>
      </c>
      <c r="B38">
        <v>168</v>
      </c>
      <c r="C38">
        <v>16</v>
      </c>
      <c r="D38">
        <v>4</v>
      </c>
      <c r="E38">
        <v>4</v>
      </c>
      <c r="F38">
        <v>8.9902948280796409</v>
      </c>
      <c r="G38">
        <v>9710</v>
      </c>
      <c r="H38">
        <v>10000</v>
      </c>
      <c r="I38" t="s">
        <v>422</v>
      </c>
    </row>
    <row r="39" spans="1:9" x14ac:dyDescent="0.2">
      <c r="A39" t="s">
        <v>54</v>
      </c>
      <c r="B39">
        <v>168</v>
      </c>
      <c r="C39">
        <v>16</v>
      </c>
      <c r="D39">
        <v>4</v>
      </c>
      <c r="E39">
        <v>4</v>
      </c>
      <c r="F39">
        <v>8.9975996483117306</v>
      </c>
      <c r="G39">
        <v>9690</v>
      </c>
      <c r="H39">
        <v>10000</v>
      </c>
      <c r="I39" t="s">
        <v>423</v>
      </c>
    </row>
    <row r="40" spans="1:9" x14ac:dyDescent="0.2">
      <c r="A40" t="s">
        <v>55</v>
      </c>
      <c r="B40">
        <v>180</v>
      </c>
      <c r="C40">
        <v>17</v>
      </c>
      <c r="D40">
        <v>5</v>
      </c>
      <c r="E40">
        <v>5</v>
      </c>
      <c r="F40">
        <v>11.3659241972491</v>
      </c>
      <c r="G40">
        <v>9991</v>
      </c>
      <c r="H40">
        <v>10000</v>
      </c>
      <c r="I40" t="s">
        <v>424</v>
      </c>
    </row>
    <row r="41" spans="1:9" x14ac:dyDescent="0.2">
      <c r="A41" t="s">
        <v>56</v>
      </c>
      <c r="B41">
        <v>252</v>
      </c>
      <c r="C41">
        <v>23</v>
      </c>
      <c r="D41">
        <v>4</v>
      </c>
      <c r="E41">
        <v>4</v>
      </c>
      <c r="F41">
        <v>22.576406178064602</v>
      </c>
      <c r="G41">
        <v>9315</v>
      </c>
      <c r="H41">
        <v>10000</v>
      </c>
      <c r="I41" t="s">
        <v>425</v>
      </c>
    </row>
    <row r="42" spans="1:9" x14ac:dyDescent="0.2">
      <c r="A42" t="s">
        <v>57</v>
      </c>
      <c r="B42">
        <v>360</v>
      </c>
      <c r="C42">
        <v>32</v>
      </c>
      <c r="D42">
        <v>5</v>
      </c>
      <c r="E42">
        <v>5</v>
      </c>
      <c r="F42">
        <v>57.2412102585658</v>
      </c>
      <c r="G42">
        <v>7347</v>
      </c>
      <c r="H42">
        <v>10000</v>
      </c>
      <c r="I42" t="s">
        <v>426</v>
      </c>
    </row>
    <row r="43" spans="1:9" x14ac:dyDescent="0.2">
      <c r="A43" t="s">
        <v>58</v>
      </c>
      <c r="B43">
        <v>384</v>
      </c>
      <c r="C43">
        <v>34</v>
      </c>
      <c r="D43">
        <v>4</v>
      </c>
      <c r="E43">
        <v>4</v>
      </c>
      <c r="F43">
        <v>67.779554600827396</v>
      </c>
      <c r="G43">
        <v>9834</v>
      </c>
      <c r="H43">
        <v>10000</v>
      </c>
      <c r="I43" t="s">
        <v>427</v>
      </c>
    </row>
    <row r="44" spans="1:9" x14ac:dyDescent="0.2">
      <c r="A44" t="s">
        <v>59</v>
      </c>
      <c r="B44">
        <v>504</v>
      </c>
      <c r="C44">
        <v>44</v>
      </c>
      <c r="D44">
        <v>6</v>
      </c>
      <c r="E44">
        <v>6</v>
      </c>
      <c r="F44">
        <v>146.473428504541</v>
      </c>
      <c r="G44">
        <v>9977</v>
      </c>
      <c r="H44">
        <v>10000</v>
      </c>
      <c r="I44" t="s">
        <v>428</v>
      </c>
    </row>
    <row r="45" spans="1:9" x14ac:dyDescent="0.2">
      <c r="A45" t="s">
        <v>59</v>
      </c>
      <c r="B45">
        <v>504</v>
      </c>
      <c r="C45">
        <v>44</v>
      </c>
      <c r="D45">
        <v>6</v>
      </c>
      <c r="E45">
        <v>6</v>
      </c>
      <c r="F45">
        <v>138.24920450802799</v>
      </c>
      <c r="G45">
        <v>9830</v>
      </c>
      <c r="H45">
        <v>10000</v>
      </c>
      <c r="I45" t="s">
        <v>429</v>
      </c>
    </row>
    <row r="46" spans="1:9" x14ac:dyDescent="0.2">
      <c r="A46" t="s">
        <v>60</v>
      </c>
      <c r="B46">
        <v>540</v>
      </c>
      <c r="C46">
        <v>47</v>
      </c>
      <c r="D46">
        <v>5</v>
      </c>
      <c r="E46">
        <v>5</v>
      </c>
      <c r="F46">
        <v>162.68786999955699</v>
      </c>
      <c r="G46">
        <v>9552</v>
      </c>
      <c r="H46">
        <v>10000</v>
      </c>
      <c r="I46" t="s">
        <v>430</v>
      </c>
    </row>
    <row r="47" spans="1:9" x14ac:dyDescent="0.2">
      <c r="A47" t="s">
        <v>61</v>
      </c>
      <c r="B47">
        <v>768</v>
      </c>
      <c r="C47">
        <v>66</v>
      </c>
      <c r="D47">
        <v>6</v>
      </c>
      <c r="E47">
        <v>6</v>
      </c>
      <c r="F47">
        <v>434.15253188926698</v>
      </c>
      <c r="G47">
        <v>7953</v>
      </c>
      <c r="H47">
        <v>10000</v>
      </c>
      <c r="I47" t="s">
        <v>431</v>
      </c>
    </row>
    <row r="48" spans="1:9" x14ac:dyDescent="0.2">
      <c r="A48" t="s">
        <v>62</v>
      </c>
      <c r="B48">
        <v>1008</v>
      </c>
      <c r="C48">
        <v>86</v>
      </c>
      <c r="D48">
        <v>6</v>
      </c>
      <c r="E48">
        <v>6</v>
      </c>
      <c r="F48">
        <v>892.92569443769696</v>
      </c>
      <c r="G48">
        <v>7479</v>
      </c>
      <c r="H48">
        <v>10000</v>
      </c>
      <c r="I48" t="s">
        <v>432</v>
      </c>
    </row>
    <row r="49" spans="1:9" x14ac:dyDescent="0.2">
      <c r="A49" t="s">
        <v>63</v>
      </c>
      <c r="B49">
        <v>1080</v>
      </c>
      <c r="C49">
        <v>92</v>
      </c>
      <c r="D49">
        <v>6</v>
      </c>
      <c r="E49">
        <v>6</v>
      </c>
      <c r="F49">
        <v>1061.9458492705501</v>
      </c>
      <c r="G49">
        <v>8962</v>
      </c>
      <c r="H49">
        <v>10000</v>
      </c>
      <c r="I49" t="s">
        <v>433</v>
      </c>
    </row>
    <row r="50" spans="1:9" x14ac:dyDescent="0.2">
      <c r="A50" t="s">
        <v>63</v>
      </c>
      <c r="B50">
        <v>1080</v>
      </c>
      <c r="C50">
        <v>92</v>
      </c>
      <c r="D50">
        <v>5</v>
      </c>
      <c r="E50">
        <v>5</v>
      </c>
      <c r="F50">
        <v>1049.90728093497</v>
      </c>
      <c r="G50">
        <v>9854</v>
      </c>
      <c r="H50">
        <v>10000</v>
      </c>
      <c r="I50" t="s">
        <v>434</v>
      </c>
    </row>
    <row r="51" spans="1:9" x14ac:dyDescent="0.2">
      <c r="A51" t="s">
        <v>64</v>
      </c>
      <c r="B51">
        <v>1224</v>
      </c>
      <c r="C51">
        <v>104</v>
      </c>
      <c r="D51">
        <v>6</v>
      </c>
      <c r="E51">
        <v>6</v>
      </c>
      <c r="F51">
        <v>1478.33725135028</v>
      </c>
      <c r="G51">
        <v>8171</v>
      </c>
      <c r="H51">
        <v>10000</v>
      </c>
      <c r="I51" t="s">
        <v>435</v>
      </c>
    </row>
    <row r="52" spans="1:9" x14ac:dyDescent="0.2">
      <c r="A52" t="s">
        <v>64</v>
      </c>
      <c r="B52">
        <v>1224</v>
      </c>
      <c r="C52">
        <v>104</v>
      </c>
      <c r="D52">
        <v>6</v>
      </c>
      <c r="E52">
        <v>6</v>
      </c>
      <c r="F52">
        <v>1469.93934776075</v>
      </c>
      <c r="G52">
        <v>9974</v>
      </c>
      <c r="H52">
        <v>10000</v>
      </c>
      <c r="I52" t="s">
        <v>436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25AE3-52BE-C940-9685-9E870C3772EC}">
  <dimension ref="A1:I45"/>
  <sheetViews>
    <sheetView workbookViewId="0"/>
  </sheetViews>
  <sheetFormatPr baseColWidth="10" defaultRowHeight="16" x14ac:dyDescent="0.2"/>
  <sheetData>
    <row r="1" spans="1:1" x14ac:dyDescent="0.2">
      <c r="A1" t="s">
        <v>0</v>
      </c>
    </row>
    <row r="2" spans="1:1" x14ac:dyDescent="0.2">
      <c r="A2" t="s">
        <v>1</v>
      </c>
    </row>
    <row r="3" spans="1:1" x14ac:dyDescent="0.2">
      <c r="A3" s="21" t="s">
        <v>48</v>
      </c>
    </row>
    <row r="4" spans="1:1" x14ac:dyDescent="0.2">
      <c r="A4" t="s">
        <v>47</v>
      </c>
    </row>
    <row r="5" spans="1:1" x14ac:dyDescent="0.2">
      <c r="A5" s="21" t="s">
        <v>45</v>
      </c>
    </row>
    <row r="6" spans="1:1" x14ac:dyDescent="0.2">
      <c r="A6" t="s">
        <v>3</v>
      </c>
    </row>
    <row r="7" spans="1:1" x14ac:dyDescent="0.2">
      <c r="A7" t="s">
        <v>30</v>
      </c>
    </row>
    <row r="8" spans="1:1" x14ac:dyDescent="0.2">
      <c r="A8" s="21"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5" spans="1:1" x14ac:dyDescent="0.2">
      <c r="A15" t="s">
        <v>12</v>
      </c>
    </row>
    <row r="16" spans="1:1" x14ac:dyDescent="0.2">
      <c r="A16" t="s">
        <v>13</v>
      </c>
    </row>
    <row r="17" spans="1:9" x14ac:dyDescent="0.2">
      <c r="A17" t="s">
        <v>14</v>
      </c>
    </row>
    <row r="18" spans="1:9" x14ac:dyDescent="0.2">
      <c r="A18" t="s">
        <v>15</v>
      </c>
    </row>
    <row r="19" spans="1:9" x14ac:dyDescent="0.2">
      <c r="A19" t="s">
        <v>16</v>
      </c>
    </row>
    <row r="20" spans="1:9" x14ac:dyDescent="0.2">
      <c r="A20" t="s">
        <v>129</v>
      </c>
    </row>
    <row r="21" spans="1:9" x14ac:dyDescent="0.2">
      <c r="A21" t="s">
        <v>18</v>
      </c>
    </row>
    <row r="22" spans="1:9" x14ac:dyDescent="0.2">
      <c r="A22" t="s">
        <v>262</v>
      </c>
    </row>
    <row r="23" spans="1:9" x14ac:dyDescent="0.2">
      <c r="A23" t="s">
        <v>19</v>
      </c>
    </row>
    <row r="24" spans="1:9" x14ac:dyDescent="0.2">
      <c r="A24" t="s">
        <v>20</v>
      </c>
      <c r="B24" t="s">
        <v>21</v>
      </c>
      <c r="C24" t="s">
        <v>22</v>
      </c>
      <c r="D24" t="s">
        <v>23</v>
      </c>
      <c r="E24" t="s">
        <v>24</v>
      </c>
      <c r="F24" t="s">
        <v>25</v>
      </c>
      <c r="G24" t="s">
        <v>26</v>
      </c>
      <c r="H24" t="s">
        <v>27</v>
      </c>
      <c r="I24" t="s">
        <v>28</v>
      </c>
    </row>
    <row r="25" spans="1:9" x14ac:dyDescent="0.2">
      <c r="A25" t="s">
        <v>49</v>
      </c>
      <c r="B25">
        <v>6</v>
      </c>
      <c r="C25">
        <v>1</v>
      </c>
      <c r="D25">
        <v>2</v>
      </c>
      <c r="E25">
        <v>2</v>
      </c>
      <c r="F25" s="1">
        <v>3.8446240000098398E-3</v>
      </c>
      <c r="G25">
        <v>2</v>
      </c>
      <c r="H25">
        <v>2</v>
      </c>
      <c r="I25" t="s">
        <v>263</v>
      </c>
    </row>
    <row r="26" spans="1:9" x14ac:dyDescent="0.2">
      <c r="A26" t="s">
        <v>50</v>
      </c>
      <c r="B26">
        <v>24</v>
      </c>
      <c r="C26">
        <v>4</v>
      </c>
      <c r="D26">
        <v>2</v>
      </c>
      <c r="E26">
        <v>2</v>
      </c>
      <c r="F26">
        <v>1.17793640000058E-2</v>
      </c>
      <c r="G26">
        <v>2</v>
      </c>
      <c r="H26">
        <v>2</v>
      </c>
      <c r="I26" t="s">
        <v>264</v>
      </c>
    </row>
    <row r="27" spans="1:9" x14ac:dyDescent="0.2">
      <c r="A27" t="s">
        <v>51</v>
      </c>
      <c r="B27">
        <v>48</v>
      </c>
      <c r="C27">
        <v>6</v>
      </c>
      <c r="D27">
        <v>3</v>
      </c>
      <c r="E27">
        <v>3</v>
      </c>
      <c r="F27">
        <v>1.39780899999948E-2</v>
      </c>
      <c r="G27">
        <v>2</v>
      </c>
      <c r="H27">
        <v>2</v>
      </c>
      <c r="I27" t="s">
        <v>265</v>
      </c>
    </row>
    <row r="28" spans="1:9" x14ac:dyDescent="0.2">
      <c r="A28" t="s">
        <v>52</v>
      </c>
      <c r="B28">
        <v>84</v>
      </c>
      <c r="C28">
        <v>9</v>
      </c>
      <c r="D28">
        <v>4</v>
      </c>
      <c r="E28">
        <v>4</v>
      </c>
      <c r="F28">
        <v>1.7778843999991498E-2</v>
      </c>
      <c r="G28">
        <v>2</v>
      </c>
      <c r="H28">
        <v>2</v>
      </c>
      <c r="I28" t="s">
        <v>266</v>
      </c>
    </row>
    <row r="29" spans="1:9" x14ac:dyDescent="0.2">
      <c r="A29" t="s">
        <v>52</v>
      </c>
      <c r="B29">
        <v>84</v>
      </c>
      <c r="C29">
        <v>9</v>
      </c>
      <c r="D29">
        <v>3</v>
      </c>
      <c r="E29">
        <v>3</v>
      </c>
      <c r="F29">
        <v>1.2168709999997401E-2</v>
      </c>
      <c r="G29">
        <v>2</v>
      </c>
      <c r="H29">
        <v>2</v>
      </c>
      <c r="I29" t="s">
        <v>267</v>
      </c>
    </row>
    <row r="30" spans="1:9" x14ac:dyDescent="0.2">
      <c r="A30" t="s">
        <v>53</v>
      </c>
      <c r="B30">
        <v>96</v>
      </c>
      <c r="C30">
        <v>10</v>
      </c>
      <c r="D30">
        <v>4</v>
      </c>
      <c r="E30">
        <v>4</v>
      </c>
      <c r="F30">
        <v>1.7264983000018198E-2</v>
      </c>
      <c r="G30">
        <v>2</v>
      </c>
      <c r="H30">
        <v>2</v>
      </c>
      <c r="I30" t="s">
        <v>268</v>
      </c>
    </row>
    <row r="31" spans="1:9" x14ac:dyDescent="0.2">
      <c r="A31" t="s">
        <v>54</v>
      </c>
      <c r="B31">
        <v>168</v>
      </c>
      <c r="C31">
        <v>16</v>
      </c>
      <c r="D31">
        <v>4</v>
      </c>
      <c r="E31">
        <v>4</v>
      </c>
      <c r="F31">
        <v>2.6725437999999699E-2</v>
      </c>
      <c r="G31">
        <v>2</v>
      </c>
      <c r="H31">
        <v>2</v>
      </c>
      <c r="I31" t="s">
        <v>269</v>
      </c>
    </row>
    <row r="32" spans="1:9" x14ac:dyDescent="0.2">
      <c r="A32" t="s">
        <v>54</v>
      </c>
      <c r="B32">
        <v>168</v>
      </c>
      <c r="C32">
        <v>16</v>
      </c>
      <c r="D32">
        <v>4</v>
      </c>
      <c r="E32">
        <v>4</v>
      </c>
      <c r="F32">
        <v>2.5544149999973301E-2</v>
      </c>
      <c r="G32">
        <v>2</v>
      </c>
      <c r="H32">
        <v>2</v>
      </c>
      <c r="I32" t="s">
        <v>269</v>
      </c>
    </row>
    <row r="33" spans="1:9" x14ac:dyDescent="0.2">
      <c r="A33" t="s">
        <v>55</v>
      </c>
      <c r="B33">
        <v>180</v>
      </c>
      <c r="C33">
        <v>17</v>
      </c>
      <c r="D33">
        <v>5</v>
      </c>
      <c r="E33">
        <v>5</v>
      </c>
      <c r="F33">
        <v>4.6565043000015197E-2</v>
      </c>
      <c r="G33">
        <v>2</v>
      </c>
      <c r="H33">
        <v>2</v>
      </c>
      <c r="I33" t="s">
        <v>270</v>
      </c>
    </row>
    <row r="34" spans="1:9" x14ac:dyDescent="0.2">
      <c r="A34" t="s">
        <v>56</v>
      </c>
      <c r="B34">
        <v>252</v>
      </c>
      <c r="C34">
        <v>23</v>
      </c>
      <c r="D34">
        <v>4</v>
      </c>
      <c r="E34">
        <v>4</v>
      </c>
      <c r="F34">
        <v>4.2829439999991302E-2</v>
      </c>
      <c r="G34">
        <v>2</v>
      </c>
      <c r="H34">
        <v>2</v>
      </c>
      <c r="I34" t="s">
        <v>271</v>
      </c>
    </row>
    <row r="35" spans="1:9" x14ac:dyDescent="0.2">
      <c r="A35" t="s">
        <v>57</v>
      </c>
      <c r="B35">
        <v>360</v>
      </c>
      <c r="C35">
        <v>32</v>
      </c>
      <c r="D35">
        <v>5</v>
      </c>
      <c r="E35">
        <v>5</v>
      </c>
      <c r="F35">
        <v>9.63967450000211E-2</v>
      </c>
      <c r="G35">
        <v>2</v>
      </c>
      <c r="H35">
        <v>2</v>
      </c>
      <c r="I35" t="s">
        <v>272</v>
      </c>
    </row>
    <row r="36" spans="1:9" x14ac:dyDescent="0.2">
      <c r="A36" t="s">
        <v>58</v>
      </c>
      <c r="B36">
        <v>384</v>
      </c>
      <c r="C36">
        <v>34</v>
      </c>
      <c r="D36">
        <v>4</v>
      </c>
      <c r="E36">
        <v>4</v>
      </c>
      <c r="F36">
        <v>6.5892122999997499E-2</v>
      </c>
      <c r="G36">
        <v>2</v>
      </c>
      <c r="H36">
        <v>2</v>
      </c>
      <c r="I36" t="s">
        <v>273</v>
      </c>
    </row>
    <row r="37" spans="1:9" x14ac:dyDescent="0.2">
      <c r="A37" t="s">
        <v>59</v>
      </c>
      <c r="B37">
        <v>504</v>
      </c>
      <c r="C37">
        <v>44</v>
      </c>
      <c r="D37">
        <v>6</v>
      </c>
      <c r="E37">
        <v>6</v>
      </c>
      <c r="F37">
        <v>0.47035175799999202</v>
      </c>
      <c r="G37">
        <v>2</v>
      </c>
      <c r="H37">
        <v>2</v>
      </c>
      <c r="I37" t="s">
        <v>274</v>
      </c>
    </row>
    <row r="38" spans="1:9" x14ac:dyDescent="0.2">
      <c r="A38" t="s">
        <v>59</v>
      </c>
      <c r="B38">
        <v>504</v>
      </c>
      <c r="C38">
        <v>44</v>
      </c>
      <c r="D38">
        <v>6</v>
      </c>
      <c r="E38">
        <v>6</v>
      </c>
      <c r="F38">
        <v>0.44959687400000797</v>
      </c>
      <c r="G38">
        <v>2</v>
      </c>
      <c r="H38">
        <v>2</v>
      </c>
      <c r="I38" t="s">
        <v>274</v>
      </c>
    </row>
    <row r="39" spans="1:9" x14ac:dyDescent="0.2">
      <c r="A39" t="s">
        <v>60</v>
      </c>
      <c r="B39">
        <v>540</v>
      </c>
      <c r="C39">
        <v>47</v>
      </c>
      <c r="D39">
        <v>5</v>
      </c>
      <c r="E39">
        <v>5</v>
      </c>
      <c r="F39">
        <v>0.15768258800000001</v>
      </c>
      <c r="G39">
        <v>2</v>
      </c>
      <c r="H39">
        <v>2</v>
      </c>
      <c r="I39" t="s">
        <v>275</v>
      </c>
    </row>
    <row r="40" spans="1:9" x14ac:dyDescent="0.2">
      <c r="A40" t="s">
        <v>61</v>
      </c>
      <c r="B40">
        <v>768</v>
      </c>
      <c r="C40">
        <v>66</v>
      </c>
      <c r="D40">
        <v>6</v>
      </c>
      <c r="E40">
        <v>6</v>
      </c>
      <c r="F40">
        <v>0.726240710999974</v>
      </c>
      <c r="G40">
        <v>2</v>
      </c>
      <c r="H40">
        <v>2</v>
      </c>
      <c r="I40" t="s">
        <v>276</v>
      </c>
    </row>
    <row r="41" spans="1:9" x14ac:dyDescent="0.2">
      <c r="A41" t="s">
        <v>62</v>
      </c>
      <c r="B41">
        <v>1008</v>
      </c>
      <c r="C41">
        <v>86</v>
      </c>
      <c r="D41">
        <v>6</v>
      </c>
      <c r="E41">
        <v>6</v>
      </c>
      <c r="F41">
        <v>1.058173764</v>
      </c>
      <c r="G41">
        <v>2</v>
      </c>
      <c r="H41">
        <v>2</v>
      </c>
      <c r="I41" t="s">
        <v>277</v>
      </c>
    </row>
    <row r="42" spans="1:9" x14ac:dyDescent="0.2">
      <c r="A42" t="s">
        <v>63</v>
      </c>
      <c r="B42">
        <v>1080</v>
      </c>
      <c r="C42">
        <v>92</v>
      </c>
      <c r="D42">
        <v>6</v>
      </c>
      <c r="E42">
        <v>6</v>
      </c>
      <c r="F42">
        <v>1.19287032900001</v>
      </c>
      <c r="G42">
        <v>2</v>
      </c>
      <c r="H42">
        <v>2</v>
      </c>
      <c r="I42" t="s">
        <v>278</v>
      </c>
    </row>
    <row r="43" spans="1:9" x14ac:dyDescent="0.2">
      <c r="A43" t="s">
        <v>63</v>
      </c>
      <c r="B43">
        <v>1080</v>
      </c>
      <c r="C43">
        <v>92</v>
      </c>
      <c r="D43">
        <v>5</v>
      </c>
      <c r="E43">
        <v>5</v>
      </c>
      <c r="F43">
        <v>0.43243835600000502</v>
      </c>
      <c r="G43">
        <v>2</v>
      </c>
      <c r="H43">
        <v>2</v>
      </c>
      <c r="I43" t="s">
        <v>279</v>
      </c>
    </row>
    <row r="44" spans="1:9" x14ac:dyDescent="0.2">
      <c r="A44" t="s">
        <v>64</v>
      </c>
      <c r="B44">
        <v>1224</v>
      </c>
      <c r="C44">
        <v>104</v>
      </c>
      <c r="D44">
        <v>6</v>
      </c>
      <c r="E44">
        <v>6</v>
      </c>
      <c r="F44">
        <v>1.25738477499999</v>
      </c>
      <c r="G44">
        <v>2</v>
      </c>
      <c r="H44">
        <v>2</v>
      </c>
      <c r="I44" t="s">
        <v>280</v>
      </c>
    </row>
    <row r="45" spans="1:9" x14ac:dyDescent="0.2">
      <c r="A45" t="s">
        <v>64</v>
      </c>
      <c r="B45">
        <v>1224</v>
      </c>
      <c r="C45">
        <v>104</v>
      </c>
      <c r="D45">
        <v>6</v>
      </c>
      <c r="E45">
        <v>6</v>
      </c>
      <c r="F45">
        <v>1.2739629829999899</v>
      </c>
      <c r="G45">
        <v>2</v>
      </c>
      <c r="H45">
        <v>2</v>
      </c>
      <c r="I45" t="s">
        <v>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analysis</vt:lpstr>
      <vt:lpstr>best</vt:lpstr>
      <vt:lpstr>magma</vt:lpstr>
      <vt:lpstr>CLISAT</vt:lpstr>
      <vt:lpstr>CCStim</vt:lpstr>
      <vt:lpstr>bposd</vt:lpstr>
      <vt:lpstr>m4ri_CC-start1</vt:lpstr>
      <vt:lpstr>m4ri_CC</vt:lpstr>
      <vt:lpstr>m4ri_RW</vt:lpstr>
      <vt:lpstr>GEStim</vt:lpstr>
      <vt:lpstr>Gurobi</vt:lpstr>
      <vt:lpstr>MIP-SCIP</vt:lpstr>
      <vt:lpstr>QDistEvol20260107</vt:lpstr>
      <vt:lpstr>QDistEvol</vt:lpstr>
      <vt:lpstr>QDistRndMW20260106</vt:lpstr>
      <vt:lpstr>QDistRndMW</vt:lpstr>
      <vt:lpstr>UEStim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Webster</dc:creator>
  <cp:lastModifiedBy>Mark Webster</cp:lastModifiedBy>
  <dcterms:created xsi:type="dcterms:W3CDTF">2025-12-23T14:15:23Z</dcterms:created>
  <dcterms:modified xsi:type="dcterms:W3CDTF">2026-02-21T07:03:22Z</dcterms:modified>
</cp:coreProperties>
</file>