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markwebster/Dropbox/QuantumComputing/QEC Projects/distance benchmarking/results 20251223/"/>
    </mc:Choice>
  </mc:AlternateContent>
  <xr:revisionPtr revIDLastSave="0" documentId="13_ncr:1_{A90E83DD-83A4-E941-8D65-2D8C39862A07}" xr6:coauthVersionLast="47" xr6:coauthVersionMax="47" xr10:uidLastSave="{00000000-0000-0000-0000-000000000000}"/>
  <bookViews>
    <workbookView xWindow="140" yWindow="900" windowWidth="14480" windowHeight="17040" xr2:uid="{C3ADB0BE-7A80-7F44-999C-93B5C5D7E48D}"/>
  </bookViews>
  <sheets>
    <sheet name="analysis" sheetId="23" r:id="rId1"/>
    <sheet name="best" sheetId="21" r:id="rId2"/>
    <sheet name="magma" sheetId="16" r:id="rId3"/>
    <sheet name="CLISAT" sheetId="1" r:id="rId4"/>
    <sheet name="CCStim" sheetId="2" r:id="rId5"/>
    <sheet name="bposdO8I10" sheetId="14" r:id="rId6"/>
    <sheet name="bposd" sheetId="3" r:id="rId7"/>
    <sheet name="m4ri_CC-start1" sheetId="4" r:id="rId8"/>
    <sheet name="m4ri_CC" sheetId="19" r:id="rId9"/>
    <sheet name="m4ri_RW" sheetId="5" r:id="rId10"/>
    <sheet name="GEStim" sheetId="6" r:id="rId11"/>
    <sheet name="Gurobi" sheetId="7" r:id="rId12"/>
    <sheet name="MIP-SCIP" sheetId="8" r:id="rId13"/>
    <sheet name="QDistEvol20251226" sheetId="9" r:id="rId14"/>
    <sheet name="QDistEvol" sheetId="24" r:id="rId15"/>
    <sheet name="QDistRndMW20251226" sheetId="10" r:id="rId16"/>
    <sheet name="QDistRndMW" sheetId="25" r:id="rId17"/>
    <sheet name="UEStim" sheetId="11" r:id="rId18"/>
  </sheets>
  <definedNames>
    <definedName name="_xleta.MATCH" hidden="1">#NAME?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G67" i="23" l="1"/>
  <c r="HF67" i="23"/>
  <c r="HD67" i="23"/>
  <c r="HB67" i="23"/>
  <c r="GZ67" i="23"/>
  <c r="HN67" i="23" s="1"/>
  <c r="GY67" i="23"/>
  <c r="HM67" i="23" s="1"/>
  <c r="GX67" i="23"/>
  <c r="HL67" i="23" s="1"/>
  <c r="GW67" i="23"/>
  <c r="HK67" i="23" s="1"/>
  <c r="GV67" i="23"/>
  <c r="HJ67" i="23" s="1"/>
  <c r="GU67" i="23"/>
  <c r="HI67" i="23" s="1"/>
  <c r="GT67" i="23"/>
  <c r="HH67" i="23" s="1"/>
  <c r="GS67" i="23"/>
  <c r="GR67" i="23"/>
  <c r="GQ67" i="23"/>
  <c r="HE67" i="23" s="1"/>
  <c r="GP67" i="23"/>
  <c r="GO67" i="23"/>
  <c r="HC67" i="23" s="1"/>
  <c r="FZ67" i="23"/>
  <c r="DE67" i="23"/>
  <c r="DV67" i="23" s="1"/>
  <c r="EM67" i="23" s="1"/>
  <c r="FD67" i="23" s="1"/>
  <c r="BO67" i="23"/>
  <c r="BN67" i="23"/>
  <c r="CE67" i="23" s="1"/>
  <c r="CV67" i="23" s="1"/>
  <c r="DM67" i="23" s="1"/>
  <c r="ED67" i="23" s="1"/>
  <c r="EU67" i="23" s="1"/>
  <c r="FL67" i="23" s="1"/>
  <c r="BG67" i="23"/>
  <c r="BX67" i="23" s="1"/>
  <c r="CO67" i="23" s="1"/>
  <c r="DF67" i="23" s="1"/>
  <c r="DW67" i="23" s="1"/>
  <c r="EN67" i="23" s="1"/>
  <c r="FE67" i="23" s="1"/>
  <c r="BF67" i="23"/>
  <c r="BW67" i="23" s="1"/>
  <c r="CN67" i="23" s="1"/>
  <c r="AQ67" i="23"/>
  <c r="AZ67" i="23" s="1"/>
  <c r="AP67" i="23"/>
  <c r="AY67" i="23" s="1"/>
  <c r="AO67" i="23"/>
  <c r="AX67" i="23" s="1"/>
  <c r="AN67" i="23"/>
  <c r="AW67" i="23" s="1"/>
  <c r="AM67" i="23"/>
  <c r="AV67" i="23" s="1"/>
  <c r="AG67" i="23"/>
  <c r="AF67" i="23"/>
  <c r="AE67" i="23"/>
  <c r="BM67" i="23" s="1"/>
  <c r="CD67" i="23" s="1"/>
  <c r="CU67" i="23" s="1"/>
  <c r="AD67" i="23"/>
  <c r="BL67" i="23" s="1"/>
  <c r="CC67" i="23" s="1"/>
  <c r="CT67" i="23" s="1"/>
  <c r="DK67" i="23" s="1"/>
  <c r="AC67" i="23"/>
  <c r="BK67" i="23" s="1"/>
  <c r="CB67" i="23" s="1"/>
  <c r="CS67" i="23" s="1"/>
  <c r="AB67" i="23"/>
  <c r="AA67" i="23"/>
  <c r="BI67" i="23" s="1"/>
  <c r="BZ67" i="23" s="1"/>
  <c r="CQ67" i="23" s="1"/>
  <c r="Z67" i="23"/>
  <c r="BH67" i="23" s="1"/>
  <c r="BY67" i="23" s="1"/>
  <c r="CP67" i="23" s="1"/>
  <c r="DG67" i="23" s="1"/>
  <c r="DX67" i="23" s="1"/>
  <c r="EO67" i="23" s="1"/>
  <c r="FF67" i="23" s="1"/>
  <c r="Y67" i="23"/>
  <c r="X67" i="23"/>
  <c r="W67" i="23"/>
  <c r="BE67" i="23" s="1"/>
  <c r="BV67" i="23" s="1"/>
  <c r="CM67" i="23" s="1"/>
  <c r="DD67" i="23" s="1"/>
  <c r="DU67" i="23" s="1"/>
  <c r="EL67" i="23" s="1"/>
  <c r="FC67" i="23" s="1"/>
  <c r="V67" i="23"/>
  <c r="BD67" i="23" s="1"/>
  <c r="BU67" i="23" s="1"/>
  <c r="CL67" i="23" s="1"/>
  <c r="DC67" i="23" s="1"/>
  <c r="DT67" i="23" s="1"/>
  <c r="EK67" i="23" s="1"/>
  <c r="FB67" i="23" s="1"/>
  <c r="FT66" i="23"/>
  <c r="FT65" i="23"/>
  <c r="A55" i="23"/>
  <c r="M54" i="23"/>
  <c r="A54" i="23"/>
  <c r="M53" i="23"/>
  <c r="A53" i="23"/>
  <c r="M52" i="23"/>
  <c r="A52" i="23"/>
  <c r="M51" i="23"/>
  <c r="A51" i="23"/>
  <c r="M50" i="23"/>
  <c r="A50" i="23"/>
  <c r="M49" i="23"/>
  <c r="A49" i="23"/>
  <c r="M48" i="23"/>
  <c r="A48" i="23"/>
  <c r="M47" i="23"/>
  <c r="A47" i="23"/>
  <c r="M46" i="23"/>
  <c r="A46" i="23"/>
  <c r="R45" i="23"/>
  <c r="Q45" i="23" s="1"/>
  <c r="P45" i="23" s="1"/>
  <c r="O45" i="23" s="1"/>
  <c r="N45" i="23" s="1"/>
  <c r="M45" i="23"/>
  <c r="H45" i="23"/>
  <c r="G45" i="23"/>
  <c r="F45" i="23"/>
  <c r="E45" i="23" s="1"/>
  <c r="D45" i="23" s="1"/>
  <c r="C45" i="23" s="1"/>
  <c r="B45" i="23" s="1"/>
  <c r="A45" i="23"/>
  <c r="FX38" i="23"/>
  <c r="FX37" i="23"/>
  <c r="FX36" i="23"/>
  <c r="FX35" i="23"/>
  <c r="FX34" i="23"/>
  <c r="U15" i="23"/>
  <c r="N3" i="23"/>
  <c r="A1" i="23" a="1"/>
  <c r="A1" i="23" s="1"/>
  <c r="B64" i="23"/>
  <c r="DH67" i="23" l="1"/>
  <c r="DL67" i="23"/>
  <c r="DJ67" i="23"/>
  <c r="CF67" i="23"/>
  <c r="CW67" i="23" s="1"/>
  <c r="BJ67" i="23"/>
  <c r="EB67" i="23"/>
  <c r="A77" i="23" a="1"/>
  <c r="B70" i="23" a="1"/>
  <c r="B74" i="23" a="1"/>
  <c r="A72" i="23" a="1"/>
  <c r="B77" i="23" a="1"/>
  <c r="A81" i="23" a="1"/>
  <c r="B78" i="23" a="1"/>
  <c r="B83" i="23" a="1"/>
  <c r="A79" i="23" a="1"/>
  <c r="A73" i="23" a="1"/>
  <c r="A70" i="23" a="1"/>
  <c r="B80" i="23" a="1"/>
  <c r="A80" i="23" a="1"/>
  <c r="B72" i="23" a="1"/>
  <c r="A68" i="23" a="1"/>
  <c r="B76" i="23" a="1"/>
  <c r="B85" i="23" a="1"/>
  <c r="B75" i="23" a="1"/>
  <c r="B68" i="23" a="1"/>
  <c r="A76" i="23" a="1"/>
  <c r="B86" i="23" a="1"/>
  <c r="B84" i="23" a="1"/>
  <c r="A84" i="23" a="1"/>
  <c r="A86" i="23" a="1"/>
  <c r="A82" i="23" a="1"/>
  <c r="A69" i="23" a="1"/>
  <c r="A78" i="23" a="1"/>
  <c r="B69" i="23" a="1"/>
  <c r="A75" i="23" a="1"/>
  <c r="A83" i="23" a="1"/>
  <c r="B73" i="23" a="1"/>
  <c r="A71" i="23" a="1"/>
  <c r="A85" i="23" a="1"/>
  <c r="B71" i="23" a="1"/>
  <c r="B82" i="23" a="1"/>
  <c r="B79" i="23" a="1"/>
  <c r="A74" i="23" a="1"/>
  <c r="B81" i="23" a="1"/>
  <c r="A83" i="23" l="1"/>
  <c r="B69" i="23"/>
  <c r="B82" i="23"/>
  <c r="A70" i="23"/>
  <c r="B85" i="23"/>
  <c r="A68" i="23"/>
  <c r="A76" i="23"/>
  <c r="B72" i="23"/>
  <c r="A69" i="23"/>
  <c r="B83" i="23"/>
  <c r="B86" i="23"/>
  <c r="A78" i="23"/>
  <c r="A77" i="23"/>
  <c r="A79" i="23"/>
  <c r="B71" i="23"/>
  <c r="B70" i="23"/>
  <c r="B76" i="23"/>
  <c r="A81" i="23"/>
  <c r="B79" i="23"/>
  <c r="A75" i="23"/>
  <c r="A85" i="23"/>
  <c r="A72" i="23"/>
  <c r="A82" i="23"/>
  <c r="B73" i="23"/>
  <c r="A71" i="23"/>
  <c r="B78" i="23"/>
  <c r="A84" i="23"/>
  <c r="B81" i="23"/>
  <c r="A74" i="23"/>
  <c r="A80" i="23"/>
  <c r="B75" i="23"/>
  <c r="B68" i="23"/>
  <c r="B77" i="23"/>
  <c r="B74" i="23"/>
  <c r="A73" i="23"/>
  <c r="B80" i="23"/>
  <c r="B84" i="23"/>
  <c r="A86" i="23"/>
  <c r="EA67" i="23"/>
  <c r="DY67" i="23"/>
  <c r="EP67" i="23" s="1"/>
  <c r="FG67" i="23" s="1"/>
  <c r="CA67" i="23"/>
  <c r="CR67" i="23" s="1"/>
  <c r="EC67" i="23"/>
  <c r="DN67" i="23"/>
  <c r="ES67" i="23"/>
  <c r="FJ67" i="23" s="1"/>
  <c r="GN76" i="23" l="1"/>
  <c r="FS76" i="23"/>
  <c r="GN82" i="23"/>
  <c r="FS82" i="23"/>
  <c r="GN69" i="23"/>
  <c r="FS69" i="23"/>
  <c r="GN79" i="23"/>
  <c r="FS79" i="23"/>
  <c r="FS86" i="23"/>
  <c r="GN86" i="23"/>
  <c r="GN85" i="23"/>
  <c r="FS85" i="23"/>
  <c r="EE67" i="23"/>
  <c r="GN75" i="23"/>
  <c r="FS75" i="23"/>
  <c r="ER67" i="23"/>
  <c r="FI67" i="23" s="1"/>
  <c r="GN81" i="23"/>
  <c r="FS81" i="23"/>
  <c r="GN72" i="23"/>
  <c r="FS72" i="23"/>
  <c r="GN74" i="23"/>
  <c r="FS74" i="23"/>
  <c r="GN73" i="23"/>
  <c r="FS73" i="23"/>
  <c r="GN83" i="23"/>
  <c r="FS83" i="23"/>
  <c r="GN70" i="23"/>
  <c r="FS70" i="23"/>
  <c r="GN71" i="23"/>
  <c r="FS71" i="23"/>
  <c r="DI67" i="23"/>
  <c r="GN84" i="23"/>
  <c r="FS84" i="23"/>
  <c r="GN77" i="23"/>
  <c r="FS77" i="23"/>
  <c r="ET67" i="23"/>
  <c r="FK67" i="23" s="1"/>
  <c r="GN80" i="23"/>
  <c r="FS80" i="23"/>
  <c r="GN68" i="23"/>
  <c r="FS68" i="23"/>
  <c r="D3" i="23"/>
  <c r="N4" i="23" s="1"/>
  <c r="F3" i="23"/>
  <c r="GN78" i="23"/>
  <c r="FS78" i="23"/>
  <c r="DZ67" i="23" l="1"/>
  <c r="HB70" i="23"/>
  <c r="FZ70" i="23"/>
  <c r="FZ73" i="23"/>
  <c r="HB73" i="23"/>
  <c r="FZ72" i="23"/>
  <c r="HB72" i="23"/>
  <c r="FZ81" i="23"/>
  <c r="HB81" i="23"/>
  <c r="FZ82" i="23"/>
  <c r="HB82" i="23"/>
  <c r="FZ79" i="23"/>
  <c r="HB79" i="23"/>
  <c r="HB74" i="23"/>
  <c r="FZ74" i="23"/>
  <c r="HB69" i="23"/>
  <c r="FZ69" i="23"/>
  <c r="P4" i="23"/>
  <c r="FZ77" i="23"/>
  <c r="HB77" i="23"/>
  <c r="FZ83" i="23"/>
  <c r="HB83" i="23"/>
  <c r="HB75" i="23"/>
  <c r="FZ75" i="23"/>
  <c r="EV67" i="23"/>
  <c r="FM67" i="23" s="1"/>
  <c r="HB85" i="23"/>
  <c r="FZ85" i="23"/>
  <c r="FZ80" i="23"/>
  <c r="HB80" i="23"/>
  <c r="FZ78" i="23"/>
  <c r="HB78" i="23"/>
  <c r="HB68" i="23"/>
  <c r="FZ68" i="23"/>
  <c r="HB84" i="23"/>
  <c r="FZ84" i="23"/>
  <c r="FZ71" i="23"/>
  <c r="HB71" i="23"/>
  <c r="HB86" i="23"/>
  <c r="FZ86" i="23"/>
  <c r="FZ76" i="23"/>
  <c r="HB76" i="23"/>
  <c r="H68" i="23"/>
  <c r="P75" i="23"/>
  <c r="F74" i="23"/>
  <c r="G70" i="23"/>
  <c r="H70" i="23"/>
  <c r="K85" i="23"/>
  <c r="N77" i="23"/>
  <c r="M76" i="23"/>
  <c r="H84" i="23"/>
  <c r="J68" i="23"/>
  <c r="N76" i="23"/>
  <c r="F86" i="23"/>
  <c r="E75" i="23"/>
  <c r="K79" i="23"/>
  <c r="O86" i="23"/>
  <c r="L73" i="23"/>
  <c r="I75" i="23"/>
  <c r="N78" i="23"/>
  <c r="K70" i="23"/>
  <c r="F78" i="23"/>
  <c r="E79" i="23"/>
  <c r="I78" i="23"/>
  <c r="M78" i="23"/>
  <c r="O83" i="23"/>
  <c r="I70" i="23"/>
  <c r="J85" i="23"/>
  <c r="P81" i="23"/>
  <c r="F82" i="23"/>
  <c r="H72" i="23"/>
  <c r="J84" i="23"/>
  <c r="L81" i="23"/>
  <c r="F76" i="23"/>
  <c r="L76" i="23"/>
  <c r="P74" i="23"/>
  <c r="K74" i="23"/>
  <c r="H78" i="23"/>
  <c r="O79" i="23"/>
  <c r="N71" i="23"/>
  <c r="E72" i="23"/>
  <c r="G73" i="23"/>
  <c r="G78" i="23"/>
  <c r="G82" i="23"/>
  <c r="I68" i="23"/>
  <c r="F75" i="23"/>
  <c r="K80" i="23"/>
  <c r="F70" i="23"/>
  <c r="P76" i="23"/>
  <c r="J73" i="23"/>
  <c r="L82" i="23"/>
  <c r="O77" i="23"/>
  <c r="P82" i="23"/>
  <c r="N82" i="23"/>
  <c r="P69" i="23"/>
  <c r="L79" i="23"/>
  <c r="I84" i="23"/>
  <c r="L74" i="23"/>
  <c r="L75" i="23"/>
  <c r="M74" i="23"/>
  <c r="N81" i="23"/>
  <c r="F83" i="23"/>
  <c r="M72" i="23"/>
  <c r="K78" i="23"/>
  <c r="J79" i="23"/>
  <c r="L86" i="23"/>
  <c r="J74" i="23"/>
  <c r="N72" i="23"/>
  <c r="P79" i="23"/>
  <c r="O76" i="23"/>
  <c r="P80" i="23"/>
  <c r="J82" i="23"/>
  <c r="N75" i="23"/>
  <c r="M75" i="23"/>
  <c r="N70" i="23"/>
  <c r="M82" i="23"/>
  <c r="J72" i="23"/>
  <c r="H85" i="23"/>
  <c r="M69" i="23"/>
  <c r="G81" i="23"/>
  <c r="N80" i="23"/>
  <c r="I81" i="23"/>
  <c r="J77" i="23"/>
  <c r="N68" i="23"/>
  <c r="G80" i="23"/>
  <c r="I74" i="23"/>
  <c r="P84" i="23"/>
  <c r="F81" i="23"/>
  <c r="L69" i="23"/>
  <c r="I85" i="23"/>
  <c r="O78" i="23"/>
  <c r="F68" i="23"/>
  <c r="N86" i="23"/>
  <c r="O72" i="23"/>
  <c r="M73" i="23"/>
  <c r="H73" i="23"/>
  <c r="P78" i="23"/>
  <c r="L80" i="23"/>
  <c r="H74" i="23"/>
  <c r="H69" i="23"/>
  <c r="F77" i="23"/>
  <c r="L68" i="23"/>
  <c r="O80" i="23"/>
  <c r="E73" i="23"/>
  <c r="K75" i="23"/>
  <c r="K81" i="23"/>
  <c r="K84" i="23"/>
  <c r="H81" i="23"/>
  <c r="L71" i="23"/>
  <c r="P85" i="23"/>
  <c r="O70" i="23"/>
  <c r="G83" i="23"/>
  <c r="L72" i="23"/>
  <c r="G79" i="23"/>
  <c r="E84" i="23"/>
  <c r="I77" i="23"/>
  <c r="J81" i="23"/>
  <c r="F80" i="23"/>
  <c r="O73" i="23"/>
  <c r="O81" i="23"/>
  <c r="I86" i="23"/>
  <c r="I73" i="23"/>
  <c r="E74" i="23"/>
  <c r="K69" i="23"/>
  <c r="J75" i="23"/>
  <c r="M83" i="23"/>
  <c r="O75" i="23"/>
  <c r="L77" i="23"/>
  <c r="E76" i="23"/>
  <c r="K76" i="23"/>
  <c r="N69" i="23"/>
  <c r="J80" i="23"/>
  <c r="J71" i="23"/>
  <c r="G72" i="23"/>
  <c r="H80" i="23"/>
  <c r="E70" i="23"/>
  <c r="I83" i="23"/>
  <c r="M85" i="23"/>
  <c r="J83" i="23"/>
  <c r="K73" i="23"/>
  <c r="G85" i="23"/>
  <c r="K68" i="23"/>
  <c r="H86" i="23"/>
  <c r="F71" i="23"/>
  <c r="H82" i="23"/>
  <c r="E85" i="23"/>
  <c r="E81" i="23"/>
  <c r="P70" i="23"/>
  <c r="G71" i="23"/>
  <c r="K77" i="23"/>
  <c r="F85" i="23"/>
  <c r="N74" i="23"/>
  <c r="I72" i="23"/>
  <c r="L78" i="23"/>
  <c r="K83" i="23"/>
  <c r="M71" i="23"/>
  <c r="H71" i="23"/>
  <c r="M81" i="23"/>
  <c r="G74" i="23"/>
  <c r="H76" i="23"/>
  <c r="K82" i="23"/>
  <c r="G69" i="23"/>
  <c r="F79" i="23"/>
  <c r="O84" i="23"/>
  <c r="L70" i="23"/>
  <c r="J86" i="23"/>
  <c r="F72" i="23"/>
  <c r="J76" i="23"/>
  <c r="N85" i="23"/>
  <c r="L85" i="23"/>
  <c r="M68" i="23"/>
  <c r="J78" i="23"/>
  <c r="G76" i="23"/>
  <c r="O85" i="23"/>
  <c r="K71" i="23"/>
  <c r="J69" i="23"/>
  <c r="P68" i="23"/>
  <c r="F84" i="23"/>
  <c r="I76" i="23"/>
  <c r="N79" i="23"/>
  <c r="M79" i="23"/>
  <c r="H75" i="23"/>
  <c r="I79" i="23"/>
  <c r="J70" i="23"/>
  <c r="E71" i="23"/>
  <c r="G75" i="23"/>
  <c r="E86" i="23"/>
  <c r="I71" i="23"/>
  <c r="E68" i="23"/>
  <c r="P72" i="23"/>
  <c r="M86" i="23"/>
  <c r="M84" i="23"/>
  <c r="P73" i="23"/>
  <c r="N84" i="23"/>
  <c r="M80" i="23"/>
  <c r="O68" i="23"/>
  <c r="I69" i="23"/>
  <c r="F73" i="23"/>
  <c r="O82" i="23"/>
  <c r="E80" i="23"/>
  <c r="L83" i="23"/>
  <c r="P83" i="23"/>
  <c r="H77" i="23"/>
  <c r="M77" i="23"/>
  <c r="O71" i="23"/>
  <c r="E69" i="23"/>
  <c r="G86" i="23"/>
  <c r="E83" i="23"/>
  <c r="E82" i="23"/>
  <c r="G84" i="23"/>
  <c r="K72" i="23"/>
  <c r="G68" i="23"/>
  <c r="E77" i="23"/>
  <c r="F69" i="23"/>
  <c r="G77" i="23"/>
  <c r="K86" i="23"/>
  <c r="P86" i="23"/>
  <c r="P77" i="23"/>
  <c r="E78" i="23"/>
  <c r="M70" i="23"/>
  <c r="I80" i="23"/>
  <c r="P71" i="23"/>
  <c r="H83" i="23"/>
  <c r="I82" i="23"/>
  <c r="L84" i="23"/>
  <c r="N83" i="23"/>
  <c r="O74" i="23"/>
  <c r="H79" i="23"/>
  <c r="N73" i="23"/>
  <c r="O69" i="23"/>
  <c r="EQ67" i="23" l="1"/>
  <c r="FH67" i="23" l="1"/>
  <c r="DE77" i="23" l="1" a="1"/>
  <c r="DK72" i="23" a="1"/>
  <c r="FK82" i="23" a="1"/>
  <c r="FC84" i="23" a="1"/>
  <c r="DN73" i="23" a="1"/>
  <c r="AF74" i="23" a="1"/>
  <c r="FL68" i="23" a="1"/>
  <c r="FE84" i="23" a="1"/>
  <c r="AE86" i="23" a="1"/>
  <c r="DI77" i="23" a="1"/>
  <c r="FG85" i="23" a="1"/>
  <c r="FG72" i="23" a="1"/>
  <c r="FM69" i="23" a="1"/>
  <c r="FL82" i="23" a="1"/>
  <c r="AF78" i="23" a="1"/>
  <c r="DK86" i="23" a="1"/>
  <c r="AC80" i="23" a="1"/>
  <c r="Z70" i="23" a="1"/>
  <c r="FC73" i="23" a="1"/>
  <c r="FD74" i="23" a="1"/>
  <c r="DF77" i="23" a="1"/>
  <c r="AC79" i="23" a="1"/>
  <c r="DJ82" i="23" a="1"/>
  <c r="DI69" i="23" a="1"/>
  <c r="DC73" i="23" a="1"/>
  <c r="AA72" i="23" a="1"/>
  <c r="FI83" i="23" a="1"/>
  <c r="FH71" i="23" a="1"/>
  <c r="FJ79" i="23" a="1"/>
  <c r="V70" i="23" a="1"/>
  <c r="DI79" i="23" a="1"/>
  <c r="FB78" i="23" a="1"/>
  <c r="AE76" i="23" a="1"/>
  <c r="FE85" i="23" a="1"/>
  <c r="AG73" i="23" a="1"/>
  <c r="FI74" i="23" a="1"/>
  <c r="FJ71" i="23" a="1"/>
  <c r="DD71" i="23" a="1"/>
  <c r="FJ83" i="23" a="1"/>
  <c r="FJ85" i="23" a="1"/>
  <c r="FM75" i="23" a="1"/>
  <c r="X73" i="23" a="1"/>
  <c r="Z76" i="23" a="1"/>
  <c r="FB69" i="23" a="1"/>
  <c r="FC70" i="23" a="1"/>
  <c r="DN69" i="23" a="1"/>
  <c r="DK77" i="23" a="1"/>
  <c r="W83" i="23" a="1"/>
  <c r="AG76" i="23" a="1"/>
  <c r="DI78" i="23" a="1"/>
  <c r="FM70" i="23" a="1"/>
  <c r="DC77" i="23" a="1"/>
  <c r="AG74" i="23" a="1"/>
  <c r="FD75" i="23" a="1"/>
  <c r="DG78" i="23" a="1"/>
  <c r="AE70" i="23" a="1"/>
  <c r="FC80" i="23" a="1"/>
  <c r="DM79" i="23" a="1"/>
  <c r="DC72" i="23" a="1"/>
  <c r="FC82" i="23" a="1"/>
  <c r="FD80" i="23" a="1"/>
  <c r="AA70" i="23" a="1"/>
  <c r="DK70" i="23" a="1"/>
  <c r="AG82" i="23" a="1"/>
  <c r="DE70" i="23" a="1"/>
  <c r="DD77" i="23" a="1"/>
  <c r="FF69" i="23" a="1"/>
  <c r="FF79" i="23" a="1"/>
  <c r="AB82" i="23" a="1"/>
  <c r="DM84" i="23" a="1"/>
  <c r="FJ84" i="23" a="1"/>
  <c r="FD83" i="23" a="1"/>
  <c r="DH82" i="23" a="1"/>
  <c r="AB85" i="23" a="1"/>
  <c r="DM74" i="23" a="1"/>
  <c r="Z80" i="23" a="1"/>
  <c r="AC72" i="23" a="1"/>
  <c r="FL70" i="23" a="1"/>
  <c r="FC85" i="23" a="1"/>
  <c r="DD72" i="23" a="1"/>
  <c r="DF81" i="23" a="1"/>
  <c r="AD82" i="23" a="1"/>
  <c r="DM69" i="23" a="1"/>
  <c r="FK80" i="23" a="1"/>
  <c r="DG82" i="23" a="1"/>
  <c r="DD85" i="23" a="1"/>
  <c r="AE68" i="23" a="1"/>
  <c r="W74" i="23" a="1"/>
  <c r="AB70" i="23" a="1"/>
  <c r="DJ79" i="23" a="1"/>
  <c r="Y76" i="23" a="1"/>
  <c r="FB70" i="23" a="1"/>
  <c r="AE74" i="23" a="1"/>
  <c r="AA80" i="23" a="1"/>
  <c r="AC81" i="23" a="1"/>
  <c r="DM80" i="23" a="1"/>
  <c r="DD82" i="23" a="1"/>
  <c r="AC74" i="23" a="1"/>
  <c r="DM82" i="23" a="1"/>
  <c r="AD74" i="23" a="1"/>
  <c r="FI82" i="23" a="1"/>
  <c r="DH69" i="23" a="1"/>
  <c r="FH85" i="23" a="1"/>
  <c r="DD70" i="23" a="1"/>
  <c r="DD74" i="23" a="1"/>
  <c r="Z77" i="23" a="1"/>
  <c r="AC75" i="23" a="1"/>
  <c r="DF71" i="23" a="1"/>
  <c r="FH70" i="23" a="1"/>
  <c r="DD68" i="23" a="1"/>
  <c r="DM83" i="23" a="1"/>
  <c r="FI80" i="23" a="1"/>
  <c r="FE83" i="23" a="1"/>
  <c r="AG78" i="23" a="1"/>
  <c r="FL75" i="23" a="1"/>
  <c r="DJ69" i="23" a="1"/>
  <c r="DH83" i="23" a="1"/>
  <c r="V77" i="23" a="1"/>
  <c r="DJ80" i="23" a="1"/>
  <c r="X80" i="23" a="1"/>
  <c r="DJ68" i="23" a="1"/>
  <c r="DI85" i="23" a="1"/>
  <c r="DE84" i="23" a="1"/>
  <c r="DF84" i="23" a="1"/>
  <c r="W73" i="23" a="1"/>
  <c r="DM78" i="23" a="1"/>
  <c r="FK73" i="23" a="1"/>
  <c r="W76" i="23" a="1"/>
  <c r="AB77" i="23" a="1"/>
  <c r="FE80" i="23" a="1"/>
  <c r="DN75" i="23" a="1"/>
  <c r="AA73" i="23" a="1"/>
  <c r="DM72" i="23" a="1"/>
  <c r="AD73" i="23" a="1"/>
  <c r="Z82" i="23" a="1"/>
  <c r="Z83" i="23" a="1"/>
  <c r="FE81" i="23" a="1"/>
  <c r="FD76" i="23" a="1"/>
  <c r="DI84" i="23" a="1"/>
  <c r="DM76" i="23" a="1"/>
  <c r="DE80" i="23" a="1"/>
  <c r="FB83" i="23" a="1"/>
  <c r="FM79" i="23" a="1"/>
  <c r="FL73" i="23" a="1"/>
  <c r="DJ78" i="23" a="1"/>
  <c r="FH77" i="23" a="1"/>
  <c r="V80" i="23" a="1"/>
  <c r="DD75" i="23" a="1"/>
  <c r="X85" i="23" a="1"/>
  <c r="AA76" i="23" a="1"/>
  <c r="Z75" i="23" a="1"/>
  <c r="W69" i="23" a="1"/>
  <c r="AA68" i="23" a="1"/>
  <c r="DK84" i="23" a="1"/>
  <c r="AA85" i="23" a="1"/>
  <c r="FB74" i="23" a="1"/>
  <c r="AF70" i="23" a="1"/>
  <c r="X74" i="23" a="1"/>
  <c r="W72" i="23" a="1"/>
  <c r="AB76" i="23" a="1"/>
  <c r="DH72" i="23" a="1"/>
  <c r="DD73" i="23" a="1"/>
  <c r="DF79" i="23" a="1"/>
  <c r="FK75" i="23" a="1"/>
  <c r="X82" i="23" a="1"/>
  <c r="FM84" i="23" a="1"/>
  <c r="FD86" i="23" a="1"/>
  <c r="Y70" i="23" a="1"/>
  <c r="Y84" i="23" a="1"/>
  <c r="AE69" i="23" a="1"/>
  <c r="AC84" i="23" a="1"/>
  <c r="FG69" i="23" a="1"/>
  <c r="FM76" i="23" a="1"/>
  <c r="DM86" i="23" a="1"/>
  <c r="AG81" i="23" a="1"/>
  <c r="DK79" i="23" a="1"/>
  <c r="AA82" i="23" a="1"/>
  <c r="FK85" i="23" a="1"/>
  <c r="FH83" i="23" a="1"/>
  <c r="DC85" i="23" a="1"/>
  <c r="DL69" i="23" a="1"/>
  <c r="AE75" i="23" a="1"/>
  <c r="AC85" i="23" a="1"/>
  <c r="DI68" i="23" a="1"/>
  <c r="W86" i="23" a="1"/>
  <c r="DH84" i="23" a="1"/>
  <c r="DK82" i="23" a="1"/>
  <c r="DE81" i="23" a="1"/>
  <c r="FD84" i="23" a="1"/>
  <c r="AE85" i="23" a="1"/>
  <c r="DC81" i="23" a="1"/>
  <c r="Y74" i="23" a="1"/>
  <c r="DH76" i="23" a="1"/>
  <c r="AA71" i="23" a="1"/>
  <c r="DD79" i="23" a="1"/>
  <c r="FF70" i="23" a="1"/>
  <c r="Z69" i="23" a="1"/>
  <c r="DL72" i="23" a="1"/>
  <c r="DI80" i="23" a="1"/>
  <c r="DN82" i="23" a="1"/>
  <c r="AD79" i="23" a="1"/>
  <c r="AB75" i="23" a="1"/>
  <c r="Y81" i="23" a="1"/>
  <c r="FI77" i="23" a="1"/>
  <c r="FM71" i="23" a="1"/>
  <c r="FG75" i="23" a="1"/>
  <c r="AC69" i="23" a="1"/>
  <c r="DN84" i="23" a="1"/>
  <c r="FJ78" i="23" a="1"/>
  <c r="DI74" i="23" a="1"/>
  <c r="DF86" i="23" a="1"/>
  <c r="FE74" i="23" a="1"/>
  <c r="DK74" i="23" a="1"/>
  <c r="DL77" i="23" a="1"/>
  <c r="AC71" i="23" a="1"/>
  <c r="DM77" i="23" a="1"/>
  <c r="DF72" i="23" a="1"/>
  <c r="V79" i="23" a="1"/>
  <c r="FE76" i="23" a="1"/>
  <c r="FF78" i="23" a="1"/>
  <c r="AA78" i="23" a="1"/>
  <c r="V74" i="23" a="1"/>
  <c r="AB81" i="23" a="1"/>
  <c r="AD80" i="23" a="1"/>
  <c r="FG77" i="23" a="1"/>
  <c r="FJ74" i="23" a="1"/>
  <c r="V72" i="23" a="1"/>
  <c r="FM82" i="23" a="1"/>
  <c r="FL69" i="23" a="1"/>
  <c r="AG70" i="23" a="1"/>
  <c r="FG80" i="23" a="1"/>
  <c r="AE72" i="23" a="1"/>
  <c r="FG70" i="23" a="1"/>
  <c r="AE79" i="23" a="1"/>
  <c r="AF86" i="23" a="1"/>
  <c r="AC70" i="23" a="1"/>
  <c r="Z86" i="23" a="1"/>
  <c r="DN78" i="23" a="1"/>
  <c r="FB77" i="23" a="1"/>
  <c r="AE71" i="23" a="1"/>
  <c r="DL82" i="23" a="1"/>
  <c r="DI72" i="23" a="1"/>
  <c r="FI69" i="23" a="1"/>
  <c r="FH84" i="23" a="1"/>
  <c r="AF69" i="23" a="1"/>
  <c r="DK81" i="23" a="1"/>
  <c r="DF80" i="23" a="1"/>
  <c r="DL70" i="23" a="1"/>
  <c r="AB79" i="23" a="1"/>
  <c r="DH78" i="23" a="1"/>
  <c r="FJ82" i="23" a="1"/>
  <c r="DF75" i="23" a="1"/>
  <c r="DC75" i="23" a="1"/>
  <c r="FJ80" i="23" a="1"/>
  <c r="V83" i="23" a="1"/>
  <c r="DL68" i="23" a="1"/>
  <c r="DC84" i="23" a="1"/>
  <c r="W71" i="23" a="1"/>
  <c r="Z85" i="23" a="1"/>
  <c r="AC78" i="23" a="1"/>
  <c r="FF85" i="23" a="1"/>
  <c r="FH80" i="23" a="1"/>
  <c r="DI70" i="23" a="1"/>
  <c r="FH75" i="23" a="1"/>
  <c r="DL71" i="23" a="1"/>
  <c r="Z81" i="23" a="1"/>
  <c r="V78" i="23" a="1"/>
  <c r="AD77" i="23" a="1"/>
  <c r="DF69" i="23" a="1"/>
  <c r="FC76" i="23" a="1"/>
  <c r="FD68" i="23" a="1"/>
  <c r="DN83" i="23" a="1"/>
  <c r="FI78" i="23" a="1"/>
  <c r="FG82" i="23" a="1"/>
  <c r="FB72" i="23" a="1"/>
  <c r="DG74" i="23" a="1"/>
  <c r="X79" i="23" a="1"/>
  <c r="AF77" i="23" a="1"/>
  <c r="DN70" i="23" a="1"/>
  <c r="DH75" i="23" a="1"/>
  <c r="FD78" i="23" a="1"/>
  <c r="FF86" i="23" a="1"/>
  <c r="FK74" i="23" a="1"/>
  <c r="W77" i="23" a="1"/>
  <c r="FC69" i="23" a="1"/>
  <c r="FM81" i="23" a="1"/>
  <c r="AG86" i="23" a="1"/>
  <c r="FF71" i="23" a="1"/>
  <c r="FD81" i="23" a="1"/>
  <c r="FC78" i="23" a="1"/>
  <c r="AA77" i="23" a="1"/>
  <c r="DC69" i="23" a="1"/>
  <c r="FH73" i="23" a="1"/>
  <c r="FB79" i="23" a="1"/>
  <c r="FB84" i="23" a="1"/>
  <c r="AE78" i="23" a="1"/>
  <c r="DJ71" i="23" a="1"/>
  <c r="FL74" i="23" a="1"/>
  <c r="W80" i="23" a="1"/>
  <c r="FD70" i="23" a="1"/>
  <c r="AG69" i="23" a="1"/>
  <c r="V76" i="23" a="1"/>
  <c r="AE81" i="23" a="1"/>
  <c r="DH80" i="23" a="1"/>
  <c r="DI73" i="23" a="1"/>
  <c r="FG83" i="23" a="1"/>
  <c r="AA69" i="23" a="1"/>
  <c r="DE71" i="23" a="1"/>
  <c r="AB71" i="23" a="1"/>
  <c r="DI86" i="23" a="1"/>
  <c r="DC68" i="23" a="1"/>
  <c r="FC77" i="23" a="1"/>
  <c r="FM73" i="23" a="1"/>
  <c r="DM70" i="23" a="1"/>
  <c r="V85" i="23" a="1"/>
  <c r="Z78" i="23" a="1"/>
  <c r="DC71" i="23" a="1"/>
  <c r="X71" i="23" a="1"/>
  <c r="DC83" i="23" a="1"/>
  <c r="FM83" i="23" a="1"/>
  <c r="DD80" i="23" a="1"/>
  <c r="DK80" i="23" a="1"/>
  <c r="DK68" i="23" a="1"/>
  <c r="DC86" i="23" a="1"/>
  <c r="DC80" i="23" a="1"/>
  <c r="FK86" i="23" a="1"/>
  <c r="FH76" i="23" a="1"/>
  <c r="DE85" i="23" a="1"/>
  <c r="AF85" i="23" a="1"/>
  <c r="FE70" i="23" a="1"/>
  <c r="DK83" i="23" a="1"/>
  <c r="DJ85" i="23" a="1"/>
  <c r="DH81" i="23" a="1"/>
  <c r="FJ81" i="23" a="1"/>
  <c r="FK68" i="23" a="1"/>
  <c r="FH86" i="23" a="1"/>
  <c r="AG80" i="23" a="1"/>
  <c r="AC77" i="23" a="1"/>
  <c r="DN76" i="23" a="1"/>
  <c r="X86" i="23" a="1"/>
  <c r="AB68" i="23" a="1"/>
  <c r="FI81" i="23" a="1"/>
  <c r="DN86" i="23" a="1"/>
  <c r="DI83" i="23" a="1"/>
  <c r="FB80" i="23" a="1"/>
  <c r="AA86" i="23" a="1"/>
  <c r="DJ72" i="23" a="1"/>
  <c r="DG69" i="23" a="1"/>
  <c r="FK70" i="23" a="1"/>
  <c r="FF84" i="23" a="1"/>
  <c r="FD85" i="23" a="1"/>
  <c r="Y72" i="23" a="1"/>
  <c r="DN71" i="23" a="1"/>
  <c r="X75" i="23" a="1"/>
  <c r="Y86" i="23" a="1"/>
  <c r="FE75" i="23" a="1"/>
  <c r="X78" i="23" a="1"/>
  <c r="X81" i="23" a="1"/>
  <c r="AE77" i="23" a="1"/>
  <c r="X76" i="23" a="1"/>
  <c r="AE84" i="23" a="1"/>
  <c r="DG86" i="23" a="1"/>
  <c r="FH74" i="23" a="1"/>
  <c r="DH68" i="23" a="1"/>
  <c r="AG83" i="23" a="1"/>
  <c r="DN77" i="23" a="1"/>
  <c r="FE82" i="23" a="1"/>
  <c r="DJ77" i="23" a="1"/>
  <c r="DF78" i="23" a="1"/>
  <c r="DG71" i="23" a="1"/>
  <c r="W84" i="23" a="1"/>
  <c r="FK76" i="23" a="1"/>
  <c r="FG73" i="23" a="1"/>
  <c r="FC81" i="23" a="1"/>
  <c r="Z84" i="23" a="1"/>
  <c r="AG68" i="23" a="1"/>
  <c r="FB68" i="23" a="1"/>
  <c r="FC75" i="23" a="1"/>
  <c r="Z68" i="23" a="1"/>
  <c r="DM71" i="23" a="1"/>
  <c r="FK78" i="23" a="1"/>
  <c r="W70" i="23" a="1"/>
  <c r="FF81" i="23" a="1"/>
  <c r="V69" i="23" a="1"/>
  <c r="FE79" i="23" a="1"/>
  <c r="FD69" i="23" a="1"/>
  <c r="DM85" i="23" a="1"/>
  <c r="FK69" i="23" a="1"/>
  <c r="DC70" i="23" a="1"/>
  <c r="DH74" i="23" a="1"/>
  <c r="Z73" i="23" a="1"/>
  <c r="DL74" i="23" a="1"/>
  <c r="AC82" i="23" a="1"/>
  <c r="AB84" i="23" a="1"/>
  <c r="FB86" i="23" a="1"/>
  <c r="DD83" i="23" a="1"/>
  <c r="FG76" i="23" a="1"/>
  <c r="Y71" i="23" a="1"/>
  <c r="AA83" i="23" a="1"/>
  <c r="DJ70" i="23" a="1"/>
  <c r="DJ86" i="23" a="1"/>
  <c r="V68" i="23" a="1"/>
  <c r="DJ83" i="23" a="1"/>
  <c r="Y79" i="23" a="1"/>
  <c r="FI76" i="23" a="1"/>
  <c r="AF79" i="23" a="1"/>
  <c r="DN81" i="23" a="1"/>
  <c r="AF82" i="23" a="1"/>
  <c r="FE73" i="23" a="1"/>
  <c r="Z71" i="23" a="1"/>
  <c r="X84" i="23" a="1"/>
  <c r="V75" i="23" a="1"/>
  <c r="FE69" i="23" a="1"/>
  <c r="DN80" i="23" a="1"/>
  <c r="DH73" i="23" a="1"/>
  <c r="X69" i="23" a="1"/>
  <c r="AB72" i="23" a="1"/>
  <c r="FG68" i="23" a="1"/>
  <c r="FI84" i="23" a="1"/>
  <c r="FD77" i="23" a="1"/>
  <c r="Y83" i="23" a="1"/>
  <c r="DE69" i="23" a="1"/>
  <c r="FM78" i="23" a="1"/>
  <c r="DD78" i="23" a="1"/>
  <c r="FK77" i="23" a="1"/>
  <c r="FJ75" i="23" a="1"/>
  <c r="DD69" i="23" a="1"/>
  <c r="AB86" i="23" a="1"/>
  <c r="FL83" i="23" a="1"/>
  <c r="DI81" i="23" a="1"/>
  <c r="FM86" i="23" a="1"/>
  <c r="Y69" i="23" a="1"/>
  <c r="DF74" i="23" a="1"/>
  <c r="DG77" i="23" a="1"/>
  <c r="AF72" i="23" a="1"/>
  <c r="FJ69" i="23" a="1"/>
  <c r="AF75" i="23" a="1"/>
  <c r="FF68" i="23" a="1"/>
  <c r="DJ75" i="23" a="1"/>
  <c r="FM80" i="23" a="1"/>
  <c r="AD70" i="23" a="1"/>
  <c r="FG74" i="23" a="1"/>
  <c r="W79" i="23" a="1"/>
  <c r="FK83" i="23" a="1"/>
  <c r="FI85" i="23" a="1"/>
  <c r="FF72" i="23" a="1"/>
  <c r="DL86" i="23" a="1"/>
  <c r="DH79" i="23" a="1"/>
  <c r="DG70" i="23" a="1"/>
  <c r="DL85" i="23" a="1"/>
  <c r="AE73" i="23" a="1"/>
  <c r="DG72" i="23" a="1"/>
  <c r="DM75" i="23" a="1"/>
  <c r="FB85" i="23" a="1"/>
  <c r="AA79" i="23" a="1"/>
  <c r="DJ81" i="23" a="1"/>
  <c r="AG71" i="23" a="1"/>
  <c r="FH68" i="23" a="1"/>
  <c r="DE78" i="23" a="1"/>
  <c r="FH82" i="23" a="1"/>
  <c r="AB78" i="23" a="1"/>
  <c r="DE68" i="23" a="1"/>
  <c r="W78" i="23" a="1"/>
  <c r="DK75" i="23" a="1"/>
  <c r="DL78" i="23" a="1"/>
  <c r="DC78" i="23" a="1"/>
  <c r="DE83" i="23" a="1"/>
  <c r="AD78" i="23" a="1"/>
  <c r="DG75" i="23" a="1"/>
  <c r="FG81" i="23" a="1"/>
  <c r="FL84" i="23" a="1"/>
  <c r="DK85" i="23" a="1"/>
  <c r="FL77" i="23" a="1"/>
  <c r="FI75" i="23" a="1"/>
  <c r="AA84" i="23" a="1"/>
  <c r="AE80" i="23" a="1"/>
  <c r="DK76" i="23" a="1"/>
  <c r="FC74" i="23" a="1"/>
  <c r="DG81" i="23" a="1"/>
  <c r="FB82" i="23" a="1"/>
  <c r="FK81" i="23" a="1"/>
  <c r="DE76" i="23" a="1"/>
  <c r="FJ76" i="23" a="1"/>
  <c r="DK71" i="23" a="1"/>
  <c r="FC86" i="23" a="1"/>
  <c r="FI70" i="23" a="1"/>
  <c r="DJ76" i="23" a="1"/>
  <c r="DK78" i="23" a="1"/>
  <c r="FI79" i="23" a="1"/>
  <c r="FF75" i="23" a="1"/>
  <c r="FJ70" i="23" a="1"/>
  <c r="W68" i="23" a="1"/>
  <c r="AB69" i="23" a="1"/>
  <c r="DM68" i="23" a="1"/>
  <c r="FF77" i="23" a="1"/>
  <c r="V81" i="23" a="1"/>
  <c r="AC83" i="23" a="1"/>
  <c r="Y82" i="23" a="1"/>
  <c r="AD75" i="23" a="1"/>
  <c r="DH71" i="23" a="1"/>
  <c r="DF85" i="23" a="1"/>
  <c r="FG86" i="23" a="1"/>
  <c r="FK79" i="23" a="1"/>
  <c r="AD86" i="23" a="1"/>
  <c r="FL81" i="23" a="1"/>
  <c r="DK69" i="23" a="1"/>
  <c r="FL71" i="23" a="1"/>
  <c r="DI82" i="23" a="1"/>
  <c r="AA75" i="23" a="1"/>
  <c r="DM81" i="23" a="1"/>
  <c r="DF82" i="23" a="1"/>
  <c r="FE71" i="23" a="1"/>
  <c r="DG73" i="23" a="1"/>
  <c r="DL75" i="23" a="1"/>
  <c r="FG84" i="23" a="1"/>
  <c r="DF73" i="23" a="1"/>
  <c r="FE72" i="23" a="1"/>
  <c r="DC82" i="23" a="1"/>
  <c r="DH85" i="23" a="1"/>
  <c r="FL76" i="23" a="1"/>
  <c r="AC76" i="23" a="1"/>
  <c r="FG71" i="23" a="1"/>
  <c r="FI72" i="23" a="1"/>
  <c r="V84" i="23" a="1"/>
  <c r="AF73" i="23" a="1"/>
  <c r="X77" i="23" a="1"/>
  <c r="DJ84" i="23" a="1"/>
  <c r="FB81" i="23" a="1"/>
  <c r="DE73" i="23" a="1"/>
  <c r="AF83" i="23" a="1"/>
  <c r="AD83" i="23" a="1"/>
  <c r="DE72" i="23" a="1"/>
  <c r="DG84" i="23" a="1"/>
  <c r="AG75" i="23" a="1"/>
  <c r="FH79" i="23" a="1"/>
  <c r="Z79" i="23" a="1"/>
  <c r="DL76" i="23" a="1"/>
  <c r="AF68" i="23" a="1"/>
  <c r="FB73" i="23" a="1"/>
  <c r="AD76" i="23" a="1"/>
  <c r="FH81" i="23" a="1"/>
  <c r="FK84" i="23" a="1"/>
  <c r="DH86" i="23" a="1"/>
  <c r="DG79" i="23" a="1"/>
  <c r="DN79" i="23" a="1"/>
  <c r="DL80" i="23" a="1"/>
  <c r="FI73" i="23" a="1"/>
  <c r="FL79" i="23" a="1"/>
  <c r="W75" i="23" a="1"/>
  <c r="FC79" i="23" a="1"/>
  <c r="V73" i="23" a="1"/>
  <c r="DC76" i="23" a="1"/>
  <c r="DN72" i="23" a="1"/>
  <c r="AC73" i="23" a="1"/>
  <c r="FH72" i="23" a="1"/>
  <c r="FD72" i="23" a="1"/>
  <c r="AD84" i="23" a="1"/>
  <c r="AC68" i="23" a="1"/>
  <c r="AA74" i="23" a="1"/>
  <c r="DD76" i="23" a="1"/>
  <c r="W82" i="23" a="1"/>
  <c r="AB83" i="23" a="1"/>
  <c r="AC86" i="23" a="1"/>
  <c r="DC79" i="23" a="1"/>
  <c r="AD85" i="23" a="1"/>
  <c r="AG77" i="23" a="1"/>
  <c r="FL80" i="23" a="1"/>
  <c r="FD73" i="23" a="1"/>
  <c r="AG85" i="23" a="1"/>
  <c r="AB74" i="23" a="1"/>
  <c r="AG72" i="23" a="1"/>
  <c r="FI68" i="23" a="1"/>
  <c r="DE82" i="23" a="1"/>
  <c r="AD69" i="23" a="1"/>
  <c r="W85" i="23" a="1"/>
  <c r="FB75" i="23" a="1"/>
  <c r="DN68" i="23" a="1"/>
  <c r="DJ74" i="23" a="1"/>
  <c r="Y80" i="23" a="1"/>
  <c r="FI86" i="23" a="1"/>
  <c r="FE68" i="23" a="1"/>
  <c r="FM77" i="23" a="1"/>
  <c r="DG80" i="23" a="1"/>
  <c r="DG68" i="23" a="1"/>
  <c r="DL79" i="23" a="1"/>
  <c r="FC83" i="23" a="1"/>
  <c r="AB80" i="23" a="1"/>
  <c r="AG79" i="23" a="1"/>
  <c r="DG76" i="23" a="1"/>
  <c r="AE82" i="23" a="1"/>
  <c r="AF80" i="23" a="1"/>
  <c r="AD81" i="23" a="1"/>
  <c r="AF84" i="23" a="1"/>
  <c r="Z72" i="23" a="1"/>
  <c r="V82" i="23" a="1"/>
  <c r="DI75" i="23" a="1"/>
  <c r="DJ73" i="23" a="1"/>
  <c r="FK71" i="23" a="1"/>
  <c r="DK73" i="23" a="1"/>
  <c r="FF80" i="23" a="1"/>
  <c r="V71" i="23" a="1"/>
  <c r="Z74" i="23" a="1"/>
  <c r="FM72" i="23" a="1"/>
  <c r="AD71" i="23" a="1"/>
  <c r="Y78" i="23" a="1"/>
  <c r="DL73" i="23" a="1"/>
  <c r="DF76" i="23" a="1"/>
  <c r="DG85" i="23" a="1"/>
  <c r="V86" i="23" a="1"/>
  <c r="DH70" i="23" a="1"/>
  <c r="FL72" i="23" a="1"/>
  <c r="FM68" i="23" a="1"/>
  <c r="DL83" i="23" a="1"/>
  <c r="FC72" i="23" a="1"/>
  <c r="FC68" i="23" a="1"/>
  <c r="DE86" i="23" a="1"/>
  <c r="DG83" i="23" a="1"/>
  <c r="Y75" i="23" a="1"/>
  <c r="DC74" i="23" a="1"/>
  <c r="FF76" i="23" a="1"/>
  <c r="Y85" i="23" a="1"/>
  <c r="AB73" i="23" a="1"/>
  <c r="FL78" i="23" a="1"/>
  <c r="W81" i="23" a="1"/>
  <c r="FE78" i="23" a="1"/>
  <c r="DD86" i="23" a="1"/>
  <c r="FB71" i="23" a="1"/>
  <c r="FG79" i="23" a="1"/>
  <c r="DM73" i="23" a="1"/>
  <c r="FI71" i="23" a="1"/>
  <c r="FJ68" i="23" a="1"/>
  <c r="FH78" i="23" a="1"/>
  <c r="X68" i="23" a="1"/>
  <c r="FD82" i="23" a="1"/>
  <c r="DE75" i="23" a="1"/>
  <c r="AG84" i="23" a="1"/>
  <c r="FJ86" i="23" a="1"/>
  <c r="DI71" i="23" a="1"/>
  <c r="FF82" i="23" a="1"/>
  <c r="FE77" i="23" a="1"/>
  <c r="DN74" i="23" a="1"/>
  <c r="FE86" i="23" a="1"/>
  <c r="FD71" i="23" a="1"/>
  <c r="FJ72" i="23" a="1"/>
  <c r="AD72" i="23" a="1"/>
  <c r="DD84" i="23" a="1"/>
  <c r="FD79" i="23" a="1"/>
  <c r="AD68" i="23" a="1"/>
  <c r="DF70" i="23" a="1"/>
  <c r="FC71" i="23" a="1"/>
  <c r="DF83" i="23" a="1"/>
  <c r="FH69" i="23" a="1"/>
  <c r="X72" i="23" a="1"/>
  <c r="AF81" i="23" a="1"/>
  <c r="FF83" i="23" a="1"/>
  <c r="DE74" i="23" a="1"/>
  <c r="FG78" i="23" a="1"/>
  <c r="DF68" i="23" a="1"/>
  <c r="FF74" i="23" a="1"/>
  <c r="AF76" i="23" a="1"/>
  <c r="DI76" i="23" a="1"/>
  <c r="FM74" i="23" a="1"/>
  <c r="Y68" i="23" a="1"/>
  <c r="DD81" i="23" a="1"/>
  <c r="FM85" i="23" a="1"/>
  <c r="AE83" i="23" a="1"/>
  <c r="DL84" i="23" a="1"/>
  <c r="FJ73" i="23" a="1"/>
  <c r="Y77" i="23" a="1"/>
  <c r="FJ77" i="23" a="1"/>
  <c r="FF73" i="23" a="1"/>
  <c r="X83" i="23" a="1"/>
  <c r="AA81" i="23" a="1"/>
  <c r="Y73" i="23" a="1"/>
  <c r="FB76" i="23" a="1"/>
  <c r="DN85" i="23" a="1"/>
  <c r="AF71" i="23" a="1"/>
  <c r="DL81" i="23" a="1"/>
  <c r="DE79" i="23" a="1"/>
  <c r="FK72" i="23" a="1"/>
  <c r="X70" i="23" a="1"/>
  <c r="FL85" i="23" a="1"/>
  <c r="DH77" i="23" a="1"/>
  <c r="FL86" i="23" a="1"/>
  <c r="FL86" i="23" l="1"/>
  <c r="DH77" i="23"/>
  <c r="FL85" i="23"/>
  <c r="X70" i="23"/>
  <c r="BF70" i="23" s="1"/>
  <c r="FK72" i="23"/>
  <c r="DE79" i="23"/>
  <c r="AO79" i="23" s="1"/>
  <c r="DL81" i="23"/>
  <c r="AF71" i="23"/>
  <c r="BN71" i="23" s="1"/>
  <c r="DN85" i="23"/>
  <c r="FB76" i="23"/>
  <c r="Y73" i="23"/>
  <c r="BG73" i="23" s="1"/>
  <c r="AA81" i="23"/>
  <c r="BI81" i="23" s="1"/>
  <c r="X83" i="23"/>
  <c r="BF83" i="23" s="1"/>
  <c r="FF73" i="23"/>
  <c r="FJ77" i="23"/>
  <c r="Y77" i="23"/>
  <c r="BG77" i="23" s="1"/>
  <c r="FJ73" i="23"/>
  <c r="DL84" i="23"/>
  <c r="AE83" i="23"/>
  <c r="BM83" i="23" s="1"/>
  <c r="FM85" i="23"/>
  <c r="DD81" i="23"/>
  <c r="AN81" i="23" s="1"/>
  <c r="Y68" i="23"/>
  <c r="BG68" i="23" s="1"/>
  <c r="FM74" i="23"/>
  <c r="DI76" i="23"/>
  <c r="FT76" i="23" s="1"/>
  <c r="AF76" i="23"/>
  <c r="BN76" i="23" s="1"/>
  <c r="FF74" i="23"/>
  <c r="DF68" i="23"/>
  <c r="FG78" i="23"/>
  <c r="DE74" i="23"/>
  <c r="AO74" i="23" s="1"/>
  <c r="FF83" i="23"/>
  <c r="AF81" i="23"/>
  <c r="BN81" i="23" s="1"/>
  <c r="X72" i="23"/>
  <c r="BF72" i="23" s="1"/>
  <c r="FH69" i="23"/>
  <c r="DF83" i="23"/>
  <c r="AP83" i="23" s="1"/>
  <c r="FC71" i="23"/>
  <c r="DF70" i="23"/>
  <c r="AD68" i="23"/>
  <c r="BL68" i="23" s="1"/>
  <c r="FD79" i="23"/>
  <c r="DD84" i="23"/>
  <c r="AN84" i="23" s="1"/>
  <c r="AD72" i="23"/>
  <c r="BL72" i="23" s="1"/>
  <c r="FJ72" i="23"/>
  <c r="FD71" i="23"/>
  <c r="FE86" i="23"/>
  <c r="DN74" i="23"/>
  <c r="FE77" i="23"/>
  <c r="FF82" i="23"/>
  <c r="DI71" i="23"/>
  <c r="FT71" i="23" s="1"/>
  <c r="FJ86" i="23"/>
  <c r="AG84" i="23"/>
  <c r="BO84" i="23" s="1"/>
  <c r="DE75" i="23"/>
  <c r="AO75" i="23" s="1"/>
  <c r="FD82" i="23"/>
  <c r="X68" i="23"/>
  <c r="BF68" i="23" s="1"/>
  <c r="FH78" i="23"/>
  <c r="FJ68" i="23"/>
  <c r="FI71" i="23"/>
  <c r="DM73" i="23"/>
  <c r="FG79" i="23"/>
  <c r="FB71" i="23"/>
  <c r="DD86" i="23"/>
  <c r="AN86" i="23" s="1"/>
  <c r="FE78" i="23"/>
  <c r="W81" i="23"/>
  <c r="BE81" i="23" s="1"/>
  <c r="FL78" i="23"/>
  <c r="AB73" i="23"/>
  <c r="BJ73" i="23" s="1"/>
  <c r="Y85" i="23"/>
  <c r="BG85" i="23" s="1"/>
  <c r="FF76" i="23"/>
  <c r="DC74" i="23"/>
  <c r="AM74" i="23" s="1"/>
  <c r="Y75" i="23"/>
  <c r="BG75" i="23" s="1"/>
  <c r="DG83" i="23"/>
  <c r="AQ83" i="23" s="1"/>
  <c r="DE86" i="23"/>
  <c r="AO86" i="23" s="1"/>
  <c r="FC68" i="23"/>
  <c r="FC72" i="23"/>
  <c r="DL83" i="23"/>
  <c r="FM68" i="23"/>
  <c r="FL72" i="23"/>
  <c r="DH70" i="23"/>
  <c r="V86" i="23"/>
  <c r="BD86" i="23" s="1"/>
  <c r="DG85" i="23"/>
  <c r="AQ85" i="23" s="1"/>
  <c r="DF76" i="23"/>
  <c r="AP76" i="23" s="1"/>
  <c r="DL73" i="23"/>
  <c r="Y78" i="23"/>
  <c r="BG78" i="23" s="1"/>
  <c r="AD71" i="23"/>
  <c r="BL71" i="23" s="1"/>
  <c r="FM72" i="23"/>
  <c r="Z74" i="23"/>
  <c r="BH74" i="23" s="1"/>
  <c r="V71" i="23"/>
  <c r="BD71" i="23" s="1"/>
  <c r="FF80" i="23"/>
  <c r="DK73" i="23"/>
  <c r="FK71" i="23"/>
  <c r="DJ73" i="23"/>
  <c r="DI75" i="23"/>
  <c r="FT75" i="23" s="1"/>
  <c r="V82" i="23"/>
  <c r="BD82" i="23" s="1"/>
  <c r="Z72" i="23"/>
  <c r="BH72" i="23" s="1"/>
  <c r="AF84" i="23"/>
  <c r="BN84" i="23" s="1"/>
  <c r="AD81" i="23"/>
  <c r="BL81" i="23" s="1"/>
  <c r="AF80" i="23"/>
  <c r="BN80" i="23" s="1"/>
  <c r="AE82" i="23"/>
  <c r="BM82" i="23" s="1"/>
  <c r="DG76" i="23"/>
  <c r="AG79" i="23"/>
  <c r="BO79" i="23" s="1"/>
  <c r="AB80" i="23"/>
  <c r="BJ80" i="23" s="1"/>
  <c r="FC83" i="23"/>
  <c r="DL79" i="23"/>
  <c r="DG68" i="23"/>
  <c r="DG80" i="23"/>
  <c r="AQ80" i="23" s="1"/>
  <c r="FM77" i="23"/>
  <c r="FE68" i="23"/>
  <c r="FI86" i="23"/>
  <c r="Y80" i="23"/>
  <c r="BG80" i="23" s="1"/>
  <c r="DJ74" i="23"/>
  <c r="DN68" i="23"/>
  <c r="FB75" i="23"/>
  <c r="W85" i="23"/>
  <c r="BE85" i="23" s="1"/>
  <c r="AD69" i="23"/>
  <c r="BL69" i="23" s="1"/>
  <c r="DE82" i="23"/>
  <c r="AO82" i="23" s="1"/>
  <c r="FI68" i="23"/>
  <c r="AG72" i="23"/>
  <c r="BO72" i="23" s="1"/>
  <c r="AB74" i="23"/>
  <c r="BJ74" i="23" s="1"/>
  <c r="AG85" i="23"/>
  <c r="BO85" i="23" s="1"/>
  <c r="FD73" i="23"/>
  <c r="FL80" i="23"/>
  <c r="AG77" i="23"/>
  <c r="BO77" i="23" s="1"/>
  <c r="AD85" i="23"/>
  <c r="BL85" i="23" s="1"/>
  <c r="DC79" i="23"/>
  <c r="AM79" i="23" s="1"/>
  <c r="AC86" i="23"/>
  <c r="BK86" i="23" s="1"/>
  <c r="AB83" i="23"/>
  <c r="BJ83" i="23" s="1"/>
  <c r="W82" i="23"/>
  <c r="BE82" i="23" s="1"/>
  <c r="DD76" i="23"/>
  <c r="AN76" i="23" s="1"/>
  <c r="AA74" i="23"/>
  <c r="BI74" i="23" s="1"/>
  <c r="AC68" i="23"/>
  <c r="BK68" i="23" s="1"/>
  <c r="AD84" i="23"/>
  <c r="BL84" i="23" s="1"/>
  <c r="FD72" i="23"/>
  <c r="FH72" i="23"/>
  <c r="AC73" i="23"/>
  <c r="BK73" i="23" s="1"/>
  <c r="DN72" i="23"/>
  <c r="DC76" i="23"/>
  <c r="AM76" i="23" s="1"/>
  <c r="V73" i="23"/>
  <c r="BD73" i="23" s="1"/>
  <c r="FC79" i="23"/>
  <c r="W75" i="23"/>
  <c r="BE75" i="23" s="1"/>
  <c r="FL79" i="23"/>
  <c r="FI73" i="23"/>
  <c r="DL80" i="23"/>
  <c r="DN79" i="23"/>
  <c r="DG79" i="23"/>
  <c r="AQ79" i="23" s="1"/>
  <c r="DH86" i="23"/>
  <c r="FK84" i="23"/>
  <c r="FH81" i="23"/>
  <c r="AD76" i="23"/>
  <c r="BL76" i="23" s="1"/>
  <c r="FB73" i="23"/>
  <c r="AF68" i="23"/>
  <c r="BN68" i="23" s="1"/>
  <c r="DL76" i="23"/>
  <c r="Z79" i="23"/>
  <c r="BH79" i="23" s="1"/>
  <c r="FH79" i="23"/>
  <c r="AG75" i="23"/>
  <c r="BO75" i="23" s="1"/>
  <c r="DG84" i="23"/>
  <c r="AQ84" i="23" s="1"/>
  <c r="DE72" i="23"/>
  <c r="AD83" i="23"/>
  <c r="BL83" i="23" s="1"/>
  <c r="AF83" i="23"/>
  <c r="BN83" i="23" s="1"/>
  <c r="DE73" i="23"/>
  <c r="AO73" i="23" s="1"/>
  <c r="FB81" i="23"/>
  <c r="DJ84" i="23"/>
  <c r="X77" i="23"/>
  <c r="BF77" i="23" s="1"/>
  <c r="AF73" i="23"/>
  <c r="BN73" i="23" s="1"/>
  <c r="V84" i="23"/>
  <c r="BD84" i="23" s="1"/>
  <c r="FI72" i="23"/>
  <c r="FG71" i="23"/>
  <c r="AC76" i="23"/>
  <c r="BK76" i="23" s="1"/>
  <c r="FL76" i="23"/>
  <c r="DH85" i="23"/>
  <c r="DC82" i="23"/>
  <c r="AM82" i="23" s="1"/>
  <c r="FE72" i="23"/>
  <c r="DF73" i="23"/>
  <c r="AP73" i="23" s="1"/>
  <c r="FG84" i="23"/>
  <c r="DL75" i="23"/>
  <c r="DG73" i="23"/>
  <c r="FE71" i="23"/>
  <c r="DF82" i="23"/>
  <c r="AP82" i="23" s="1"/>
  <c r="DM81" i="23"/>
  <c r="AA75" i="23"/>
  <c r="BI75" i="23" s="1"/>
  <c r="DI82" i="23"/>
  <c r="FT82" i="23" s="1"/>
  <c r="FL71" i="23"/>
  <c r="DK69" i="23"/>
  <c r="FL81" i="23"/>
  <c r="AD86" i="23"/>
  <c r="BL86" i="23" s="1"/>
  <c r="FK79" i="23"/>
  <c r="FG86" i="23"/>
  <c r="DF85" i="23"/>
  <c r="AP85" i="23" s="1"/>
  <c r="DH71" i="23"/>
  <c r="AD75" i="23"/>
  <c r="BL75" i="23" s="1"/>
  <c r="Y82" i="23"/>
  <c r="BG82" i="23" s="1"/>
  <c r="AC83" i="23"/>
  <c r="BK83" i="23" s="1"/>
  <c r="V81" i="23"/>
  <c r="BD81" i="23" s="1"/>
  <c r="FF77" i="23"/>
  <c r="DM68" i="23"/>
  <c r="AB69" i="23"/>
  <c r="BJ69" i="23" s="1"/>
  <c r="W68" i="23"/>
  <c r="BE68" i="23" s="1"/>
  <c r="FJ70" i="23"/>
  <c r="FF75" i="23"/>
  <c r="FI79" i="23"/>
  <c r="DK78" i="23"/>
  <c r="DJ76" i="23"/>
  <c r="FI70" i="23"/>
  <c r="FC86" i="23"/>
  <c r="DK71" i="23"/>
  <c r="FJ76" i="23"/>
  <c r="DE76" i="23"/>
  <c r="AO76" i="23" s="1"/>
  <c r="FK81" i="23"/>
  <c r="FB82" i="23"/>
  <c r="DG81" i="23"/>
  <c r="AQ81" i="23" s="1"/>
  <c r="FC74" i="23"/>
  <c r="DK76" i="23"/>
  <c r="AE80" i="23"/>
  <c r="BM80" i="23" s="1"/>
  <c r="AA84" i="23"/>
  <c r="BI84" i="23" s="1"/>
  <c r="FI75" i="23"/>
  <c r="FL77" i="23"/>
  <c r="DK85" i="23"/>
  <c r="FL84" i="23"/>
  <c r="FG81" i="23"/>
  <c r="DG75" i="23"/>
  <c r="AD78" i="23"/>
  <c r="BL78" i="23" s="1"/>
  <c r="DE83" i="23"/>
  <c r="AO83" i="23" s="1"/>
  <c r="DC78" i="23"/>
  <c r="AM78" i="23" s="1"/>
  <c r="DL78" i="23"/>
  <c r="DK75" i="23"/>
  <c r="W78" i="23"/>
  <c r="BE78" i="23" s="1"/>
  <c r="DE68" i="23"/>
  <c r="AB78" i="23"/>
  <c r="BJ78" i="23" s="1"/>
  <c r="FH82" i="23"/>
  <c r="DE78" i="23"/>
  <c r="AO78" i="23" s="1"/>
  <c r="FH68" i="23"/>
  <c r="AG71" i="23"/>
  <c r="BO71" i="23" s="1"/>
  <c r="DJ81" i="23"/>
  <c r="AA79" i="23"/>
  <c r="BI79" i="23" s="1"/>
  <c r="FB85" i="23"/>
  <c r="DM75" i="23"/>
  <c r="DG72" i="23"/>
  <c r="AQ72" i="23" s="1"/>
  <c r="AE73" i="23"/>
  <c r="BM73" i="23" s="1"/>
  <c r="DL85" i="23"/>
  <c r="DG70" i="23"/>
  <c r="AQ70" i="23" s="1"/>
  <c r="DH79" i="23"/>
  <c r="DL86" i="23"/>
  <c r="FF72" i="23"/>
  <c r="FI85" i="23"/>
  <c r="FK83" i="23"/>
  <c r="W79" i="23"/>
  <c r="BE79" i="23" s="1"/>
  <c r="FG74" i="23"/>
  <c r="AD70" i="23"/>
  <c r="BL70" i="23" s="1"/>
  <c r="FM80" i="23"/>
  <c r="DJ75" i="23"/>
  <c r="FF68" i="23"/>
  <c r="AF75" i="23"/>
  <c r="BN75" i="23" s="1"/>
  <c r="FJ69" i="23"/>
  <c r="AF72" i="23"/>
  <c r="BN72" i="23" s="1"/>
  <c r="DG77" i="23"/>
  <c r="AQ77" i="23" s="1"/>
  <c r="DF74" i="23"/>
  <c r="AP74" i="23" s="1"/>
  <c r="Y69" i="23"/>
  <c r="BG69" i="23" s="1"/>
  <c r="FM86" i="23"/>
  <c r="DI81" i="23"/>
  <c r="FT81" i="23" s="1"/>
  <c r="FL83" i="23"/>
  <c r="AB86" i="23"/>
  <c r="BJ86" i="23" s="1"/>
  <c r="DD69" i="23"/>
  <c r="FJ75" i="23"/>
  <c r="FK77" i="23"/>
  <c r="DD78" i="23"/>
  <c r="AN78" i="23" s="1"/>
  <c r="FM78" i="23"/>
  <c r="DE69" i="23"/>
  <c r="AO69" i="23" s="1"/>
  <c r="Y83" i="23"/>
  <c r="BG83" i="23" s="1"/>
  <c r="FD77" i="23"/>
  <c r="FI84" i="23"/>
  <c r="FG68" i="23"/>
  <c r="AB72" i="23"/>
  <c r="BJ72" i="23" s="1"/>
  <c r="X69" i="23"/>
  <c r="BF69" i="23" s="1"/>
  <c r="DH73" i="23"/>
  <c r="DN80" i="23"/>
  <c r="FE69" i="23"/>
  <c r="V75" i="23"/>
  <c r="BD75" i="23" s="1"/>
  <c r="X84" i="23"/>
  <c r="BF84" i="23" s="1"/>
  <c r="Z71" i="23"/>
  <c r="BH71" i="23" s="1"/>
  <c r="FE73" i="23"/>
  <c r="AF82" i="23"/>
  <c r="BN82" i="23" s="1"/>
  <c r="DN81" i="23"/>
  <c r="AF79" i="23"/>
  <c r="BN79" i="23" s="1"/>
  <c r="FI76" i="23"/>
  <c r="Y79" i="23"/>
  <c r="BG79" i="23" s="1"/>
  <c r="DJ83" i="23"/>
  <c r="V68" i="23"/>
  <c r="BD68" i="23" s="1"/>
  <c r="DJ86" i="23"/>
  <c r="DJ70" i="23"/>
  <c r="AA83" i="23"/>
  <c r="BI83" i="23" s="1"/>
  <c r="Y71" i="23"/>
  <c r="BG71" i="23" s="1"/>
  <c r="FG76" i="23"/>
  <c r="DD83" i="23"/>
  <c r="AN83" i="23" s="1"/>
  <c r="FB86" i="23"/>
  <c r="AB84" i="23"/>
  <c r="BJ84" i="23" s="1"/>
  <c r="AC82" i="23"/>
  <c r="BK82" i="23" s="1"/>
  <c r="DL74" i="23"/>
  <c r="Z73" i="23"/>
  <c r="BH73" i="23" s="1"/>
  <c r="DH74" i="23"/>
  <c r="DC70" i="23"/>
  <c r="FK69" i="23"/>
  <c r="DM85" i="23"/>
  <c r="FD69" i="23"/>
  <c r="FE79" i="23"/>
  <c r="V69" i="23"/>
  <c r="BD69" i="23" s="1"/>
  <c r="FF81" i="23"/>
  <c r="W70" i="23"/>
  <c r="BE70" i="23" s="1"/>
  <c r="FK78" i="23"/>
  <c r="DM71" i="23"/>
  <c r="Z68" i="23"/>
  <c r="BH68" i="23" s="1"/>
  <c r="FC75" i="23"/>
  <c r="FB68" i="23"/>
  <c r="AG68" i="23"/>
  <c r="BO68" i="23" s="1"/>
  <c r="Z84" i="23"/>
  <c r="BH84" i="23" s="1"/>
  <c r="FC81" i="23"/>
  <c r="FG73" i="23"/>
  <c r="FK76" i="23"/>
  <c r="W84" i="23"/>
  <c r="BE84" i="23" s="1"/>
  <c r="DG71" i="23"/>
  <c r="AQ71" i="23" s="1"/>
  <c r="DF78" i="23"/>
  <c r="AP78" i="23" s="1"/>
  <c r="DJ77" i="23"/>
  <c r="FE82" i="23"/>
  <c r="DN77" i="23"/>
  <c r="AG83" i="23"/>
  <c r="BO83" i="23" s="1"/>
  <c r="DH68" i="23"/>
  <c r="FH74" i="23"/>
  <c r="DG86" i="23"/>
  <c r="AQ86" i="23" s="1"/>
  <c r="AE84" i="23"/>
  <c r="BM84" i="23" s="1"/>
  <c r="X76" i="23"/>
  <c r="BF76" i="23" s="1"/>
  <c r="AE77" i="23"/>
  <c r="BM77" i="23" s="1"/>
  <c r="X81" i="23"/>
  <c r="BF81" i="23" s="1"/>
  <c r="X78" i="23"/>
  <c r="BF78" i="23" s="1"/>
  <c r="FE75" i="23"/>
  <c r="Y86" i="23"/>
  <c r="BG86" i="23" s="1"/>
  <c r="X75" i="23"/>
  <c r="BF75" i="23" s="1"/>
  <c r="DN71" i="23"/>
  <c r="Y72" i="23"/>
  <c r="BG72" i="23" s="1"/>
  <c r="FD85" i="23"/>
  <c r="FF84" i="23"/>
  <c r="FK70" i="23"/>
  <c r="DG69" i="23"/>
  <c r="DJ72" i="23"/>
  <c r="AA86" i="23"/>
  <c r="BI86" i="23" s="1"/>
  <c r="FB80" i="23"/>
  <c r="DI83" i="23"/>
  <c r="FT83" i="23" s="1"/>
  <c r="DN86" i="23"/>
  <c r="FI81" i="23"/>
  <c r="AB68" i="23"/>
  <c r="X86" i="23"/>
  <c r="BF86" i="23" s="1"/>
  <c r="DN76" i="23"/>
  <c r="AC77" i="23"/>
  <c r="BK77" i="23" s="1"/>
  <c r="AG80" i="23"/>
  <c r="BO80" i="23" s="1"/>
  <c r="FH86" i="23"/>
  <c r="FK68" i="23"/>
  <c r="FJ81" i="23"/>
  <c r="DH81" i="23"/>
  <c r="DJ85" i="23"/>
  <c r="DK83" i="23"/>
  <c r="FE70" i="23"/>
  <c r="AF85" i="23"/>
  <c r="BN85" i="23" s="1"/>
  <c r="DE85" i="23"/>
  <c r="AO85" i="23" s="1"/>
  <c r="FH76" i="23"/>
  <c r="FK86" i="23"/>
  <c r="DC80" i="23"/>
  <c r="AM80" i="23" s="1"/>
  <c r="DC86" i="23"/>
  <c r="AM86" i="23" s="1"/>
  <c r="DK68" i="23"/>
  <c r="DK80" i="23"/>
  <c r="DD80" i="23"/>
  <c r="AN80" i="23" s="1"/>
  <c r="FM83" i="23"/>
  <c r="DC83" i="23"/>
  <c r="AM83" i="23" s="1"/>
  <c r="X71" i="23"/>
  <c r="BF71" i="23" s="1"/>
  <c r="DC71" i="23"/>
  <c r="Z78" i="23"/>
  <c r="BH78" i="23" s="1"/>
  <c r="V85" i="23"/>
  <c r="BD85" i="23" s="1"/>
  <c r="DM70" i="23"/>
  <c r="FM73" i="23"/>
  <c r="FC77" i="23"/>
  <c r="DC68" i="23"/>
  <c r="DI86" i="23"/>
  <c r="FT86" i="23" s="1"/>
  <c r="AB71" i="23"/>
  <c r="BJ71" i="23" s="1"/>
  <c r="DE71" i="23"/>
  <c r="AA69" i="23"/>
  <c r="BI69" i="23" s="1"/>
  <c r="FG83" i="23"/>
  <c r="DI73" i="23"/>
  <c r="FT73" i="23" s="1"/>
  <c r="DH80" i="23"/>
  <c r="AE81" i="23"/>
  <c r="BM81" i="23" s="1"/>
  <c r="V76" i="23"/>
  <c r="BD76" i="23" s="1"/>
  <c r="AG69" i="23"/>
  <c r="BO69" i="23" s="1"/>
  <c r="FD70" i="23"/>
  <c r="W80" i="23"/>
  <c r="BE80" i="23" s="1"/>
  <c r="FL74" i="23"/>
  <c r="DJ71" i="23"/>
  <c r="AE78" i="23"/>
  <c r="BM78" i="23" s="1"/>
  <c r="FB84" i="23"/>
  <c r="FB79" i="23"/>
  <c r="FH73" i="23"/>
  <c r="DC69" i="23"/>
  <c r="AA77" i="23"/>
  <c r="BI77" i="23" s="1"/>
  <c r="FC78" i="23"/>
  <c r="FD81" i="23"/>
  <c r="FF71" i="23"/>
  <c r="AG86" i="23"/>
  <c r="BO86" i="23" s="1"/>
  <c r="FM81" i="23"/>
  <c r="FC69" i="23"/>
  <c r="W77" i="23"/>
  <c r="BE77" i="23" s="1"/>
  <c r="FK74" i="23"/>
  <c r="FF86" i="23"/>
  <c r="FD78" i="23"/>
  <c r="DH75" i="23"/>
  <c r="DN70" i="23"/>
  <c r="AF77" i="23"/>
  <c r="BN77" i="23" s="1"/>
  <c r="X79" i="23"/>
  <c r="BF79" i="23" s="1"/>
  <c r="DG74" i="23"/>
  <c r="AQ74" i="23" s="1"/>
  <c r="FB72" i="23"/>
  <c r="FG82" i="23"/>
  <c r="FI78" i="23"/>
  <c r="DN83" i="23"/>
  <c r="FD68" i="23"/>
  <c r="FC76" i="23"/>
  <c r="DF69" i="23"/>
  <c r="AD77" i="23"/>
  <c r="BL77" i="23" s="1"/>
  <c r="V78" i="23"/>
  <c r="BD78" i="23" s="1"/>
  <c r="Z81" i="23"/>
  <c r="BH81" i="23" s="1"/>
  <c r="DL71" i="23"/>
  <c r="FH75" i="23"/>
  <c r="DI70" i="23"/>
  <c r="FT70" i="23" s="1"/>
  <c r="FH80" i="23"/>
  <c r="FF85" i="23"/>
  <c r="AC78" i="23"/>
  <c r="BK78" i="23" s="1"/>
  <c r="Z85" i="23"/>
  <c r="BH85" i="23" s="1"/>
  <c r="W71" i="23"/>
  <c r="BE71" i="23" s="1"/>
  <c r="DC84" i="23"/>
  <c r="AM84" i="23" s="1"/>
  <c r="DL68" i="23"/>
  <c r="V83" i="23"/>
  <c r="BD83" i="23" s="1"/>
  <c r="FJ80" i="23"/>
  <c r="DC75" i="23"/>
  <c r="AM75" i="23" s="1"/>
  <c r="DF75" i="23"/>
  <c r="AP75" i="23" s="1"/>
  <c r="FJ82" i="23"/>
  <c r="DH78" i="23"/>
  <c r="AB79" i="23"/>
  <c r="BJ79" i="23" s="1"/>
  <c r="DL70" i="23"/>
  <c r="DF80" i="23"/>
  <c r="AP80" i="23" s="1"/>
  <c r="DK81" i="23"/>
  <c r="AF69" i="23"/>
  <c r="BN69" i="23" s="1"/>
  <c r="FH84" i="23"/>
  <c r="FI69" i="23"/>
  <c r="DI72" i="23"/>
  <c r="FT72" i="23" s="1"/>
  <c r="DL82" i="23"/>
  <c r="AE71" i="23"/>
  <c r="BM71" i="23" s="1"/>
  <c r="FB77" i="23"/>
  <c r="DN78" i="23"/>
  <c r="Z86" i="23"/>
  <c r="BH86" i="23" s="1"/>
  <c r="AC70" i="23"/>
  <c r="BK70" i="23" s="1"/>
  <c r="AF86" i="23"/>
  <c r="BN86" i="23" s="1"/>
  <c r="AE79" i="23"/>
  <c r="BM79" i="23" s="1"/>
  <c r="FG70" i="23"/>
  <c r="AE72" i="23"/>
  <c r="BM72" i="23" s="1"/>
  <c r="FG80" i="23"/>
  <c r="AG70" i="23"/>
  <c r="BO70" i="23" s="1"/>
  <c r="FL69" i="23"/>
  <c r="FM82" i="23"/>
  <c r="V72" i="23"/>
  <c r="BD72" i="23" s="1"/>
  <c r="FJ74" i="23"/>
  <c r="FG77" i="23"/>
  <c r="AD80" i="23"/>
  <c r="BL80" i="23" s="1"/>
  <c r="AB81" i="23"/>
  <c r="BJ81" i="23" s="1"/>
  <c r="V74" i="23"/>
  <c r="BD74" i="23" s="1"/>
  <c r="AA78" i="23"/>
  <c r="BI78" i="23" s="1"/>
  <c r="FF78" i="23"/>
  <c r="FE76" i="23"/>
  <c r="V79" i="23"/>
  <c r="BD79" i="23" s="1"/>
  <c r="DF72" i="23"/>
  <c r="DM77" i="23"/>
  <c r="AC71" i="23"/>
  <c r="BK71" i="23" s="1"/>
  <c r="DL77" i="23"/>
  <c r="DK74" i="23"/>
  <c r="FE74" i="23"/>
  <c r="DF86" i="23"/>
  <c r="AP86" i="23" s="1"/>
  <c r="DI74" i="23"/>
  <c r="FT74" i="23" s="1"/>
  <c r="FJ78" i="23"/>
  <c r="DN84" i="23"/>
  <c r="AC69" i="23"/>
  <c r="BK69" i="23" s="1"/>
  <c r="FG75" i="23"/>
  <c r="FM71" i="23"/>
  <c r="FI77" i="23"/>
  <c r="Y81" i="23"/>
  <c r="BG81" i="23" s="1"/>
  <c r="AB75" i="23"/>
  <c r="BJ75" i="23" s="1"/>
  <c r="AD79" i="23"/>
  <c r="BL79" i="23" s="1"/>
  <c r="DN82" i="23"/>
  <c r="DI80" i="23"/>
  <c r="FT80" i="23" s="1"/>
  <c r="DL72" i="23"/>
  <c r="Z69" i="23"/>
  <c r="BH69" i="23" s="1"/>
  <c r="FF70" i="23"/>
  <c r="DD79" i="23"/>
  <c r="AN79" i="23" s="1"/>
  <c r="AA71" i="23"/>
  <c r="BI71" i="23" s="1"/>
  <c r="DH76" i="23"/>
  <c r="Y74" i="23"/>
  <c r="BG74" i="23" s="1"/>
  <c r="DC81" i="23"/>
  <c r="AM81" i="23" s="1"/>
  <c r="AE85" i="23"/>
  <c r="BM85" i="23" s="1"/>
  <c r="FD84" i="23"/>
  <c r="DE81" i="23"/>
  <c r="AO81" i="23" s="1"/>
  <c r="DK82" i="23"/>
  <c r="DH84" i="23"/>
  <c r="W86" i="23"/>
  <c r="BE86" i="23" s="1"/>
  <c r="DI68" i="23"/>
  <c r="AC85" i="23"/>
  <c r="BK85" i="23" s="1"/>
  <c r="AE75" i="23"/>
  <c r="BM75" i="23" s="1"/>
  <c r="DL69" i="23"/>
  <c r="DC85" i="23"/>
  <c r="AM85" i="23" s="1"/>
  <c r="FH83" i="23"/>
  <c r="FK85" i="23"/>
  <c r="AA82" i="23"/>
  <c r="BI82" i="23" s="1"/>
  <c r="DK79" i="23"/>
  <c r="AG81" i="23"/>
  <c r="BO81" i="23" s="1"/>
  <c r="DM86" i="23"/>
  <c r="FM76" i="23"/>
  <c r="FG69" i="23"/>
  <c r="AC84" i="23"/>
  <c r="BK84" i="23" s="1"/>
  <c r="AE69" i="23"/>
  <c r="BM69" i="23" s="1"/>
  <c r="Y84" i="23"/>
  <c r="BG84" i="23" s="1"/>
  <c r="Y70" i="23"/>
  <c r="BG70" i="23" s="1"/>
  <c r="FD86" i="23"/>
  <c r="FM84" i="23"/>
  <c r="X82" i="23"/>
  <c r="BF82" i="23" s="1"/>
  <c r="FK75" i="23"/>
  <c r="DF79" i="23"/>
  <c r="AP79" i="23" s="1"/>
  <c r="DD73" i="23"/>
  <c r="DH72" i="23"/>
  <c r="AB76" i="23"/>
  <c r="BJ76" i="23" s="1"/>
  <c r="W72" i="23"/>
  <c r="BE72" i="23" s="1"/>
  <c r="X74" i="23"/>
  <c r="BF74" i="23" s="1"/>
  <c r="AF70" i="23"/>
  <c r="BN70" i="23" s="1"/>
  <c r="FB74" i="23"/>
  <c r="AA85" i="23"/>
  <c r="BI85" i="23" s="1"/>
  <c r="DK84" i="23"/>
  <c r="AA68" i="23"/>
  <c r="BI68" i="23" s="1"/>
  <c r="W69" i="23"/>
  <c r="BE69" i="23" s="1"/>
  <c r="Z75" i="23"/>
  <c r="BH75" i="23" s="1"/>
  <c r="AA76" i="23"/>
  <c r="BI76" i="23" s="1"/>
  <c r="X85" i="23"/>
  <c r="BF85" i="23" s="1"/>
  <c r="DD75" i="23"/>
  <c r="AN75" i="23" s="1"/>
  <c r="V80" i="23"/>
  <c r="BD80" i="23" s="1"/>
  <c r="FH77" i="23"/>
  <c r="DJ78" i="23"/>
  <c r="FL73" i="23"/>
  <c r="FM79" i="23"/>
  <c r="FB83" i="23"/>
  <c r="DE80" i="23"/>
  <c r="AO80" i="23" s="1"/>
  <c r="DM76" i="23"/>
  <c r="DI84" i="23"/>
  <c r="FT84" i="23" s="1"/>
  <c r="FD76" i="23"/>
  <c r="FE81" i="23"/>
  <c r="Z83" i="23"/>
  <c r="BH83" i="23" s="1"/>
  <c r="Z82" i="23"/>
  <c r="BH82" i="23" s="1"/>
  <c r="AD73" i="23"/>
  <c r="BL73" i="23" s="1"/>
  <c r="DM72" i="23"/>
  <c r="AA73" i="23"/>
  <c r="BI73" i="23" s="1"/>
  <c r="DN75" i="23"/>
  <c r="FE80" i="23"/>
  <c r="AB77" i="23"/>
  <c r="BJ77" i="23" s="1"/>
  <c r="W76" i="23"/>
  <c r="BE76" i="23" s="1"/>
  <c r="FK73" i="23"/>
  <c r="DM78" i="23"/>
  <c r="W73" i="23"/>
  <c r="BE73" i="23" s="1"/>
  <c r="DF84" i="23"/>
  <c r="AP84" i="23" s="1"/>
  <c r="DE84" i="23"/>
  <c r="AO84" i="23" s="1"/>
  <c r="DI85" i="23"/>
  <c r="FT85" i="23" s="1"/>
  <c r="DJ68" i="23"/>
  <c r="X80" i="23"/>
  <c r="BF80" i="23" s="1"/>
  <c r="DJ80" i="23"/>
  <c r="V77" i="23"/>
  <c r="BD77" i="23" s="1"/>
  <c r="DH83" i="23"/>
  <c r="DJ69" i="23"/>
  <c r="FL75" i="23"/>
  <c r="AG78" i="23"/>
  <c r="BO78" i="23" s="1"/>
  <c r="FE83" i="23"/>
  <c r="FI80" i="23"/>
  <c r="DM83" i="23"/>
  <c r="DD68" i="23"/>
  <c r="FH70" i="23"/>
  <c r="DF71" i="23"/>
  <c r="AC75" i="23"/>
  <c r="BK75" i="23" s="1"/>
  <c r="Z77" i="23"/>
  <c r="BH77" i="23" s="1"/>
  <c r="DD74" i="23"/>
  <c r="AN74" i="23" s="1"/>
  <c r="DD70" i="23"/>
  <c r="FH85" i="23"/>
  <c r="DH69" i="23"/>
  <c r="FI82" i="23"/>
  <c r="AD74" i="23"/>
  <c r="BL74" i="23" s="1"/>
  <c r="DM82" i="23"/>
  <c r="AC74" i="23"/>
  <c r="BK74" i="23" s="1"/>
  <c r="DD82" i="23"/>
  <c r="AN82" i="23" s="1"/>
  <c r="DM80" i="23"/>
  <c r="AC81" i="23"/>
  <c r="BK81" i="23" s="1"/>
  <c r="AA80" i="23"/>
  <c r="BI80" i="23" s="1"/>
  <c r="AE74" i="23"/>
  <c r="BM74" i="23" s="1"/>
  <c r="FB70" i="23"/>
  <c r="Y76" i="23"/>
  <c r="BG76" i="23" s="1"/>
  <c r="DJ79" i="23"/>
  <c r="AB70" i="23"/>
  <c r="BJ70" i="23" s="1"/>
  <c r="W74" i="23"/>
  <c r="BE74" i="23" s="1"/>
  <c r="AE68" i="23"/>
  <c r="BM68" i="23" s="1"/>
  <c r="DD85" i="23"/>
  <c r="AN85" i="23" s="1"/>
  <c r="DG82" i="23"/>
  <c r="AQ82" i="23" s="1"/>
  <c r="FK80" i="23"/>
  <c r="DM69" i="23"/>
  <c r="AD82" i="23"/>
  <c r="BL82" i="23" s="1"/>
  <c r="DF81" i="23"/>
  <c r="AP81" i="23" s="1"/>
  <c r="DD72" i="23"/>
  <c r="FC85" i="23"/>
  <c r="FL70" i="23"/>
  <c r="AC72" i="23"/>
  <c r="BK72" i="23" s="1"/>
  <c r="Z80" i="23"/>
  <c r="BH80" i="23" s="1"/>
  <c r="DM74" i="23"/>
  <c r="AB85" i="23"/>
  <c r="BJ85" i="23" s="1"/>
  <c r="DH82" i="23"/>
  <c r="FD83" i="23"/>
  <c r="FJ84" i="23"/>
  <c r="DM84" i="23"/>
  <c r="AB82" i="23"/>
  <c r="BJ82" i="23" s="1"/>
  <c r="FF79" i="23"/>
  <c r="FF69" i="23"/>
  <c r="DD77" i="23"/>
  <c r="AN77" i="23" s="1"/>
  <c r="DE70" i="23"/>
  <c r="AG82" i="23"/>
  <c r="BO82" i="23" s="1"/>
  <c r="DK70" i="23"/>
  <c r="AA70" i="23"/>
  <c r="BI70" i="23" s="1"/>
  <c r="FD80" i="23"/>
  <c r="FC82" i="23"/>
  <c r="DC72" i="23"/>
  <c r="AM72" i="23" s="1"/>
  <c r="DM79" i="23"/>
  <c r="FC80" i="23"/>
  <c r="AE70" i="23"/>
  <c r="BM70" i="23" s="1"/>
  <c r="DG78" i="23"/>
  <c r="AQ78" i="23" s="1"/>
  <c r="FD75" i="23"/>
  <c r="AG74" i="23"/>
  <c r="BO74" i="23" s="1"/>
  <c r="DC77" i="23"/>
  <c r="AM77" i="23" s="1"/>
  <c r="FM70" i="23"/>
  <c r="DI78" i="23"/>
  <c r="FT78" i="23" s="1"/>
  <c r="AG76" i="23"/>
  <c r="BO76" i="23" s="1"/>
  <c r="W83" i="23"/>
  <c r="BE83" i="23" s="1"/>
  <c r="DK77" i="23"/>
  <c r="DN69" i="23"/>
  <c r="FC70" i="23"/>
  <c r="FB69" i="23"/>
  <c r="Z76" i="23"/>
  <c r="BH76" i="23" s="1"/>
  <c r="X73" i="23"/>
  <c r="BF73" i="23" s="1"/>
  <c r="FM75" i="23"/>
  <c r="FJ85" i="23"/>
  <c r="FJ83" i="23"/>
  <c r="DD71" i="23"/>
  <c r="AN71" i="23" s="1"/>
  <c r="FJ71" i="23"/>
  <c r="FI74" i="23"/>
  <c r="AG73" i="23"/>
  <c r="BO73" i="23" s="1"/>
  <c r="FE85" i="23"/>
  <c r="AE76" i="23"/>
  <c r="BM76" i="23" s="1"/>
  <c r="FB78" i="23"/>
  <c r="DI79" i="23"/>
  <c r="FT79" i="23" s="1"/>
  <c r="V70" i="23"/>
  <c r="BD70" i="23" s="1"/>
  <c r="FJ79" i="23"/>
  <c r="FH71" i="23"/>
  <c r="FI83" i="23"/>
  <c r="AA72" i="23"/>
  <c r="BI72" i="23" s="1"/>
  <c r="DC73" i="23"/>
  <c r="DI69" i="23"/>
  <c r="FT69" i="23" s="1"/>
  <c r="DJ82" i="23"/>
  <c r="AC79" i="23"/>
  <c r="BK79" i="23" s="1"/>
  <c r="DF77" i="23"/>
  <c r="AP77" i="23" s="1"/>
  <c r="FD74" i="23"/>
  <c r="FC73" i="23"/>
  <c r="Z70" i="23"/>
  <c r="BH70" i="23" s="1"/>
  <c r="AC80" i="23"/>
  <c r="BK80" i="23" s="1"/>
  <c r="DK86" i="23"/>
  <c r="AF78" i="23"/>
  <c r="BN78" i="23" s="1"/>
  <c r="FL82" i="23"/>
  <c r="FM69" i="23"/>
  <c r="FG72" i="23"/>
  <c r="FG85" i="23"/>
  <c r="DI77" i="23"/>
  <c r="FT77" i="23" s="1"/>
  <c r="AE86" i="23"/>
  <c r="BM86" i="23" s="1"/>
  <c r="FE84" i="23"/>
  <c r="FL68" i="23"/>
  <c r="AF74" i="23"/>
  <c r="BN74" i="23" s="1"/>
  <c r="DN73" i="23"/>
  <c r="FC84" i="23"/>
  <c r="FK82" i="23"/>
  <c r="DK72" i="23"/>
  <c r="DE77" i="23"/>
  <c r="AO77" i="23" s="1"/>
  <c r="AO72" i="23" l="1"/>
  <c r="AO70" i="23"/>
  <c r="AN68" i="23"/>
  <c r="O17" i="23"/>
  <c r="O16" i="23"/>
  <c r="BW74" i="23"/>
  <c r="BU74" i="23"/>
  <c r="BU76" i="23"/>
  <c r="BV70" i="23"/>
  <c r="BW77" i="23"/>
  <c r="CD82" i="23"/>
  <c r="GJ82" i="23"/>
  <c r="CA73" i="23"/>
  <c r="CD68" i="23"/>
  <c r="F7" i="23"/>
  <c r="BY82" i="23"/>
  <c r="CB71" i="23"/>
  <c r="BU83" i="23"/>
  <c r="GJ81" i="23"/>
  <c r="CD81" i="23"/>
  <c r="BY73" i="23"/>
  <c r="BV78" i="23"/>
  <c r="GK80" i="23"/>
  <c r="CE80" i="23"/>
  <c r="BV83" i="23"/>
  <c r="BX70" i="23"/>
  <c r="GJ72" i="23"/>
  <c r="CD72" i="23"/>
  <c r="GJ78" i="23"/>
  <c r="CD78" i="23"/>
  <c r="AX85" i="23"/>
  <c r="BW76" i="23"/>
  <c r="BX69" i="23"/>
  <c r="AZ79" i="23"/>
  <c r="AM73" i="23"/>
  <c r="AW74" i="23"/>
  <c r="D11" i="23"/>
  <c r="D17" i="23"/>
  <c r="GD84" i="23"/>
  <c r="BX84" i="23"/>
  <c r="CA79" i="23"/>
  <c r="AY78" i="23"/>
  <c r="CA72" i="23"/>
  <c r="CB83" i="23"/>
  <c r="BU71" i="23"/>
  <c r="AY77" i="23"/>
  <c r="GL74" i="23"/>
  <c r="CF74" i="23"/>
  <c r="CA82" i="23"/>
  <c r="CB72" i="23"/>
  <c r="AZ82" i="23"/>
  <c r="CD74" i="23"/>
  <c r="GJ74" i="23"/>
  <c r="FV70" i="23"/>
  <c r="BV73" i="23"/>
  <c r="AX80" i="23"/>
  <c r="GC85" i="23"/>
  <c r="BW85" i="23"/>
  <c r="GK70" i="23"/>
  <c r="CE70" i="23"/>
  <c r="BW82" i="23"/>
  <c r="BY69" i="23"/>
  <c r="BZ78" i="23"/>
  <c r="BY86" i="23"/>
  <c r="CE69" i="23"/>
  <c r="AV75" i="23"/>
  <c r="AP69" i="23"/>
  <c r="BW79" i="23"/>
  <c r="FV73" i="23"/>
  <c r="CF69" i="23"/>
  <c r="CA71" i="23"/>
  <c r="AM71" i="23"/>
  <c r="AV80" i="23"/>
  <c r="BJ68" i="23"/>
  <c r="B3" i="23"/>
  <c r="BW78" i="23"/>
  <c r="GL83" i="23"/>
  <c r="CF83" i="23"/>
  <c r="AM70" i="23"/>
  <c r="BX83" i="23"/>
  <c r="GD83" i="23"/>
  <c r="CE75" i="23"/>
  <c r="GK75" i="23"/>
  <c r="CA78" i="23"/>
  <c r="AQ75" i="23"/>
  <c r="CA69" i="23"/>
  <c r="AY85" i="23"/>
  <c r="BZ75" i="23"/>
  <c r="CE73" i="23"/>
  <c r="GK73" i="23"/>
  <c r="AZ84" i="23"/>
  <c r="FV81" i="23"/>
  <c r="BV75" i="23"/>
  <c r="CC84" i="23"/>
  <c r="CC85" i="23"/>
  <c r="AX82" i="23"/>
  <c r="AQ76" i="23"/>
  <c r="GD78" i="23"/>
  <c r="BX78" i="23"/>
  <c r="GD85" i="23"/>
  <c r="BX85" i="23"/>
  <c r="CC72" i="23"/>
  <c r="BW72" i="23"/>
  <c r="BX77" i="23"/>
  <c r="GD77" i="23"/>
  <c r="GK71" i="23"/>
  <c r="CE71" i="23"/>
  <c r="AX79" i="23"/>
  <c r="CC68" i="23"/>
  <c r="E7" i="23"/>
  <c r="CB79" i="23"/>
  <c r="BZ70" i="23"/>
  <c r="BZ80" i="23"/>
  <c r="BZ76" i="23"/>
  <c r="FV80" i="23"/>
  <c r="BW71" i="23"/>
  <c r="AV82" i="23"/>
  <c r="CB68" i="23"/>
  <c r="D7" i="23"/>
  <c r="CE81" i="23"/>
  <c r="GK81" i="23"/>
  <c r="CE78" i="23"/>
  <c r="GK78" i="23"/>
  <c r="AZ78" i="23"/>
  <c r="FV85" i="23"/>
  <c r="CB85" i="23"/>
  <c r="CB69" i="23"/>
  <c r="AY80" i="23"/>
  <c r="CF86" i="23"/>
  <c r="GL86" i="23"/>
  <c r="N16" i="23"/>
  <c r="N17" i="23"/>
  <c r="AM68" i="23"/>
  <c r="BZ83" i="23"/>
  <c r="BZ79" i="23"/>
  <c r="AZ81" i="23"/>
  <c r="FV79" i="23"/>
  <c r="AZ80" i="23"/>
  <c r="BX68" i="23"/>
  <c r="AN72" i="23"/>
  <c r="BW80" i="23"/>
  <c r="GC80" i="23"/>
  <c r="BV69" i="23"/>
  <c r="GD74" i="23"/>
  <c r="BX74" i="23"/>
  <c r="GJ71" i="23"/>
  <c r="CD71" i="23"/>
  <c r="F11" i="23"/>
  <c r="F17" i="23"/>
  <c r="CF68" i="23"/>
  <c r="H7" i="23"/>
  <c r="H46" i="23" s="1"/>
  <c r="GK82" i="23"/>
  <c r="CE82" i="23"/>
  <c r="AV76" i="23"/>
  <c r="CC81" i="23"/>
  <c r="AZ85" i="23"/>
  <c r="FV78" i="23"/>
  <c r="AX74" i="23"/>
  <c r="CD86" i="23"/>
  <c r="GJ86" i="23"/>
  <c r="AW82" i="23"/>
  <c r="B7" i="23"/>
  <c r="BZ68" i="23"/>
  <c r="BV86" i="23"/>
  <c r="CE85" i="23"/>
  <c r="GK85" i="23"/>
  <c r="CF71" i="23"/>
  <c r="AQ73" i="23"/>
  <c r="CB76" i="23"/>
  <c r="BV82" i="23"/>
  <c r="CF85" i="23"/>
  <c r="GL85" i="23"/>
  <c r="H17" i="23"/>
  <c r="H11" i="23"/>
  <c r="H50" i="23" s="1"/>
  <c r="AZ83" i="23"/>
  <c r="BW68" i="23"/>
  <c r="AP70" i="23"/>
  <c r="BZ81" i="23"/>
  <c r="BW70" i="23"/>
  <c r="BY70" i="23"/>
  <c r="BZ72" i="23"/>
  <c r="BW73" i="23"/>
  <c r="AW77" i="23"/>
  <c r="CA85" i="23"/>
  <c r="CC82" i="23"/>
  <c r="CB74" i="23"/>
  <c r="BY77" i="23"/>
  <c r="GL78" i="23"/>
  <c r="CF78" i="23"/>
  <c r="FV77" i="23"/>
  <c r="AN73" i="23"/>
  <c r="CD69" i="23"/>
  <c r="GJ69" i="23"/>
  <c r="BZ71" i="23"/>
  <c r="CA75" i="23"/>
  <c r="BU79" i="23"/>
  <c r="GJ79" i="23"/>
  <c r="CD79" i="23"/>
  <c r="BV71" i="23"/>
  <c r="BY81" i="23"/>
  <c r="CB77" i="23"/>
  <c r="BZ86" i="23"/>
  <c r="BW75" i="23"/>
  <c r="AZ86" i="23"/>
  <c r="CA84" i="23"/>
  <c r="BU68" i="23"/>
  <c r="BY71" i="23"/>
  <c r="AZ77" i="23"/>
  <c r="C12" i="23"/>
  <c r="FV68" i="23"/>
  <c r="AV78" i="23"/>
  <c r="AX76" i="23"/>
  <c r="GD82" i="23"/>
  <c r="BX82" i="23"/>
  <c r="GK83" i="23"/>
  <c r="CE83" i="23"/>
  <c r="CE68" i="23"/>
  <c r="G7" i="23"/>
  <c r="CB73" i="23"/>
  <c r="CA83" i="23"/>
  <c r="CA74" i="23"/>
  <c r="BY72" i="23"/>
  <c r="BY74" i="23"/>
  <c r="GD75" i="23"/>
  <c r="BX75" i="23"/>
  <c r="AW86" i="23"/>
  <c r="AP68" i="23"/>
  <c r="Q16" i="23"/>
  <c r="Q17" i="23"/>
  <c r="GJ83" i="23"/>
  <c r="CD83" i="23"/>
  <c r="BX73" i="23"/>
  <c r="GD73" i="23"/>
  <c r="BU70" i="23"/>
  <c r="CC73" i="23"/>
  <c r="CD75" i="23"/>
  <c r="GJ75" i="23"/>
  <c r="CF70" i="23"/>
  <c r="CE79" i="23"/>
  <c r="GK79" i="23"/>
  <c r="P17" i="23"/>
  <c r="AO68" i="23"/>
  <c r="P16" i="23"/>
  <c r="CF75" i="23"/>
  <c r="GL75" i="23"/>
  <c r="CF77" i="23"/>
  <c r="GL77" i="23"/>
  <c r="CB81" i="23"/>
  <c r="BY75" i="23"/>
  <c r="CF81" i="23"/>
  <c r="GL81" i="23"/>
  <c r="AV83" i="23"/>
  <c r="F12" i="23"/>
  <c r="F15" i="23" s="1"/>
  <c r="BY84" i="23"/>
  <c r="AY82" i="23"/>
  <c r="BU73" i="23"/>
  <c r="BV85" i="23"/>
  <c r="CD70" i="23"/>
  <c r="GJ70" i="23"/>
  <c r="BV74" i="23"/>
  <c r="BV76" i="23"/>
  <c r="CA76" i="23"/>
  <c r="C17" i="23"/>
  <c r="C11" i="23"/>
  <c r="FT68" i="23"/>
  <c r="FV86" i="23"/>
  <c r="BU69" i="23"/>
  <c r="AW78" i="23"/>
  <c r="CC86" i="23"/>
  <c r="BY79" i="23"/>
  <c r="AX86" i="23"/>
  <c r="AW81" i="23"/>
  <c r="AX77" i="23"/>
  <c r="GJ76" i="23"/>
  <c r="CD76" i="23"/>
  <c r="CA70" i="23"/>
  <c r="CC79" i="23"/>
  <c r="AW80" i="23"/>
  <c r="CD84" i="23"/>
  <c r="GJ84" i="23"/>
  <c r="CC70" i="23"/>
  <c r="CE84" i="23"/>
  <c r="GK84" i="23"/>
  <c r="CF73" i="23"/>
  <c r="GL73" i="23"/>
  <c r="BY76" i="23"/>
  <c r="GD76" i="23"/>
  <c r="BX76" i="23"/>
  <c r="CB75" i="23"/>
  <c r="AX84" i="23"/>
  <c r="BU80" i="23"/>
  <c r="BZ85" i="23"/>
  <c r="AY79" i="23"/>
  <c r="CB84" i="23"/>
  <c r="FV83" i="23"/>
  <c r="AW79" i="23"/>
  <c r="GD81" i="23"/>
  <c r="BX81" i="23"/>
  <c r="AY86" i="23"/>
  <c r="BU72" i="23"/>
  <c r="CE86" i="23"/>
  <c r="GK86" i="23"/>
  <c r="BY85" i="23"/>
  <c r="BU78" i="23"/>
  <c r="BZ77" i="23"/>
  <c r="BV80" i="23"/>
  <c r="BZ69" i="23"/>
  <c r="BU85" i="23"/>
  <c r="E11" i="23"/>
  <c r="E17" i="23"/>
  <c r="BX86" i="23"/>
  <c r="GD86" i="23"/>
  <c r="FV74" i="23"/>
  <c r="BV84" i="23"/>
  <c r="BY68" i="23"/>
  <c r="BW84" i="23"/>
  <c r="AN69" i="23"/>
  <c r="CE72" i="23"/>
  <c r="GK72" i="23"/>
  <c r="BV79" i="23"/>
  <c r="GJ73" i="23"/>
  <c r="CD73" i="23"/>
  <c r="AX78" i="23"/>
  <c r="AX83" i="23"/>
  <c r="BZ84" i="23"/>
  <c r="CC75" i="23"/>
  <c r="CC83" i="23"/>
  <c r="FV72" i="23"/>
  <c r="CB86" i="23"/>
  <c r="CF72" i="23"/>
  <c r="GL72" i="23"/>
  <c r="BX80" i="23"/>
  <c r="GD80" i="23"/>
  <c r="CA80" i="23"/>
  <c r="BU82" i="23"/>
  <c r="AV74" i="23"/>
  <c r="AX75" i="23"/>
  <c r="AY83" i="23"/>
  <c r="CE74" i="23"/>
  <c r="GK74" i="23"/>
  <c r="AW85" i="23"/>
  <c r="BU77" i="23"/>
  <c r="CD85" i="23"/>
  <c r="GJ85" i="23"/>
  <c r="CE77" i="23"/>
  <c r="GK77" i="23"/>
  <c r="BW81" i="23"/>
  <c r="BX71" i="23"/>
  <c r="G11" i="23"/>
  <c r="G17" i="23"/>
  <c r="CC69" i="23"/>
  <c r="AW84" i="23"/>
  <c r="G12" i="23"/>
  <c r="BV72" i="23"/>
  <c r="AV81" i="23"/>
  <c r="CA81" i="23"/>
  <c r="FV76" i="23"/>
  <c r="GJ77" i="23"/>
  <c r="CD77" i="23"/>
  <c r="BZ74" i="23"/>
  <c r="AY76" i="23"/>
  <c r="E12" i="23"/>
  <c r="CF82" i="23"/>
  <c r="GL82" i="23"/>
  <c r="AN70" i="23"/>
  <c r="BY83" i="23"/>
  <c r="CC80" i="23"/>
  <c r="FV75" i="23"/>
  <c r="BX72" i="23"/>
  <c r="BW69" i="23"/>
  <c r="BU81" i="23"/>
  <c r="AW76" i="23"/>
  <c r="R17" i="23"/>
  <c r="R16" i="23"/>
  <c r="AQ68" i="23"/>
  <c r="BV81" i="23"/>
  <c r="BW83" i="23"/>
  <c r="CB80" i="23"/>
  <c r="CF76" i="23"/>
  <c r="GL76" i="23"/>
  <c r="AY81" i="23"/>
  <c r="CA77" i="23"/>
  <c r="BZ82" i="23"/>
  <c r="AP72" i="23"/>
  <c r="AV84" i="23"/>
  <c r="GL80" i="23"/>
  <c r="CF80" i="23"/>
  <c r="CB82" i="23"/>
  <c r="AY74" i="23"/>
  <c r="BU86" i="23"/>
  <c r="FV71" i="23"/>
  <c r="AV77" i="23"/>
  <c r="BY80" i="23"/>
  <c r="CC74" i="23"/>
  <c r="AP71" i="23"/>
  <c r="AY84" i="23"/>
  <c r="BZ73" i="23"/>
  <c r="AW75" i="23"/>
  <c r="AV85" i="23"/>
  <c r="AX81" i="23"/>
  <c r="CB70" i="23"/>
  <c r="FV84" i="23"/>
  <c r="AY75" i="23"/>
  <c r="CB78" i="23"/>
  <c r="CC77" i="23"/>
  <c r="BV77" i="23"/>
  <c r="AM69" i="23"/>
  <c r="AO71" i="23"/>
  <c r="BY78" i="23"/>
  <c r="AV86" i="23"/>
  <c r="BW86" i="23"/>
  <c r="AQ69" i="23"/>
  <c r="B17" i="23"/>
  <c r="B11" i="23"/>
  <c r="AW83" i="23"/>
  <c r="GD79" i="23"/>
  <c r="BX79" i="23"/>
  <c r="BU75" i="23"/>
  <c r="CA86" i="23"/>
  <c r="FV82" i="23"/>
  <c r="CC78" i="23"/>
  <c r="GJ80" i="23"/>
  <c r="CD80" i="23"/>
  <c r="BV68" i="23"/>
  <c r="AY73" i="23"/>
  <c r="BU84" i="23"/>
  <c r="CC76" i="23"/>
  <c r="AV79" i="23"/>
  <c r="D12" i="23"/>
  <c r="D15" i="23" s="1"/>
  <c r="CF79" i="23"/>
  <c r="GL79" i="23"/>
  <c r="CC71" i="23"/>
  <c r="H12" i="23"/>
  <c r="CF84" i="23"/>
  <c r="GL84" i="23"/>
  <c r="FV69" i="23"/>
  <c r="CE76" i="23"/>
  <c r="GK76" i="23"/>
  <c r="C83" i="23"/>
  <c r="C85" i="23"/>
  <c r="C76" i="23"/>
  <c r="C82" i="23"/>
  <c r="C86" i="23"/>
  <c r="C74" i="23"/>
  <c r="C72" i="23"/>
  <c r="C78" i="23"/>
  <c r="C77" i="23"/>
  <c r="C73" i="23"/>
  <c r="C75" i="23"/>
  <c r="C81" i="23"/>
  <c r="C69" i="23"/>
  <c r="C84" i="23"/>
  <c r="C70" i="23"/>
  <c r="C79" i="23"/>
  <c r="C71" i="23"/>
  <c r="C80" i="23"/>
  <c r="G50" i="23" l="1"/>
  <c r="F50" i="23" s="1"/>
  <c r="E50" i="23" s="1"/>
  <c r="D50" i="23" s="1"/>
  <c r="C50" i="23" s="1"/>
  <c r="B50" i="23" s="1"/>
  <c r="G15" i="23"/>
  <c r="C15" i="23"/>
  <c r="GG80" i="23"/>
  <c r="GI80" i="23"/>
  <c r="GF80" i="23"/>
  <c r="GH80" i="23"/>
  <c r="GE80" i="23"/>
  <c r="GB71" i="23"/>
  <c r="GD71" i="23"/>
  <c r="GL71" i="23"/>
  <c r="GG71" i="23"/>
  <c r="GE71" i="23"/>
  <c r="GI71" i="23"/>
  <c r="GG79" i="23"/>
  <c r="GF79" i="23"/>
  <c r="GI79" i="23"/>
  <c r="GE79" i="23"/>
  <c r="GD70" i="23"/>
  <c r="GF70" i="23"/>
  <c r="GL70" i="23"/>
  <c r="GA70" i="23"/>
  <c r="GC70" i="23"/>
  <c r="GG84" i="23"/>
  <c r="GB84" i="23"/>
  <c r="GH84" i="23"/>
  <c r="GF84" i="23"/>
  <c r="GE84" i="23"/>
  <c r="GG69" i="23"/>
  <c r="GL69" i="23"/>
  <c r="GB69" i="23"/>
  <c r="GC69" i="23"/>
  <c r="GF69" i="23"/>
  <c r="GF81" i="23"/>
  <c r="GI81" i="23"/>
  <c r="GC81" i="23"/>
  <c r="GE81" i="23"/>
  <c r="GB81" i="23"/>
  <c r="GA81" i="23"/>
  <c r="GC75" i="23"/>
  <c r="GH75" i="23"/>
  <c r="GG75" i="23"/>
  <c r="GE75" i="23"/>
  <c r="GF75" i="23"/>
  <c r="GC73" i="23"/>
  <c r="GB73" i="23"/>
  <c r="GH73" i="23"/>
  <c r="GA77" i="23"/>
  <c r="GF77" i="23"/>
  <c r="GH77" i="23"/>
  <c r="GG77" i="23"/>
  <c r="GB78" i="23"/>
  <c r="GF78" i="23"/>
  <c r="GA78" i="23"/>
  <c r="GH78" i="23"/>
  <c r="GG78" i="23"/>
  <c r="GI78" i="23"/>
  <c r="GC78" i="23"/>
  <c r="GF72" i="23"/>
  <c r="GH72" i="23"/>
  <c r="GE72" i="23"/>
  <c r="GC72" i="23"/>
  <c r="GA72" i="23"/>
  <c r="GD72" i="23"/>
  <c r="GB72" i="23"/>
  <c r="GI72" i="23"/>
  <c r="GG74" i="23"/>
  <c r="GH74" i="23"/>
  <c r="GC74" i="23"/>
  <c r="GF74" i="23"/>
  <c r="GI86" i="23"/>
  <c r="GB86" i="23"/>
  <c r="GH86" i="23"/>
  <c r="GA86" i="23"/>
  <c r="GG86" i="23"/>
  <c r="GC86" i="23"/>
  <c r="GE82" i="23"/>
  <c r="GC82" i="23"/>
  <c r="GF82" i="23"/>
  <c r="GB82" i="23"/>
  <c r="GA82" i="23"/>
  <c r="GF76" i="23"/>
  <c r="GH76" i="23"/>
  <c r="GE76" i="23"/>
  <c r="GB76" i="23"/>
  <c r="GA76" i="23"/>
  <c r="GC76" i="23"/>
  <c r="GI76" i="23"/>
  <c r="GG76" i="23"/>
  <c r="GI85" i="23"/>
  <c r="GA85" i="23"/>
  <c r="GB85" i="23"/>
  <c r="GA83" i="23"/>
  <c r="GF83" i="23"/>
  <c r="GH83" i="23"/>
  <c r="GE83" i="23"/>
  <c r="GI83" i="23"/>
  <c r="GC83" i="23"/>
  <c r="GB79" i="23"/>
  <c r="GB77" i="23"/>
  <c r="GA84" i="23"/>
  <c r="GB80" i="23"/>
  <c r="GA69" i="23"/>
  <c r="CP74" i="23"/>
  <c r="CN86" i="23"/>
  <c r="CW82" i="23"/>
  <c r="CT74" i="23"/>
  <c r="CR86" i="23"/>
  <c r="CN83" i="23"/>
  <c r="CP85" i="23"/>
  <c r="CL80" i="23"/>
  <c r="GA80" i="23"/>
  <c r="GH79" i="23"/>
  <c r="GE69" i="23"/>
  <c r="CO69" i="23"/>
  <c r="GD69" i="23"/>
  <c r="GB83" i="23"/>
  <c r="GC77" i="23"/>
  <c r="CR77" i="23"/>
  <c r="CU77" i="23"/>
  <c r="CT70" i="23"/>
  <c r="GI70" i="23"/>
  <c r="CT79" i="23"/>
  <c r="GE74" i="23"/>
  <c r="GH71" i="23"/>
  <c r="GB70" i="23"/>
  <c r="CN71" i="23"/>
  <c r="AX71" i="23" s="1"/>
  <c r="GC71" i="23"/>
  <c r="CN79" i="23"/>
  <c r="GC79" i="23"/>
  <c r="CM80" i="23"/>
  <c r="GI84" i="23"/>
  <c r="CL71" i="23"/>
  <c r="AV71" i="23" s="1"/>
  <c r="GA71" i="23"/>
  <c r="CW72" i="23"/>
  <c r="CU70" i="23"/>
  <c r="CW80" i="23"/>
  <c r="CL79" i="23"/>
  <c r="GA79" i="23"/>
  <c r="CV78" i="23"/>
  <c r="CT78" i="23"/>
  <c r="CW77" i="23"/>
  <c r="CO82" i="23"/>
  <c r="CP77" i="23"/>
  <c r="GE77" i="23"/>
  <c r="CM75" i="23"/>
  <c r="GB75" i="23"/>
  <c r="CV76" i="23"/>
  <c r="CR81" i="23"/>
  <c r="GG81" i="23"/>
  <c r="CO86" i="23"/>
  <c r="CS84" i="23"/>
  <c r="GG83" i="23"/>
  <c r="GF71" i="23"/>
  <c r="GK69" i="23"/>
  <c r="GG72" i="23"/>
  <c r="GE73" i="23"/>
  <c r="GG73" i="23"/>
  <c r="CM77" i="23"/>
  <c r="CS82" i="23"/>
  <c r="GH82" i="23"/>
  <c r="CM79" i="23"/>
  <c r="GI73" i="23"/>
  <c r="H15" i="23"/>
  <c r="H54" i="23" s="1"/>
  <c r="G54" i="23" s="1"/>
  <c r="F54" i="23" s="1"/>
  <c r="E54" i="23" s="1"/>
  <c r="D54" i="23" s="1"/>
  <c r="C54" i="23" s="1"/>
  <c r="B54" i="23" s="1"/>
  <c r="H51" i="23"/>
  <c r="G51" i="23" s="1"/>
  <c r="F51" i="23" s="1"/>
  <c r="E51" i="23" s="1"/>
  <c r="D51" i="23" s="1"/>
  <c r="C51" i="23" s="1"/>
  <c r="B51" i="23" s="1"/>
  <c r="GF86" i="23"/>
  <c r="GE70" i="23"/>
  <c r="CO74" i="23"/>
  <c r="CV77" i="23"/>
  <c r="CQ84" i="23"/>
  <c r="CU76" i="23"/>
  <c r="CL70" i="23"/>
  <c r="CL84" i="23"/>
  <c r="GI74" i="23"/>
  <c r="CN84" i="23"/>
  <c r="GC84" i="23"/>
  <c r="CR76" i="23"/>
  <c r="GI82" i="23"/>
  <c r="GH69" i="23"/>
  <c r="CP86" i="23"/>
  <c r="GE86" i="23"/>
  <c r="CT83" i="23"/>
  <c r="GE85" i="23"/>
  <c r="CL69" i="23"/>
  <c r="CW81" i="23"/>
  <c r="CW70" i="23"/>
  <c r="GG85" i="23"/>
  <c r="CS85" i="23"/>
  <c r="GH85" i="23"/>
  <c r="CT71" i="23"/>
  <c r="CL81" i="23"/>
  <c r="CS86" i="23"/>
  <c r="CO81" i="23"/>
  <c r="CP84" i="23"/>
  <c r="CV79" i="23"/>
  <c r="CS73" i="23"/>
  <c r="CP71" i="23"/>
  <c r="CM82" i="23"/>
  <c r="CW84" i="23"/>
  <c r="CW79" i="23"/>
  <c r="CL75" i="23"/>
  <c r="CP78" i="23"/>
  <c r="CT77" i="23"/>
  <c r="CS70" i="23"/>
  <c r="CQ73" i="23"/>
  <c r="CW76" i="23"/>
  <c r="CT76" i="23"/>
  <c r="CO79" i="23"/>
  <c r="CP80" i="23"/>
  <c r="CT69" i="23"/>
  <c r="CT75" i="23"/>
  <c r="CQ85" i="23"/>
  <c r="CO76" i="23"/>
  <c r="CR70" i="23"/>
  <c r="CM74" i="23"/>
  <c r="CL73" i="23"/>
  <c r="AV73" i="23" s="1"/>
  <c r="CS81" i="23"/>
  <c r="CU80" i="23"/>
  <c r="CS78" i="23"/>
  <c r="CQ82" i="23"/>
  <c r="CS80" i="23"/>
  <c r="CO72" i="23"/>
  <c r="CP83" i="23"/>
  <c r="E15" i="23"/>
  <c r="CN81" i="23"/>
  <c r="CL77" i="23"/>
  <c r="CO80" i="23"/>
  <c r="CU73" i="23"/>
  <c r="CQ69" i="23"/>
  <c r="CL78" i="23"/>
  <c r="CL72" i="23"/>
  <c r="CW73" i="23"/>
  <c r="CO75" i="23"/>
  <c r="CR74" i="23"/>
  <c r="CV83" i="23"/>
  <c r="CR84" i="23"/>
  <c r="CN75" i="23"/>
  <c r="CW78" i="23"/>
  <c r="CQ72" i="23"/>
  <c r="CS76" i="23"/>
  <c r="CN80" i="23"/>
  <c r="CQ76" i="23"/>
  <c r="CO77" i="23"/>
  <c r="CO78" i="23"/>
  <c r="CR69" i="23"/>
  <c r="CN85" i="23"/>
  <c r="CR82" i="23"/>
  <c r="CR79" i="23"/>
  <c r="CU78" i="23"/>
  <c r="CL74" i="23"/>
  <c r="CR85" i="23"/>
  <c r="CV85" i="23"/>
  <c r="CU71" i="23"/>
  <c r="CS69" i="23"/>
  <c r="CT84" i="23"/>
  <c r="CV73" i="23"/>
  <c r="CW83" i="23"/>
  <c r="CV69" i="23"/>
  <c r="CP69" i="23"/>
  <c r="AZ69" i="23" s="1"/>
  <c r="CR72" i="23"/>
  <c r="CM83" i="23"/>
  <c r="CS71" i="23"/>
  <c r="CR83" i="23"/>
  <c r="CQ86" i="23"/>
  <c r="CU69" i="23"/>
  <c r="CP70" i="23"/>
  <c r="CW85" i="23"/>
  <c r="CV82" i="23"/>
  <c r="CQ80" i="23"/>
  <c r="CN72" i="23"/>
  <c r="CO83" i="23"/>
  <c r="CU74" i="23"/>
  <c r="CW74" i="23"/>
  <c r="CO84" i="23"/>
  <c r="CU72" i="23"/>
  <c r="CP73" i="23"/>
  <c r="CR73" i="23"/>
  <c r="CM70" i="23"/>
  <c r="CN74" i="23"/>
  <c r="CQ75" i="23"/>
  <c r="CR78" i="23"/>
  <c r="CN78" i="23"/>
  <c r="CR71" i="23"/>
  <c r="CV80" i="23"/>
  <c r="CU81" i="23"/>
  <c r="CP82" i="23"/>
  <c r="CU82" i="23"/>
  <c r="CL86" i="23"/>
  <c r="CM81" i="23"/>
  <c r="CU85" i="23"/>
  <c r="CL82" i="23"/>
  <c r="CQ77" i="23"/>
  <c r="CP79" i="23"/>
  <c r="CS77" i="23"/>
  <c r="CP81" i="23"/>
  <c r="CN70" i="23"/>
  <c r="CQ70" i="23"/>
  <c r="CT72" i="23"/>
  <c r="AY69" i="23"/>
  <c r="GA75" i="23"/>
  <c r="GE78" i="23"/>
  <c r="GI77" i="23"/>
  <c r="GH70" i="23"/>
  <c r="GF73" i="23"/>
  <c r="CT80" i="23"/>
  <c r="CQ74" i="23"/>
  <c r="CM72" i="23"/>
  <c r="AW72" i="23" s="1"/>
  <c r="CV72" i="23"/>
  <c r="CU84" i="23"/>
  <c r="CM76" i="23"/>
  <c r="CM85" i="23"/>
  <c r="CP75" i="23"/>
  <c r="AZ75" i="23" s="1"/>
  <c r="CW75" i="23"/>
  <c r="CU75" i="23"/>
  <c r="CO73" i="23"/>
  <c r="CP72" i="23"/>
  <c r="CR75" i="23"/>
  <c r="CS74" i="23"/>
  <c r="CN73" i="23"/>
  <c r="CW71" i="23"/>
  <c r="CM86" i="23"/>
  <c r="CU86" i="23"/>
  <c r="CT81" i="23"/>
  <c r="CQ79" i="23"/>
  <c r="CW86" i="23"/>
  <c r="CV81" i="23"/>
  <c r="CV71" i="23"/>
  <c r="CN82" i="23"/>
  <c r="CM73" i="23"/>
  <c r="AW73" i="23" s="1"/>
  <c r="CS83" i="23"/>
  <c r="CN76" i="23"/>
  <c r="CO70" i="23"/>
  <c r="CL76" i="23"/>
  <c r="CN69" i="23"/>
  <c r="GI69" i="23"/>
  <c r="CO71" i="23"/>
  <c r="CV74" i="23"/>
  <c r="CR80" i="23"/>
  <c r="GI75" i="23"/>
  <c r="CM84" i="23"/>
  <c r="CL85" i="23"/>
  <c r="CV86" i="23"/>
  <c r="GF85" i="23"/>
  <c r="CS75" i="23"/>
  <c r="CP76" i="23"/>
  <c r="CV84" i="23"/>
  <c r="GG70" i="23"/>
  <c r="CT86" i="23"/>
  <c r="GB74" i="23"/>
  <c r="GA73" i="23"/>
  <c r="GH81" i="23"/>
  <c r="CU83" i="23"/>
  <c r="G46" i="23"/>
  <c r="F46" i="23" s="1"/>
  <c r="E46" i="23" s="1"/>
  <c r="D46" i="23" s="1"/>
  <c r="CM71" i="23"/>
  <c r="CQ81" i="23"/>
  <c r="CM69" i="23"/>
  <c r="CS79" i="23"/>
  <c r="CO85" i="23"/>
  <c r="G8" i="23"/>
  <c r="H8" i="23"/>
  <c r="H47" i="23" s="1"/>
  <c r="F8" i="23"/>
  <c r="E8" i="23"/>
  <c r="B8" i="23"/>
  <c r="D8" i="23"/>
  <c r="CW69" i="23"/>
  <c r="CQ78" i="23"/>
  <c r="CV70" i="23"/>
  <c r="CS72" i="23"/>
  <c r="CT73" i="23"/>
  <c r="CU79" i="23"/>
  <c r="CQ71" i="23"/>
  <c r="CT82" i="23"/>
  <c r="CQ83" i="23"/>
  <c r="CT85" i="23"/>
  <c r="CV75" i="23"/>
  <c r="C7" i="23"/>
  <c r="CA68" i="23"/>
  <c r="GG82" i="23"/>
  <c r="CM78" i="23"/>
  <c r="CL83" i="23"/>
  <c r="CN77" i="23"/>
  <c r="GA74" i="23"/>
  <c r="ES74" i="23" a="1"/>
  <c r="EL80" i="23" a="1"/>
  <c r="EK79" i="23" a="1"/>
  <c r="EO77" i="23" a="1"/>
  <c r="ET76" i="23" a="1"/>
  <c r="ER86" i="23" a="1"/>
  <c r="EV84" i="23" a="1"/>
  <c r="EV76" i="23" a="1"/>
  <c r="ES69" i="23" a="1"/>
  <c r="ET80" i="23" a="1"/>
  <c r="EK72" i="23" a="1"/>
  <c r="EM75" i="23" a="1"/>
  <c r="EQ69" i="23" a="1"/>
  <c r="EV83" i="23" a="1"/>
  <c r="EQ83" i="23" a="1"/>
  <c r="EM72" i="23" a="1"/>
  <c r="ET74" i="23" a="1"/>
  <c r="EP75" i="23" a="1"/>
  <c r="EO79" i="23" a="1"/>
  <c r="EL85" i="23" a="1"/>
  <c r="ER74" i="23" a="1"/>
  <c r="EU81" i="23" a="1"/>
  <c r="EN70" i="23" a="1"/>
  <c r="EQ80" i="23" a="1"/>
  <c r="ER75" i="23" a="1"/>
  <c r="EP71" i="23" a="1"/>
  <c r="C68" i="23"/>
  <c r="ES73" i="23" a="1"/>
  <c r="ES85" i="23" a="1"/>
  <c r="EK83" i="23" a="1"/>
  <c r="ET79" i="23" a="1"/>
  <c r="EQ86" i="23" a="1"/>
  <c r="EN86" i="23" a="1"/>
  <c r="EK70" i="23" a="1"/>
  <c r="EV70" i="23" a="1"/>
  <c r="EN81" i="23" a="1"/>
  <c r="EV79" i="23" a="1"/>
  <c r="ES76" i="23" a="1"/>
  <c r="ES75" i="23" a="1"/>
  <c r="EM81" i="23" a="1"/>
  <c r="EV73" i="23" a="1"/>
  <c r="EV78" i="23" a="1"/>
  <c r="EU69" i="23" a="1"/>
  <c r="EP86" i="23" a="1"/>
  <c r="EV74" i="23" a="1"/>
  <c r="EQ78" i="23" a="1"/>
  <c r="EK86" i="23" a="1"/>
  <c r="EO75" i="23" a="1"/>
  <c r="EM73" i="23" a="1"/>
  <c r="EK76" i="23" a="1"/>
  <c r="EO76" i="23" a="1"/>
  <c r="ET83" i="23" a="1"/>
  <c r="ER79" i="23" a="1"/>
  <c r="EV69" i="23" a="1"/>
  <c r="ES82" i="23" a="1"/>
  <c r="EN85" i="23" a="1"/>
  <c r="EP78" i="23" a="1"/>
  <c r="ER85" i="23" a="1"/>
  <c r="EO78" i="23" a="1"/>
  <c r="EN79" i="23" a="1"/>
  <c r="ER78" i="23" a="1"/>
  <c r="EN80" i="23" a="1"/>
  <c r="EQ82" i="23" a="1"/>
  <c r="EO70" i="23" a="1"/>
  <c r="ET72" i="23" a="1"/>
  <c r="EQ71" i="23" a="1"/>
  <c r="EP74" i="23" a="1"/>
  <c r="ET75" i="23" a="1"/>
  <c r="EU70" i="23" a="1"/>
  <c r="EP83" i="23" a="1"/>
  <c r="EM82" i="23" a="1"/>
  <c r="ES86" i="23" a="1"/>
  <c r="EU75" i="23" a="1"/>
  <c r="EL69" i="23" a="1"/>
  <c r="EM77" i="23" a="1"/>
  <c r="EQ77" i="23" a="1"/>
  <c r="EK71" i="23" a="1"/>
  <c r="EU78" i="23" a="1"/>
  <c r="EL75" i="23" a="1"/>
  <c r="ER84" i="23" a="1"/>
  <c r="EL77" i="23" a="1"/>
  <c r="EK84" i="23" a="1"/>
  <c r="EO86" i="23" a="1"/>
  <c r="EK75" i="23" a="1"/>
  <c r="EP85" i="23" a="1"/>
  <c r="EK77" i="23" a="1"/>
  <c r="EP72" i="23" a="1"/>
  <c r="EM85" i="23" a="1"/>
  <c r="EO69" i="23" a="1"/>
  <c r="ET69" i="23" a="1"/>
  <c r="EN84" i="23" a="1"/>
  <c r="EM78" i="23" a="1"/>
  <c r="EL81" i="23" a="1"/>
  <c r="ER77" i="23" a="1"/>
  <c r="ES80" i="23" a="1"/>
  <c r="EV75" i="23" a="1"/>
  <c r="EV71" i="23" a="1"/>
  <c r="EU71" i="23" a="1"/>
  <c r="EU84" i="23" a="1"/>
  <c r="EQ72" i="23" a="1"/>
  <c r="EO81" i="23" a="1"/>
  <c r="EL86" i="23" a="1"/>
  <c r="EM69" i="23" a="1"/>
  <c r="ER72" i="23" a="1"/>
  <c r="EL78" i="23" a="1"/>
  <c r="EM83" i="23" a="1"/>
  <c r="ES78" i="23" a="1"/>
  <c r="ER82" i="23" a="1"/>
  <c r="EO84" i="23" a="1"/>
  <c r="EN76" i="23" a="1"/>
  <c r="ER76" i="23" a="1"/>
  <c r="EO74" i="23" a="1"/>
  <c r="EO85" i="23" a="1"/>
  <c r="ET77" i="23" a="1"/>
  <c r="EM71" i="23" a="1"/>
  <c r="EV72" i="23" a="1"/>
  <c r="EV77" i="23" a="1"/>
  <c r="EU76" i="23" a="1"/>
  <c r="EN74" i="23" a="1"/>
  <c r="ES83" i="23" a="1"/>
  <c r="EU79" i="23" a="1"/>
  <c r="ES77" i="23" a="1"/>
  <c r="EQ70" i="23" a="1"/>
  <c r="EP82" i="23" a="1"/>
  <c r="ET73" i="23" a="1"/>
  <c r="EN75" i="23" a="1"/>
  <c r="EM80" i="23" a="1"/>
  <c r="EQ79" i="23" a="1"/>
  <c r="EU85" i="23" a="1"/>
  <c r="ER69" i="23" a="1"/>
  <c r="EV85" i="23" a="1"/>
  <c r="EO73" i="23" a="1"/>
  <c r="EU80" i="23" a="1"/>
  <c r="ET85" i="23" a="1"/>
  <c r="EM70" i="23" a="1"/>
  <c r="EL72" i="23" a="1"/>
  <c r="EN73" i="23" a="1"/>
  <c r="ET86" i="23" a="1"/>
  <c r="EL84" i="23" a="1"/>
  <c r="EL71" i="23" a="1"/>
  <c r="EM86" i="23" a="1"/>
  <c r="EK80" i="23" a="1"/>
  <c r="ES70" i="23" a="1"/>
  <c r="ET70" i="23" a="1"/>
  <c r="EL79" i="23" a="1"/>
  <c r="EM84" i="23" a="1"/>
  <c r="ER73" i="23" a="1"/>
  <c r="ER70" i="23" a="1"/>
  <c r="EL74" i="23" a="1"/>
  <c r="ER80" i="23" a="1"/>
  <c r="EQ74" i="23" a="1"/>
  <c r="EP76" i="23" a="1"/>
  <c r="ET78" i="23" a="1"/>
  <c r="EU82" i="23" a="1"/>
  <c r="EN83" i="23" a="1"/>
  <c r="EQ73" i="23" a="1"/>
  <c r="ET81" i="23" a="1"/>
  <c r="EK82" i="23" a="1"/>
  <c r="EU72" i="23" a="1"/>
  <c r="EO72" i="23" a="1"/>
  <c r="ES81" i="23" a="1"/>
  <c r="EL73" i="23" a="1"/>
  <c r="EK85" i="23" a="1"/>
  <c r="EP81" i="23" a="1"/>
  <c r="EV82" i="23" a="1"/>
  <c r="EN69" i="23" a="1"/>
  <c r="EM79" i="23" a="1"/>
  <c r="EV80" i="23" a="1"/>
  <c r="EU77" i="23" a="1"/>
  <c r="EK69" i="23" a="1"/>
  <c r="ES71" i="23" a="1"/>
  <c r="EO71" i="23" a="1"/>
  <c r="EP73" i="23" a="1"/>
  <c r="EO80" i="23" a="1"/>
  <c r="EK73" i="23" a="1"/>
  <c r="EN72" i="23" a="1"/>
  <c r="EP69" i="23" a="1"/>
  <c r="EU83" i="23" a="1"/>
  <c r="EN77" i="23" a="1"/>
  <c r="EK74" i="23" a="1"/>
  <c r="ET71" i="23" a="1"/>
  <c r="ES84" i="23" a="1"/>
  <c r="EL83" i="23" a="1"/>
  <c r="EL70" i="23" a="1"/>
  <c r="EO82" i="23" a="1"/>
  <c r="EP70" i="23" a="1"/>
  <c r="ET84" i="23" a="1"/>
  <c r="EQ75" i="23" a="1"/>
  <c r="EP79" i="23" a="1"/>
  <c r="ER83" i="23" a="1"/>
  <c r="EN71" i="23" a="1"/>
  <c r="EU86" i="23" a="1"/>
  <c r="ES79" i="23" a="1"/>
  <c r="EN82" i="23" a="1"/>
  <c r="EQ81" i="23" a="1"/>
  <c r="EP84" i="23" a="1"/>
  <c r="EQ76" i="23" a="1"/>
  <c r="EV81" i="23" a="1"/>
  <c r="EK81" i="23" a="1"/>
  <c r="EL82" i="23" a="1"/>
  <c r="ER81" i="23" a="1"/>
  <c r="EO83" i="23" a="1"/>
  <c r="EK78" i="23" a="1"/>
  <c r="EQ84" i="23" a="1"/>
  <c r="EN78" i="23" a="1"/>
  <c r="EQ85" i="23" a="1"/>
  <c r="EU73" i="23" a="1"/>
  <c r="ER71" i="23" a="1"/>
  <c r="EP80" i="23" a="1"/>
  <c r="EM74" i="23" a="1"/>
  <c r="ET82" i="23" a="1"/>
  <c r="EP77" i="23" a="1"/>
  <c r="ES72" i="23" a="1"/>
  <c r="EL76" i="23" a="1"/>
  <c r="EV86" i="23" a="1"/>
  <c r="EM76" i="23" a="1"/>
  <c r="EU74" i="23" a="1"/>
  <c r="C46" i="23" l="1"/>
  <c r="B46" i="23" s="1"/>
  <c r="EU74" i="23"/>
  <c r="EM76" i="23"/>
  <c r="EV86" i="23"/>
  <c r="EL76" i="23"/>
  <c r="DU76" i="23" s="1"/>
  <c r="ES72" i="23"/>
  <c r="EB72" i="23" s="1"/>
  <c r="EP77" i="23"/>
  <c r="DY77" i="23" s="1"/>
  <c r="ET82" i="23"/>
  <c r="EM74" i="23"/>
  <c r="DV74" i="23" s="1"/>
  <c r="EP80" i="23"/>
  <c r="DY80" i="23" s="1"/>
  <c r="ER71" i="23"/>
  <c r="EA71" i="23" s="1"/>
  <c r="EU73" i="23"/>
  <c r="EQ85" i="23"/>
  <c r="DZ85" i="23" s="1"/>
  <c r="EN78" i="23"/>
  <c r="EQ84" i="23"/>
  <c r="DZ84" i="23" s="1"/>
  <c r="EK78" i="23"/>
  <c r="DT78" i="23" s="1"/>
  <c r="EO83" i="23"/>
  <c r="DX83" i="23" s="1"/>
  <c r="ER81" i="23"/>
  <c r="EA81" i="23" s="1"/>
  <c r="EL82" i="23"/>
  <c r="DU82" i="23" s="1"/>
  <c r="EK81" i="23"/>
  <c r="DT81" i="23" s="1"/>
  <c r="EV81" i="23"/>
  <c r="EQ76" i="23"/>
  <c r="DZ76" i="23" s="1"/>
  <c r="EP84" i="23"/>
  <c r="DY84" i="23" s="1"/>
  <c r="EQ81" i="23"/>
  <c r="DZ81" i="23" s="1"/>
  <c r="EN82" i="23"/>
  <c r="ES79" i="23"/>
  <c r="EB79" i="23" s="1"/>
  <c r="EU86" i="23"/>
  <c r="EN71" i="23"/>
  <c r="DW71" i="23" s="1"/>
  <c r="ER83" i="23"/>
  <c r="EA83" i="23" s="1"/>
  <c r="EP79" i="23"/>
  <c r="DY79" i="23" s="1"/>
  <c r="EQ75" i="23"/>
  <c r="DZ75" i="23" s="1"/>
  <c r="ET84" i="23"/>
  <c r="EP70" i="23"/>
  <c r="DY70" i="23" s="1"/>
  <c r="EO82" i="23"/>
  <c r="DX82" i="23" s="1"/>
  <c r="EL70" i="23"/>
  <c r="DU70" i="23" s="1"/>
  <c r="EL83" i="23"/>
  <c r="DU83" i="23" s="1"/>
  <c r="ES84" i="23"/>
  <c r="EB84" i="23" s="1"/>
  <c r="ET71" i="23"/>
  <c r="EK74" i="23"/>
  <c r="DT74" i="23" s="1"/>
  <c r="EN77" i="23"/>
  <c r="EU83" i="23"/>
  <c r="EP69" i="23"/>
  <c r="DY69" i="23" s="1"/>
  <c r="EN72" i="23"/>
  <c r="DW72" i="23" s="1"/>
  <c r="EK73" i="23"/>
  <c r="DT73" i="23" s="1"/>
  <c r="EO80" i="23"/>
  <c r="DX80" i="23" s="1"/>
  <c r="EP73" i="23"/>
  <c r="DY73" i="23" s="1"/>
  <c r="EO71" i="23"/>
  <c r="DX71" i="23" s="1"/>
  <c r="ES71" i="23"/>
  <c r="EB71" i="23" s="1"/>
  <c r="EK69" i="23"/>
  <c r="DT69" i="23" s="1"/>
  <c r="EU77" i="23"/>
  <c r="EV80" i="23"/>
  <c r="EM79" i="23"/>
  <c r="EN69" i="23"/>
  <c r="DW69" i="23" s="1"/>
  <c r="EV82" i="23"/>
  <c r="EP81" i="23"/>
  <c r="DY81" i="23" s="1"/>
  <c r="EK85" i="23"/>
  <c r="DT85" i="23" s="1"/>
  <c r="EL73" i="23"/>
  <c r="DU73" i="23" s="1"/>
  <c r="ES81" i="23"/>
  <c r="EB81" i="23" s="1"/>
  <c r="EO72" i="23"/>
  <c r="DX72" i="23" s="1"/>
  <c r="EU72" i="23"/>
  <c r="EK82" i="23"/>
  <c r="DT82" i="23" s="1"/>
  <c r="ET81" i="23"/>
  <c r="EQ73" i="23"/>
  <c r="DZ73" i="23" s="1"/>
  <c r="EN83" i="23"/>
  <c r="EU82" i="23"/>
  <c r="ET78" i="23"/>
  <c r="EP76" i="23"/>
  <c r="DY76" i="23" s="1"/>
  <c r="EQ74" i="23"/>
  <c r="DZ74" i="23" s="1"/>
  <c r="ER80" i="23"/>
  <c r="EA80" i="23" s="1"/>
  <c r="EL74" i="23"/>
  <c r="DU74" i="23" s="1"/>
  <c r="ER70" i="23"/>
  <c r="EA70" i="23" s="1"/>
  <c r="ER73" i="23"/>
  <c r="EA73" i="23" s="1"/>
  <c r="EM84" i="23"/>
  <c r="EL79" i="23"/>
  <c r="DU79" i="23" s="1"/>
  <c r="ET70" i="23"/>
  <c r="ES70" i="23"/>
  <c r="EB70" i="23" s="1"/>
  <c r="EK80" i="23"/>
  <c r="DT80" i="23" s="1"/>
  <c r="EM86" i="23"/>
  <c r="EL71" i="23"/>
  <c r="DU71" i="23" s="1"/>
  <c r="EL84" i="23"/>
  <c r="DU84" i="23" s="1"/>
  <c r="ET86" i="23"/>
  <c r="EN73" i="23"/>
  <c r="EL72" i="23"/>
  <c r="DU72" i="23" s="1"/>
  <c r="EM70" i="23"/>
  <c r="DV70" i="23" s="1"/>
  <c r="ET85" i="23"/>
  <c r="EU80" i="23"/>
  <c r="EO73" i="23"/>
  <c r="DX73" i="23" s="1"/>
  <c r="EV85" i="23"/>
  <c r="ER69" i="23"/>
  <c r="EA69" i="23" s="1"/>
  <c r="EU85" i="23"/>
  <c r="EQ79" i="23"/>
  <c r="DZ79" i="23" s="1"/>
  <c r="EM80" i="23"/>
  <c r="EN75" i="23"/>
  <c r="ET73" i="23"/>
  <c r="EP82" i="23"/>
  <c r="DY82" i="23" s="1"/>
  <c r="EQ70" i="23"/>
  <c r="DZ70" i="23" s="1"/>
  <c r="ES77" i="23"/>
  <c r="EB77" i="23" s="1"/>
  <c r="EU79" i="23"/>
  <c r="ES83" i="23"/>
  <c r="EB83" i="23" s="1"/>
  <c r="EN74" i="23"/>
  <c r="EU76" i="23"/>
  <c r="EV77" i="23"/>
  <c r="EV72" i="23"/>
  <c r="EM71" i="23"/>
  <c r="DV71" i="23" s="1"/>
  <c r="ET77" i="23"/>
  <c r="EO85" i="23"/>
  <c r="DX85" i="23" s="1"/>
  <c r="EO74" i="23"/>
  <c r="DX74" i="23" s="1"/>
  <c r="ER76" i="23"/>
  <c r="EA76" i="23" s="1"/>
  <c r="EN76" i="23"/>
  <c r="EO84" i="23"/>
  <c r="DX84" i="23" s="1"/>
  <c r="ER82" i="23"/>
  <c r="EA82" i="23" s="1"/>
  <c r="ES78" i="23"/>
  <c r="EB78" i="23" s="1"/>
  <c r="EM83" i="23"/>
  <c r="EL78" i="23"/>
  <c r="DU78" i="23" s="1"/>
  <c r="ER72" i="23"/>
  <c r="EA72" i="23" s="1"/>
  <c r="EM69" i="23"/>
  <c r="DV69" i="23" s="1"/>
  <c r="EL86" i="23"/>
  <c r="DU86" i="23" s="1"/>
  <c r="EO81" i="23"/>
  <c r="DX81" i="23" s="1"/>
  <c r="EQ72" i="23"/>
  <c r="DZ72" i="23" s="1"/>
  <c r="EU84" i="23"/>
  <c r="EU71" i="23"/>
  <c r="EV71" i="23"/>
  <c r="EE71" i="23" s="1"/>
  <c r="EV75" i="23"/>
  <c r="ES80" i="23"/>
  <c r="EB80" i="23" s="1"/>
  <c r="ER77" i="23"/>
  <c r="EA77" i="23" s="1"/>
  <c r="EL81" i="23"/>
  <c r="DU81" i="23" s="1"/>
  <c r="EM78" i="23"/>
  <c r="EN84" i="23"/>
  <c r="ET69" i="23"/>
  <c r="EO69" i="23"/>
  <c r="DX69" i="23" s="1"/>
  <c r="EM85" i="23"/>
  <c r="EP72" i="23"/>
  <c r="DY72" i="23" s="1"/>
  <c r="EK77" i="23"/>
  <c r="DT77" i="23" s="1"/>
  <c r="EP85" i="23"/>
  <c r="DY85" i="23" s="1"/>
  <c r="EK75" i="23"/>
  <c r="DT75" i="23" s="1"/>
  <c r="EO86" i="23"/>
  <c r="DX86" i="23" s="1"/>
  <c r="EK84" i="23"/>
  <c r="EL77" i="23"/>
  <c r="DU77" i="23" s="1"/>
  <c r="ER84" i="23"/>
  <c r="EA84" i="23" s="1"/>
  <c r="EL75" i="23"/>
  <c r="DU75" i="23" s="1"/>
  <c r="EU78" i="23"/>
  <c r="EK71" i="23"/>
  <c r="DT71" i="23" s="1"/>
  <c r="EQ77" i="23"/>
  <c r="DZ77" i="23" s="1"/>
  <c r="EM77" i="23"/>
  <c r="EL69" i="23"/>
  <c r="DU69" i="23" s="1"/>
  <c r="EU75" i="23"/>
  <c r="ES86" i="23"/>
  <c r="EB86" i="23" s="1"/>
  <c r="EM82" i="23"/>
  <c r="EP83" i="23"/>
  <c r="DY83" i="23" s="1"/>
  <c r="EU70" i="23"/>
  <c r="ET75" i="23"/>
  <c r="EP74" i="23"/>
  <c r="DY74" i="23" s="1"/>
  <c r="EQ71" i="23"/>
  <c r="DZ71" i="23" s="1"/>
  <c r="ET72" i="23"/>
  <c r="EO70" i="23"/>
  <c r="DX70" i="23" s="1"/>
  <c r="EQ82" i="23"/>
  <c r="DZ82" i="23" s="1"/>
  <c r="EN80" i="23"/>
  <c r="ER78" i="23"/>
  <c r="EA78" i="23" s="1"/>
  <c r="EN79" i="23"/>
  <c r="EO78" i="23"/>
  <c r="DX78" i="23" s="1"/>
  <c r="ER85" i="23"/>
  <c r="EA85" i="23" s="1"/>
  <c r="EP78" i="23"/>
  <c r="DY78" i="23" s="1"/>
  <c r="EN85" i="23"/>
  <c r="ES82" i="23"/>
  <c r="EB82" i="23" s="1"/>
  <c r="EV69" i="23"/>
  <c r="EE69" i="23" s="1"/>
  <c r="ER79" i="23"/>
  <c r="EA79" i="23" s="1"/>
  <c r="ET83" i="23"/>
  <c r="EO76" i="23"/>
  <c r="DX76" i="23" s="1"/>
  <c r="EK76" i="23"/>
  <c r="DT76" i="23" s="1"/>
  <c r="EM73" i="23"/>
  <c r="DV73" i="23" s="1"/>
  <c r="EO75" i="23"/>
  <c r="DX75" i="23" s="1"/>
  <c r="EK86" i="23"/>
  <c r="EQ78" i="23"/>
  <c r="DZ78" i="23" s="1"/>
  <c r="EV74" i="23"/>
  <c r="EP86" i="23"/>
  <c r="DY86" i="23" s="1"/>
  <c r="EU69" i="23"/>
  <c r="ED69" i="23" s="1"/>
  <c r="EV78" i="23"/>
  <c r="EV73" i="23"/>
  <c r="EM81" i="23"/>
  <c r="ES75" i="23"/>
  <c r="EB75" i="23" s="1"/>
  <c r="ES76" i="23"/>
  <c r="EB76" i="23" s="1"/>
  <c r="EV79" i="23"/>
  <c r="EN81" i="23"/>
  <c r="EV70" i="23"/>
  <c r="EE70" i="23" s="1"/>
  <c r="EK70" i="23"/>
  <c r="DT70" i="23" s="1"/>
  <c r="EN86" i="23"/>
  <c r="EQ86" i="23"/>
  <c r="DZ86" i="23" s="1"/>
  <c r="ET79" i="23"/>
  <c r="EK83" i="23"/>
  <c r="ES85" i="23"/>
  <c r="EB85" i="23" s="1"/>
  <c r="ES73" i="23"/>
  <c r="EB73" i="23" s="1"/>
  <c r="H3" i="23"/>
  <c r="GJ68" i="23"/>
  <c r="GA68" i="23"/>
  <c r="GK68" i="23"/>
  <c r="GL68" i="23"/>
  <c r="GB68" i="23"/>
  <c r="GD68" i="23"/>
  <c r="GE68" i="23"/>
  <c r="CU68" i="23"/>
  <c r="CN68" i="23"/>
  <c r="CQ68" i="23"/>
  <c r="GI68" i="23"/>
  <c r="CV68" i="23"/>
  <c r="GC68" i="23"/>
  <c r="CM68" i="23"/>
  <c r="CL68" i="23"/>
  <c r="GF68" i="23"/>
  <c r="GH68" i="23"/>
  <c r="CT68" i="23"/>
  <c r="CO68" i="23"/>
  <c r="CS68" i="23"/>
  <c r="CP68" i="23"/>
  <c r="CW68" i="23"/>
  <c r="EP71" i="23"/>
  <c r="DY71" i="23" s="1"/>
  <c r="ER75" i="23"/>
  <c r="EA75" i="23" s="1"/>
  <c r="EQ80" i="23"/>
  <c r="DZ80" i="23" s="1"/>
  <c r="EN70" i="23"/>
  <c r="DW70" i="23" s="1"/>
  <c r="EU81" i="23"/>
  <c r="ER74" i="23"/>
  <c r="EA74" i="23" s="1"/>
  <c r="EL85" i="23"/>
  <c r="DU85" i="23" s="1"/>
  <c r="EO79" i="23"/>
  <c r="DX79" i="23" s="1"/>
  <c r="EP75" i="23"/>
  <c r="DY75" i="23" s="1"/>
  <c r="ET74" i="23"/>
  <c r="EM72" i="23"/>
  <c r="DV72" i="23" s="1"/>
  <c r="EQ83" i="23"/>
  <c r="DZ83" i="23" s="1"/>
  <c r="EV83" i="23"/>
  <c r="EQ69" i="23"/>
  <c r="DZ69" i="23" s="1"/>
  <c r="EM75" i="23"/>
  <c r="EK72" i="23"/>
  <c r="DT72" i="23" s="1"/>
  <c r="ET80" i="23"/>
  <c r="ES69" i="23"/>
  <c r="EB69" i="23" s="1"/>
  <c r="EV76" i="23"/>
  <c r="EV84" i="23"/>
  <c r="ER86" i="23"/>
  <c r="EA86" i="23" s="1"/>
  <c r="ET76" i="23"/>
  <c r="EO77" i="23"/>
  <c r="DX77" i="23" s="1"/>
  <c r="EK79" i="23"/>
  <c r="DT79" i="23" s="1"/>
  <c r="EL80" i="23"/>
  <c r="DU80" i="23" s="1"/>
  <c r="ES74" i="23"/>
  <c r="EB74" i="23" s="1"/>
  <c r="GG68" i="23"/>
  <c r="ED74" i="23"/>
  <c r="DV76" i="23"/>
  <c r="EE86" i="23"/>
  <c r="EC82" i="23"/>
  <c r="ED73" i="23"/>
  <c r="DW78" i="23"/>
  <c r="EE81" i="23"/>
  <c r="DW82" i="23"/>
  <c r="ED86" i="23"/>
  <c r="EC84" i="23"/>
  <c r="AW70" i="23"/>
  <c r="EC71" i="23"/>
  <c r="DW77" i="23"/>
  <c r="ED83" i="23"/>
  <c r="AY72" i="23"/>
  <c r="AZ71" i="23"/>
  <c r="AV69" i="23"/>
  <c r="ED77" i="23"/>
  <c r="EE80" i="23"/>
  <c r="DV79" i="23"/>
  <c r="EE82" i="23"/>
  <c r="AZ72" i="23"/>
  <c r="ED72" i="23"/>
  <c r="EC81" i="23"/>
  <c r="DW83" i="23"/>
  <c r="ED82" i="23"/>
  <c r="EC78" i="23"/>
  <c r="DV84" i="23"/>
  <c r="AY71" i="23"/>
  <c r="EC70" i="23"/>
  <c r="DV86" i="23"/>
  <c r="AW71" i="23"/>
  <c r="EC86" i="23"/>
  <c r="DW73" i="23"/>
  <c r="AX70" i="23"/>
  <c r="EC85" i="23"/>
  <c r="ED80" i="23"/>
  <c r="EE85" i="23"/>
  <c r="ED85" i="23"/>
  <c r="DV80" i="23"/>
  <c r="DW75" i="23"/>
  <c r="EC73" i="23"/>
  <c r="ED79" i="23"/>
  <c r="DW74" i="23"/>
  <c r="ED76" i="23"/>
  <c r="EE77" i="23"/>
  <c r="EE72" i="23"/>
  <c r="EC77" i="23"/>
  <c r="AZ74" i="23"/>
  <c r="DW76" i="23"/>
  <c r="DV83" i="23"/>
  <c r="G47" i="23"/>
  <c r="F47" i="23" s="1"/>
  <c r="E47" i="23" s="1"/>
  <c r="D47" i="23" s="1"/>
  <c r="AX69" i="23"/>
  <c r="ED84" i="23"/>
  <c r="ED71" i="23"/>
  <c r="EE75" i="23"/>
  <c r="DV78" i="23"/>
  <c r="DW84" i="23"/>
  <c r="EC69" i="23"/>
  <c r="AZ73" i="23"/>
  <c r="DV85" i="23"/>
  <c r="DT84" i="23"/>
  <c r="ED78" i="23"/>
  <c r="DV77" i="23"/>
  <c r="AW69" i="23"/>
  <c r="ED75" i="23"/>
  <c r="DV82" i="23"/>
  <c r="ED70" i="23"/>
  <c r="EC75" i="23"/>
  <c r="EC72" i="23"/>
  <c r="AZ70" i="23"/>
  <c r="DW80" i="23"/>
  <c r="DW79" i="23"/>
  <c r="C8" i="23"/>
  <c r="DW85" i="23"/>
  <c r="EC83" i="23"/>
  <c r="AX73" i="23"/>
  <c r="DT86" i="23"/>
  <c r="EE74" i="23"/>
  <c r="AZ76" i="23"/>
  <c r="EE78" i="23"/>
  <c r="EE73" i="23"/>
  <c r="DV81" i="23"/>
  <c r="EE79" i="23"/>
  <c r="DW81" i="23"/>
  <c r="AV70" i="23"/>
  <c r="DW86" i="23"/>
  <c r="EC79" i="23"/>
  <c r="DT83" i="23"/>
  <c r="CR68" i="23"/>
  <c r="ED81" i="23"/>
  <c r="EC74" i="23"/>
  <c r="AX72" i="23"/>
  <c r="EE83" i="23"/>
  <c r="AY70" i="23"/>
  <c r="DV75" i="23"/>
  <c r="AV72" i="23"/>
  <c r="EC80" i="23"/>
  <c r="EE76" i="23"/>
  <c r="EE84" i="23"/>
  <c r="EC76" i="23"/>
  <c r="EP68" i="23" a="1"/>
  <c r="ES68" i="23" a="1"/>
  <c r="EN68" i="23" a="1"/>
  <c r="EV68" i="23" a="1"/>
  <c r="EU68" i="23" a="1"/>
  <c r="ER68" i="23" a="1"/>
  <c r="EQ68" i="23" a="1"/>
  <c r="EL68" i="23" a="1"/>
  <c r="ET68" i="23" a="1"/>
  <c r="EO68" i="23" a="1"/>
  <c r="EK68" i="23" a="1"/>
  <c r="EM68" i="23" a="1"/>
  <c r="EM68" i="23" l="1"/>
  <c r="DV68" i="23" s="1"/>
  <c r="EK68" i="23"/>
  <c r="DT68" i="23" s="1"/>
  <c r="EO68" i="23"/>
  <c r="DX68" i="23" s="1"/>
  <c r="ET68" i="23"/>
  <c r="EC68" i="23" s="1"/>
  <c r="EL68" i="23"/>
  <c r="DU68" i="23" s="1"/>
  <c r="EQ68" i="23"/>
  <c r="DZ68" i="23" s="1"/>
  <c r="ER68" i="23"/>
  <c r="EA68" i="23" s="1"/>
  <c r="EU68" i="23"/>
  <c r="ED68" i="23" s="1"/>
  <c r="EV68" i="23"/>
  <c r="EE68" i="23" s="1"/>
  <c r="EN68" i="23"/>
  <c r="DW68" i="23" s="1"/>
  <c r="ES68" i="23"/>
  <c r="EB68" i="23" s="1"/>
  <c r="EP68" i="23"/>
  <c r="DY68" i="23" s="1"/>
  <c r="HE82" i="23"/>
  <c r="GQ82" i="23"/>
  <c r="GX69" i="23"/>
  <c r="HL69" i="23"/>
  <c r="GY76" i="23"/>
  <c r="HM76" i="23"/>
  <c r="GY80" i="23"/>
  <c r="HM80" i="23"/>
  <c r="GY83" i="23"/>
  <c r="HM83" i="23"/>
  <c r="GZ81" i="23"/>
  <c r="HN81" i="23"/>
  <c r="HE72" i="23"/>
  <c r="GQ72" i="23"/>
  <c r="GU80" i="23"/>
  <c r="FU80" i="23"/>
  <c r="HI80" i="23"/>
  <c r="AX68" i="23"/>
  <c r="HC70" i="23"/>
  <c r="GO70" i="23"/>
  <c r="GO76" i="23"/>
  <c r="HC76" i="23"/>
  <c r="GV85" i="23"/>
  <c r="HJ85" i="23"/>
  <c r="FU71" i="23"/>
  <c r="GU71" i="23"/>
  <c r="HI71" i="23"/>
  <c r="HD69" i="23"/>
  <c r="GP69" i="23"/>
  <c r="GW77" i="23"/>
  <c r="HK77" i="23"/>
  <c r="GV69" i="23"/>
  <c r="HJ69" i="23"/>
  <c r="HD73" i="23"/>
  <c r="GP73" i="23"/>
  <c r="HC69" i="23"/>
  <c r="GO69" i="23"/>
  <c r="GT70" i="23"/>
  <c r="HH70" i="23"/>
  <c r="HG83" i="23"/>
  <c r="GS83" i="23"/>
  <c r="GQ74" i="23"/>
  <c r="HE74" i="23"/>
  <c r="GV75" i="23"/>
  <c r="HJ75" i="23"/>
  <c r="GZ70" i="23"/>
  <c r="HN70" i="23"/>
  <c r="GY69" i="23"/>
  <c r="HM69" i="23"/>
  <c r="HG76" i="23"/>
  <c r="GS76" i="23"/>
  <c r="GS78" i="23"/>
  <c r="HG78" i="23"/>
  <c r="GT74" i="23"/>
  <c r="HH74" i="23"/>
  <c r="GS86" i="23"/>
  <c r="HG86" i="23"/>
  <c r="GW78" i="23"/>
  <c r="HK78" i="23"/>
  <c r="HE71" i="23"/>
  <c r="GQ71" i="23"/>
  <c r="GU70" i="23"/>
  <c r="FU70" i="23"/>
  <c r="HI70" i="23"/>
  <c r="HD84" i="23"/>
  <c r="GP84" i="23"/>
  <c r="GV73" i="23"/>
  <c r="HJ73" i="23"/>
  <c r="HC85" i="23"/>
  <c r="GO85" i="23"/>
  <c r="GW71" i="23"/>
  <c r="HK71" i="23"/>
  <c r="GU81" i="23"/>
  <c r="FU81" i="23"/>
  <c r="HI81" i="23"/>
  <c r="GO78" i="23"/>
  <c r="HC78" i="23"/>
  <c r="HE84" i="23"/>
  <c r="GQ84" i="23"/>
  <c r="GT86" i="23"/>
  <c r="HH86" i="23"/>
  <c r="GO75" i="23"/>
  <c r="HC75" i="23"/>
  <c r="FU72" i="23"/>
  <c r="GU72" i="23"/>
  <c r="HI72" i="23"/>
  <c r="GV82" i="23"/>
  <c r="HJ82" i="23"/>
  <c r="GT82" i="23"/>
  <c r="HH82" i="23"/>
  <c r="HG73" i="23"/>
  <c r="GS73" i="23"/>
  <c r="GP71" i="23"/>
  <c r="HD71" i="23"/>
  <c r="GV70" i="23"/>
  <c r="HJ70" i="23"/>
  <c r="FU73" i="23"/>
  <c r="GU73" i="23"/>
  <c r="HI73" i="23"/>
  <c r="GT81" i="23"/>
  <c r="HH81" i="23"/>
  <c r="HG71" i="23"/>
  <c r="GS71" i="23"/>
  <c r="GO74" i="23"/>
  <c r="HC74" i="23"/>
  <c r="GU75" i="23"/>
  <c r="FU75" i="23"/>
  <c r="HI75" i="23"/>
  <c r="GT84" i="23"/>
  <c r="HH84" i="23"/>
  <c r="FU84" i="23"/>
  <c r="GU84" i="23"/>
  <c r="HI84" i="23"/>
  <c r="GT77" i="23"/>
  <c r="HH77" i="23"/>
  <c r="GT73" i="23"/>
  <c r="HH73" i="23"/>
  <c r="GT79" i="23"/>
  <c r="HH79" i="23"/>
  <c r="GU76" i="23"/>
  <c r="FU76" i="23"/>
  <c r="HI76" i="23"/>
  <c r="GW72" i="23"/>
  <c r="HK72" i="23"/>
  <c r="GQ79" i="23"/>
  <c r="HE79" i="23"/>
  <c r="GT75" i="23"/>
  <c r="HH75" i="23"/>
  <c r="AV68" i="23"/>
  <c r="FU77" i="23"/>
  <c r="GU77" i="23"/>
  <c r="HI77" i="23"/>
  <c r="GZ75" i="23"/>
  <c r="HN75" i="23"/>
  <c r="GR73" i="23"/>
  <c r="HF73" i="23"/>
  <c r="GS79" i="23"/>
  <c r="HG79" i="23"/>
  <c r="GP74" i="23"/>
  <c r="HD74" i="23"/>
  <c r="GZ76" i="23"/>
  <c r="HN76" i="23"/>
  <c r="GY81" i="23"/>
  <c r="HM81" i="23"/>
  <c r="GZ79" i="23"/>
  <c r="HN79" i="23"/>
  <c r="GX83" i="23"/>
  <c r="HL83" i="23"/>
  <c r="GX72" i="23"/>
  <c r="HL72" i="23"/>
  <c r="GY78" i="23"/>
  <c r="HM78" i="23"/>
  <c r="GY71" i="23"/>
  <c r="HM71" i="23"/>
  <c r="HF75" i="23"/>
  <c r="GR75" i="23"/>
  <c r="GX86" i="23"/>
  <c r="HL86" i="23"/>
  <c r="GY82" i="23"/>
  <c r="HM82" i="23"/>
  <c r="GY77" i="23"/>
  <c r="HM77" i="23"/>
  <c r="GX84" i="23"/>
  <c r="HL84" i="23"/>
  <c r="GZ86" i="23"/>
  <c r="HN86" i="23"/>
  <c r="GS77" i="23"/>
  <c r="HG77" i="23"/>
  <c r="HD85" i="23"/>
  <c r="GP85" i="23"/>
  <c r="AZ68" i="23"/>
  <c r="GW76" i="23"/>
  <c r="HK76" i="23"/>
  <c r="FU78" i="23"/>
  <c r="GU78" i="23"/>
  <c r="HI78" i="23"/>
  <c r="GZ69" i="23"/>
  <c r="HN69" i="23"/>
  <c r="GT83" i="23"/>
  <c r="HH83" i="23"/>
  <c r="HC77" i="23"/>
  <c r="GO77" i="23"/>
  <c r="GV77" i="23"/>
  <c r="HJ77" i="23"/>
  <c r="GP86" i="23"/>
  <c r="HD86" i="23"/>
  <c r="HC80" i="23"/>
  <c r="GO80" i="23"/>
  <c r="GV80" i="23"/>
  <c r="HJ80" i="23"/>
  <c r="HC82" i="23"/>
  <c r="GO82" i="23"/>
  <c r="HF69" i="23"/>
  <c r="GR69" i="23"/>
  <c r="GS80" i="23"/>
  <c r="HG80" i="23"/>
  <c r="GW84" i="23"/>
  <c r="HK84" i="23"/>
  <c r="GV83" i="23"/>
  <c r="HJ83" i="23"/>
  <c r="FU85" i="23"/>
  <c r="GU85" i="23"/>
  <c r="HI85" i="23"/>
  <c r="HD76" i="23"/>
  <c r="GP76" i="23"/>
  <c r="GZ74" i="23"/>
  <c r="HN74" i="23"/>
  <c r="GR79" i="23"/>
  <c r="HF79" i="23"/>
  <c r="GY75" i="23"/>
  <c r="HM75" i="23"/>
  <c r="HF84" i="23"/>
  <c r="GR84" i="23"/>
  <c r="HE83" i="23"/>
  <c r="GQ83" i="23"/>
  <c r="GR74" i="23"/>
  <c r="HF74" i="23"/>
  <c r="GX85" i="23"/>
  <c r="HL85" i="23"/>
  <c r="GZ82" i="23"/>
  <c r="HN82" i="23"/>
  <c r="GR77" i="23"/>
  <c r="HF77" i="23"/>
  <c r="HF78" i="23"/>
  <c r="GR78" i="23"/>
  <c r="GW74" i="23"/>
  <c r="HK74" i="23"/>
  <c r="GW69" i="23"/>
  <c r="HK69" i="23"/>
  <c r="F9" i="23"/>
  <c r="F10" i="23" s="1"/>
  <c r="HC86" i="23"/>
  <c r="GO86" i="23"/>
  <c r="HF80" i="23"/>
  <c r="GR80" i="23"/>
  <c r="HE78" i="23"/>
  <c r="GQ78" i="23"/>
  <c r="GY79" i="23"/>
  <c r="HM79" i="23"/>
  <c r="GX71" i="23"/>
  <c r="HL71" i="23"/>
  <c r="GP80" i="23"/>
  <c r="HD80" i="23"/>
  <c r="GW73" i="23"/>
  <c r="HK73" i="23"/>
  <c r="GZ84" i="23"/>
  <c r="HN84" i="23"/>
  <c r="HF81" i="23"/>
  <c r="GR81" i="23"/>
  <c r="GQ77" i="23"/>
  <c r="HE77" i="23"/>
  <c r="HF76" i="23"/>
  <c r="GR76" i="23"/>
  <c r="GZ80" i="23"/>
  <c r="HN80" i="23"/>
  <c r="HC79" i="23"/>
  <c r="GO79" i="23"/>
  <c r="AW68" i="23"/>
  <c r="GV79" i="23"/>
  <c r="HJ79" i="23"/>
  <c r="GX80" i="23"/>
  <c r="HL80" i="23"/>
  <c r="C9" i="23"/>
  <c r="C10" i="23" s="1"/>
  <c r="GQ81" i="23"/>
  <c r="HE81" i="23"/>
  <c r="GX75" i="23"/>
  <c r="HL75" i="23"/>
  <c r="HC84" i="23"/>
  <c r="GO84" i="23"/>
  <c r="GY84" i="23"/>
  <c r="HM84" i="23"/>
  <c r="GX77" i="23"/>
  <c r="HL77" i="23"/>
  <c r="GQ80" i="23"/>
  <c r="HE80" i="23"/>
  <c r="HF83" i="23"/>
  <c r="GR83" i="23"/>
  <c r="GY86" i="23"/>
  <c r="HM86" i="23"/>
  <c r="HE76" i="23"/>
  <c r="GQ76" i="23"/>
  <c r="GU69" i="23"/>
  <c r="FU69" i="23"/>
  <c r="HI69" i="23"/>
  <c r="GV74" i="23"/>
  <c r="HJ74" i="23"/>
  <c r="D9" i="23"/>
  <c r="D10" i="23" s="1"/>
  <c r="G9" i="23"/>
  <c r="G10" i="23" s="1"/>
  <c r="GW75" i="23"/>
  <c r="HK75" i="23"/>
  <c r="GW82" i="23"/>
  <c r="HK82" i="23"/>
  <c r="GU82" i="23"/>
  <c r="FU82" i="23"/>
  <c r="HI82" i="23"/>
  <c r="HD75" i="23"/>
  <c r="GP75" i="23"/>
  <c r="GT72" i="23"/>
  <c r="HH72" i="23"/>
  <c r="GW80" i="23"/>
  <c r="HK80" i="23"/>
  <c r="GQ69" i="23"/>
  <c r="HE69" i="23"/>
  <c r="GV76" i="23"/>
  <c r="HJ76" i="23"/>
  <c r="GQ70" i="23"/>
  <c r="HE70" i="23"/>
  <c r="GW70" i="23"/>
  <c r="HK70" i="23"/>
  <c r="FU74" i="23"/>
  <c r="GU74" i="23"/>
  <c r="HI74" i="23"/>
  <c r="HC73" i="23"/>
  <c r="GO73" i="23"/>
  <c r="HD83" i="23"/>
  <c r="GP83" i="23"/>
  <c r="HF71" i="23"/>
  <c r="GR71" i="23"/>
  <c r="GO81" i="23"/>
  <c r="HC81" i="23"/>
  <c r="HF86" i="23"/>
  <c r="GR86" i="23"/>
  <c r="GZ83" i="23"/>
  <c r="HN83" i="23"/>
  <c r="B18" i="23"/>
  <c r="C18" i="23"/>
  <c r="F18" i="23"/>
  <c r="H18" i="23"/>
  <c r="E18" i="23"/>
  <c r="G18" i="23"/>
  <c r="D18" i="23"/>
  <c r="GX76" i="23"/>
  <c r="HL76" i="23"/>
  <c r="GY73" i="23"/>
  <c r="HM73" i="23"/>
  <c r="GT71" i="23"/>
  <c r="HH71" i="23"/>
  <c r="GX74" i="23"/>
  <c r="HL74" i="23"/>
  <c r="GX73" i="23"/>
  <c r="HL73" i="23"/>
  <c r="GX78" i="23"/>
  <c r="HL78" i="23"/>
  <c r="GX82" i="23"/>
  <c r="HL82" i="23"/>
  <c r="HC72" i="23"/>
  <c r="GO72" i="23"/>
  <c r="H9" i="23"/>
  <c r="GW85" i="23"/>
  <c r="HK85" i="23"/>
  <c r="GV78" i="23"/>
  <c r="HJ78" i="23"/>
  <c r="HC71" i="23"/>
  <c r="GO71" i="23"/>
  <c r="GT85" i="23"/>
  <c r="HH85" i="23"/>
  <c r="GP81" i="23"/>
  <c r="HD81" i="23"/>
  <c r="GS81" i="23"/>
  <c r="HG81" i="23"/>
  <c r="GS84" i="23"/>
  <c r="HG84" i="23"/>
  <c r="HC83" i="23"/>
  <c r="GO83" i="23"/>
  <c r="GZ73" i="23"/>
  <c r="HN73" i="23"/>
  <c r="HF85" i="23"/>
  <c r="GR85" i="23"/>
  <c r="GQ85" i="23"/>
  <c r="HE85" i="23"/>
  <c r="GZ72" i="23"/>
  <c r="HN72" i="23"/>
  <c r="GY85" i="23"/>
  <c r="HM85" i="23"/>
  <c r="HE86" i="23"/>
  <c r="GQ86" i="23"/>
  <c r="GX81" i="23"/>
  <c r="HL81" i="23"/>
  <c r="GY74" i="23"/>
  <c r="HM74" i="23"/>
  <c r="GV86" i="23"/>
  <c r="HJ86" i="23"/>
  <c r="AY68" i="23"/>
  <c r="FU86" i="23"/>
  <c r="GU86" i="23"/>
  <c r="HI86" i="23"/>
  <c r="HG75" i="23"/>
  <c r="GS75" i="23"/>
  <c r="GS70" i="23"/>
  <c r="HG70" i="23"/>
  <c r="GW86" i="23"/>
  <c r="HK86" i="23"/>
  <c r="GV84" i="23"/>
  <c r="HJ84" i="23"/>
  <c r="GV72" i="23"/>
  <c r="HJ72" i="23"/>
  <c r="HG74" i="23"/>
  <c r="GS74" i="23"/>
  <c r="GW83" i="23"/>
  <c r="HK83" i="23"/>
  <c r="FU79" i="23"/>
  <c r="GU79" i="23"/>
  <c r="HI79" i="23"/>
  <c r="HD72" i="23"/>
  <c r="GP72" i="23"/>
  <c r="GT76" i="23"/>
  <c r="HH76" i="23"/>
  <c r="GS72" i="23"/>
  <c r="HG72" i="23"/>
  <c r="HF72" i="23"/>
  <c r="GR72" i="23"/>
  <c r="HD70" i="23"/>
  <c r="GP70" i="23"/>
  <c r="GP82" i="23"/>
  <c r="HD82" i="23"/>
  <c r="GV71" i="23"/>
  <c r="HJ71" i="23"/>
  <c r="HE75" i="23"/>
  <c r="GQ75" i="23"/>
  <c r="GX79" i="23"/>
  <c r="HL79" i="23"/>
  <c r="GZ78" i="23"/>
  <c r="HN78" i="23"/>
  <c r="C47" i="23"/>
  <c r="B47" i="23" s="1"/>
  <c r="GY70" i="23"/>
  <c r="HM70" i="23"/>
  <c r="GZ77" i="23"/>
  <c r="HN77" i="23"/>
  <c r="GZ85" i="23"/>
  <c r="HN85" i="23"/>
  <c r="GX70" i="23"/>
  <c r="HL70" i="23"/>
  <c r="GY72" i="23"/>
  <c r="HM72" i="23"/>
  <c r="HF82" i="23"/>
  <c r="GR82" i="23"/>
  <c r="GU83" i="23"/>
  <c r="FU83" i="23"/>
  <c r="HI83" i="23"/>
  <c r="HF70" i="23"/>
  <c r="GR70" i="23"/>
  <c r="E9" i="23"/>
  <c r="E10" i="23" s="1"/>
  <c r="B9" i="23"/>
  <c r="GQ73" i="23"/>
  <c r="HE73" i="23"/>
  <c r="GT78" i="23"/>
  <c r="HH78" i="23"/>
  <c r="GP77" i="23"/>
  <c r="HD77" i="23"/>
  <c r="HG69" i="23"/>
  <c r="GS69" i="23"/>
  <c r="GZ71" i="23"/>
  <c r="HN71" i="23"/>
  <c r="HD78" i="23"/>
  <c r="GP78" i="23"/>
  <c r="HG85" i="23"/>
  <c r="GS85" i="23"/>
  <c r="GP79" i="23"/>
  <c r="HD79" i="23"/>
  <c r="GW81" i="23"/>
  <c r="HK81" i="23"/>
  <c r="GT69" i="23"/>
  <c r="HH69" i="23"/>
  <c r="HG82" i="23"/>
  <c r="GS82" i="23"/>
  <c r="GW79" i="23"/>
  <c r="HK79" i="23"/>
  <c r="GV81" i="23"/>
  <c r="HJ81" i="23"/>
  <c r="GT80" i="23"/>
  <c r="HH80" i="23"/>
  <c r="FX72" i="23" l="1"/>
  <c r="FW72" i="23"/>
  <c r="GY68" i="23"/>
  <c r="G13" i="23"/>
  <c r="HM68" i="23"/>
  <c r="H10" i="23"/>
  <c r="H49" i="23" s="1"/>
  <c r="G49" i="23" s="1"/>
  <c r="F49" i="23" s="1"/>
  <c r="E49" i="23" s="1"/>
  <c r="D49" i="23" s="1"/>
  <c r="C49" i="23" s="1"/>
  <c r="B49" i="23" s="1"/>
  <c r="H48" i="23"/>
  <c r="G48" i="23" s="1"/>
  <c r="F48" i="23" s="1"/>
  <c r="E48" i="23" s="1"/>
  <c r="D48" i="23" s="1"/>
  <c r="C48" i="23" s="1"/>
  <c r="B48" i="23" s="1"/>
  <c r="FX75" i="23"/>
  <c r="FW75" i="23"/>
  <c r="D13" i="23"/>
  <c r="GV68" i="23"/>
  <c r="HJ68" i="23"/>
  <c r="B10" i="23"/>
  <c r="FX69" i="23"/>
  <c r="FW69" i="23"/>
  <c r="FX77" i="23"/>
  <c r="FW77" i="23"/>
  <c r="FX81" i="23"/>
  <c r="FW81" i="23"/>
  <c r="C13" i="23"/>
  <c r="GU68" i="23"/>
  <c r="FU68" i="23"/>
  <c r="HI68" i="23"/>
  <c r="FX85" i="23"/>
  <c r="FW85" i="23"/>
  <c r="FX76" i="23"/>
  <c r="FW76" i="23"/>
  <c r="FX73" i="23"/>
  <c r="FW73" i="23"/>
  <c r="FX71" i="23"/>
  <c r="FW71" i="23"/>
  <c r="HD68" i="23"/>
  <c r="GP68" i="23"/>
  <c r="FX79" i="23"/>
  <c r="FW79" i="23"/>
  <c r="FX80" i="23"/>
  <c r="FW80" i="23"/>
  <c r="GT68" i="23"/>
  <c r="HH68" i="23"/>
  <c r="F13" i="23"/>
  <c r="GX68" i="23"/>
  <c r="HL68" i="23"/>
  <c r="FX86" i="23"/>
  <c r="FW86" i="23"/>
  <c r="FX84" i="23"/>
  <c r="FW84" i="23"/>
  <c r="FX70" i="23"/>
  <c r="FW70" i="23"/>
  <c r="GW68" i="23"/>
  <c r="E13" i="23"/>
  <c r="HK68" i="23"/>
  <c r="HG68" i="23"/>
  <c r="GS68" i="23"/>
  <c r="FX78" i="23"/>
  <c r="FW78" i="23"/>
  <c r="HF68" i="23"/>
  <c r="GR68" i="23"/>
  <c r="HC68" i="23"/>
  <c r="GO68" i="23"/>
  <c r="FX83" i="23"/>
  <c r="FW83" i="23"/>
  <c r="FX74" i="23"/>
  <c r="FW74" i="23"/>
  <c r="FX82" i="23"/>
  <c r="FW82" i="23"/>
  <c r="H13" i="23"/>
  <c r="GZ68" i="23"/>
  <c r="HN68" i="23"/>
  <c r="HE68" i="23"/>
  <c r="GQ68" i="23"/>
  <c r="C14" i="23" l="1"/>
  <c r="C16" i="23"/>
  <c r="H14" i="23"/>
  <c r="H53" i="23" s="1"/>
  <c r="H52" i="23"/>
  <c r="G52" i="23" s="1"/>
  <c r="F52" i="23" s="1"/>
  <c r="E52" i="23" s="1"/>
  <c r="D52" i="23" s="1"/>
  <c r="C52" i="23" s="1"/>
  <c r="B52" i="23" s="1"/>
  <c r="H16" i="23"/>
  <c r="H55" i="23" s="1"/>
  <c r="E14" i="23"/>
  <c r="E16" i="23"/>
  <c r="G14" i="23"/>
  <c r="G53" i="23" s="1"/>
  <c r="G16" i="23"/>
  <c r="F14" i="23"/>
  <c r="F16" i="23"/>
  <c r="D14" i="23"/>
  <c r="D16" i="23"/>
  <c r="FX68" i="23"/>
  <c r="FW68" i="23"/>
  <c r="G55" i="23" l="1"/>
  <c r="F55" i="23" s="1"/>
  <c r="E55" i="23" s="1"/>
  <c r="D55" i="23" s="1"/>
  <c r="C55" i="23" s="1"/>
  <c r="B55" i="23" s="1"/>
  <c r="R8" i="23" s="1"/>
  <c r="R47" i="23" s="1"/>
  <c r="F53" i="23"/>
  <c r="E53" i="23" s="1"/>
  <c r="D53" i="23" s="1"/>
  <c r="C53" i="23" s="1"/>
  <c r="B53" i="23" s="1"/>
  <c r="P11" i="23" l="1"/>
  <c r="P12" i="23" s="1"/>
  <c r="Q8" i="23"/>
  <c r="Q47" i="23" s="1"/>
  <c r="N11" i="23"/>
  <c r="R11" i="23"/>
  <c r="O8" i="23"/>
  <c r="P13" i="23"/>
  <c r="P14" i="23" s="1"/>
  <c r="O13" i="23"/>
  <c r="O14" i="23" s="1"/>
  <c r="Q13" i="23"/>
  <c r="Q14" i="23" s="1"/>
  <c r="R13" i="23"/>
  <c r="N13" i="23"/>
  <c r="N14" i="23" s="1"/>
  <c r="P7" i="23"/>
  <c r="N7" i="23"/>
  <c r="Q7" i="23"/>
  <c r="P8" i="23"/>
  <c r="R7" i="23"/>
  <c r="O7" i="23"/>
  <c r="N8" i="23"/>
  <c r="O11" i="23"/>
  <c r="Q11" i="23"/>
  <c r="P47" i="23" l="1"/>
  <c r="O47" i="23" s="1"/>
  <c r="N47" i="23" s="1"/>
  <c r="Q10" i="23"/>
  <c r="Q9" i="23"/>
  <c r="N10" i="23"/>
  <c r="N9" i="23"/>
  <c r="R12" i="23"/>
  <c r="R51" i="23" s="1"/>
  <c r="R15" i="23"/>
  <c r="R54" i="23" s="1"/>
  <c r="R50" i="23"/>
  <c r="Q50" i="23" s="1"/>
  <c r="P50" i="23" s="1"/>
  <c r="O50" i="23" s="1"/>
  <c r="N50" i="23" s="1"/>
  <c r="Q12" i="23"/>
  <c r="Q15" i="23"/>
  <c r="P9" i="23"/>
  <c r="P10" i="23"/>
  <c r="N12" i="23"/>
  <c r="N15" i="23"/>
  <c r="O12" i="23"/>
  <c r="O15" i="23"/>
  <c r="R52" i="23"/>
  <c r="Q52" i="23" s="1"/>
  <c r="P52" i="23" s="1"/>
  <c r="O52" i="23" s="1"/>
  <c r="N52" i="23" s="1"/>
  <c r="R14" i="23"/>
  <c r="R53" i="23" s="1"/>
  <c r="Q53" i="23" s="1"/>
  <c r="P53" i="23" s="1"/>
  <c r="O53" i="23" s="1"/>
  <c r="N53" i="23" s="1"/>
  <c r="O10" i="23"/>
  <c r="O9" i="23"/>
  <c r="R9" i="23"/>
  <c r="R48" i="23" s="1"/>
  <c r="R10" i="23"/>
  <c r="R49" i="23" s="1"/>
  <c r="R46" i="23"/>
  <c r="Q46" i="23" s="1"/>
  <c r="P46" i="23" s="1"/>
  <c r="O46" i="23" s="1"/>
  <c r="N46" i="23" s="1"/>
  <c r="P15" i="23"/>
  <c r="Q48" i="23" l="1"/>
  <c r="P48" i="23" s="1"/>
  <c r="O48" i="23" s="1"/>
  <c r="N48" i="23" s="1"/>
  <c r="Q54" i="23"/>
  <c r="P54" i="23" s="1"/>
  <c r="O54" i="23" s="1"/>
  <c r="N54" i="23" s="1"/>
  <c r="Q49" i="23"/>
  <c r="P49" i="23" s="1"/>
  <c r="O49" i="23" s="1"/>
  <c r="N49" i="23" s="1"/>
  <c r="Q51" i="23"/>
  <c r="P51" i="23" s="1"/>
  <c r="O51" i="23" s="1"/>
  <c r="N51" i="2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<sst xmlns="http://schemas.openxmlformats.org/spreadsheetml/2006/main" count="1354" uniqueCount="428">
  <si>
    <t>runMode: serial</t>
  </si>
  <si>
    <t>maxCount: 10000</t>
  </si>
  <si>
    <t xml:space="preserve">datafile: </t>
  </si>
  <si>
    <t>method: CLISATDist</t>
  </si>
  <si>
    <t>ignoreTrivialCodes: 1</t>
  </si>
  <si>
    <t>iterCount: 10000</t>
  </si>
  <si>
    <t>maxTime: 28800</t>
  </si>
  <si>
    <t>nThreads: 1</t>
  </si>
  <si>
    <t>verbose: False</t>
  </si>
  <si>
    <t>maxErr: -1</t>
  </si>
  <si>
    <t>filterCircuit: 1</t>
  </si>
  <si>
    <t>PauliProductType: X</t>
  </si>
  <si>
    <t>SingleQubitPauliErrors: 1</t>
  </si>
  <si>
    <t>fourBlock: 1</t>
  </si>
  <si>
    <t>HL: 0</t>
  </si>
  <si>
    <t>popSize: 100</t>
  </si>
  <si>
    <t>offspring: 10</t>
  </si>
  <si>
    <t>CCstart: 1</t>
  </si>
  <si>
    <t>addStabs: 0</t>
  </si>
  <si>
    <t>#########################################</t>
  </si>
  <si>
    <t>name</t>
  </si>
  <si>
    <t>n</t>
  </si>
  <si>
    <t>k</t>
  </si>
  <si>
    <t>d</t>
  </si>
  <si>
    <t>delta d</t>
  </si>
  <si>
    <t>Time</t>
  </si>
  <si>
    <t>R</t>
  </si>
  <si>
    <t>T</t>
  </si>
  <si>
    <t>Progress</t>
  </si>
  <si>
    <t>method: ColourCodeDistStim</t>
  </si>
  <si>
    <t>resume: 0</t>
  </si>
  <si>
    <t>method: decoderDist</t>
  </si>
  <si>
    <t>decoder: bposd</t>
  </si>
  <si>
    <t>bp_method: product_sum</t>
  </si>
  <si>
    <t>bp_schedule: parallel</t>
  </si>
  <si>
    <t>bp_max_iter: 100</t>
  </si>
  <si>
    <t>osd_method: OSD_CS</t>
  </si>
  <si>
    <t>osd_order: 1</t>
  </si>
  <si>
    <t>method: dist_m4ri_CC</t>
  </si>
  <si>
    <t>method: dist_m4ri_RW</t>
  </si>
  <si>
    <t>method: GraphLikeErrorStim</t>
  </si>
  <si>
    <t>method: GurobiDist</t>
  </si>
  <si>
    <t>method: MIPDist</t>
  </si>
  <si>
    <t>MIP_solver: SCIP</t>
  </si>
  <si>
    <t>method: QDistEvol</t>
  </si>
  <si>
    <t>method: QDistRndMW</t>
  </si>
  <si>
    <t>method: UndetectableErrorStim</t>
  </si>
  <si>
    <t>t</t>
  </si>
  <si>
    <t>success rate</t>
  </si>
  <si>
    <t>t/R</t>
  </si>
  <si>
    <t>Trials</t>
  </si>
  <si>
    <t>Time/Trial</t>
  </si>
  <si>
    <t>At lowest distance</t>
  </si>
  <si>
    <t>Chart Dataset:</t>
  </si>
  <si>
    <t>QDistRndMW</t>
  </si>
  <si>
    <t>Total Processing Time</t>
  </si>
  <si>
    <t>Time/Successful Trial</t>
  </si>
  <si>
    <t>\begin{center}</t>
  </si>
  <si>
    <t>r|</t>
  </si>
  <si>
    <t>}</t>
  </si>
  <si>
    <t>\hline</t>
  </si>
  <si>
    <t>\\</t>
  </si>
  <si>
    <t>\end{tabular}</t>
  </si>
  <si>
    <t>\end{center}</t>
  </si>
  <si>
    <t>Match</t>
  </si>
  <si>
    <t>dCalc</t>
  </si>
  <si>
    <t>d Estimated Successfully</t>
  </si>
  <si>
    <t>dEst</t>
  </si>
  <si>
    <t>d correct</t>
  </si>
  <si>
    <t>dMin</t>
  </si>
  <si>
    <t>CLISAT</t>
  </si>
  <si>
    <t>CCStim</t>
  </si>
  <si>
    <t>bposd</t>
  </si>
  <si>
    <t>m4ri_CC</t>
  </si>
  <si>
    <t>m4ri_RW</t>
  </si>
  <si>
    <t>GEStim</t>
  </si>
  <si>
    <t>Gurobi</t>
  </si>
  <si>
    <t>MIP-SCIP</t>
  </si>
  <si>
    <t>QDistEvol</t>
  </si>
  <si>
    <t>UEStim</t>
  </si>
  <si>
    <t>dataset: lifted_product_GF2</t>
  </si>
  <si>
    <t>outfile: /home/ucapmwe/dist-benchmark/results/lifted_product_GF2-CLISATDist-20251226_112318.543986_85062422.txt</t>
  </si>
  <si>
    <t>[[5,4,2]]</t>
  </si>
  <si>
    <t>c Parsing MaxSAT file...\nc ============================[  Problem Statistics ]============================\nc |  Number of variables:             8                                         |\nc |  Number of clauses:              15                                         |\nc ===============================================================================\nc Using SCIP solver, version 7.0.3, https://www.scipopt.org\nc scip_time = 0.000000\nc Starting SCIP solver in a separate thread (with time-limit = 0s) ...\nc Using COMiniSatPS SAT solver by Chanseok Oh (2016)\no 2\nc _x001B_[1mOptimal solution: 2_x001B_[0m\nc _______________________________________________________________________________\nc \nc restarts               : 18\nc conflicts              : 12             (3673 /sec)\nc decisions              : 30             (0.00 % random) (9183 /sec)\nc propagations           : 135            (41322 /sec)\nc conflict literals      : 18             (5.26 % deleted)\nc =======================[ UWrMaxSat resources usage ]===========================\nc Memory used            : 26.00 MB\nc CPU time               : 0.003267 s\nc Wall clock time        : 0 s\nc OptExp Enc: Srt/BDD/Add: 3 0 0\nc _______________________________________________________________________________\nv 000110010\ns OPTIMUM FOUND\n</t>
  </si>
  <si>
    <t>[[20,10,4]]</t>
  </si>
  <si>
    <t>c Parsing MaxSAT file...\nc ============================[  Problem Statistics ]============================\nc |  Number of variables:            62                                         |\nc |  Number of clauses:             189                                         |\nc ===============================================================================\nc Using SCIP solver, version 7.0.3, https://www.scipopt.org\nc scip_time = 0.000000\nc Starting SCIP solver in a separate thread (with time-limit = 0s) ...\nc Using COMiniSatPS SAT solver by Chanseok Oh (2016)\no 8\no 4\nc _x001B_[1mOptimal solution: 4_x001B_[0m\nc _______________________________________________________________________________\nc \nc restarts               : 67\nc conflicts              : 214            (27387 /sec)\nc decisions              : 363            (0.00 % random) (46455 /sec)\nc propagations           : 5507           (704761 /sec)\nc conflict literals      : 1390           (7.52 % deleted)\nc =======================[ UWrMaxSat resources usage ]===========================\nc Memory used            : 26.00 MB\nc CPU time               : 0.007814 s\nc Wall clock time        : 0 s\nc OptExp Enc: Srt/BDD/Add: 10 0 0\nc _______________________________________________________________________________\nv 101000110000000000001110000000000000000000000000000000000000000000000000\ns OPTIMUM FOUND\n</t>
  </si>
  <si>
    <t>[[35,16,6]]</t>
  </si>
  <si>
    <t>c Parsing MaxSAT file...\nc ============================[  Problem Statistics ]============================\nc |  Number of variables:           176                                         |\nc |  Number of clauses:             603                                         |\nc ===============================================================================\nc Using SCIP solver, version 7.0.3, https://www.scipopt.org\nc scip_time = 0.000000\nc Starting SCIP solver in a separate thread (with time-limit = 0s) ...\nc Using COMiniSatPS SAT solver by Chanseok Oh (2016)\no 14\no 8\no 6\nc _x001B_[1mOptimal solution: 6_x001B_[0m\nc _______________________________________________________________________________\nc \nc restarts               : 147\nc conflicts              : 3199           (38032 /sec)\nc decisions              : 3918           (0.00 % random) (46580 /sec)\nc propagations           : 148539         (1765946 /sec)\nc conflict literals      : 36984          (9.78 % deleted)\nc =======================[ UWrMaxSat resources usage ]===========================\nc Memory used            : 151.00 MB\nc CPU time               : 0.084113 s\nc Wall clock time        : 0 s\nc OptExp Enc: Srt/BDD/Add: 17 0 0\nc _______________________________________________________________________________\nv 000000000000100100101000011000000001000000000000001000011000000000001111100101001001000010000010000001000000000000000000000000000000000000000000000000000000000000000000000000000000000000000000000\ns OPTIMUM FOUND\n</t>
  </si>
  <si>
    <t>[[50,22,8]]</t>
  </si>
  <si>
    <t>c Parsing MaxSAT file...\nc ============================[  Problem Statistics ]============================\nc |  Number of variables:           318                                         |\nc |  Number of clauses:            1129                                         |\nc ===============================================================================\nc Using SCIP solver, version 7.0.3, https://www.scipopt.org\nc scip_time = 0.000000\nc Starting SCIP solver in a separate thread (with time-limit = 0s) ...\nc Using COMiniSatPS SAT solver by Chanseok Oh (2016)\no 10\no 8\nc _x001B_[1mOptimal solution: 8_x001B_[0m\nc _______________________________________________________________________________\nc \nc restarts               : 311\nc conflicts              : 24545          (16491 /sec)\nc decisions              : 28225          (0.00 % random) (18963 /sec)\nc propagations           : 1729742        (1162137 /sec)\nc conflict literals      : 380730         (15.00 % deleted)\nc =======================[ UWrMaxSat resources usage ]===========================\nc Memory used            : 151.00 MB\nc CPU time               : 1.48842 s\nc Wall clock time        : 2 s\nc OptExp Enc: Srt/BDD/Add: 29 0 0\nc _______________________________________________________________________________\nv 0000110000000000001101001000000000011000000000000000000010001111101100000000100010101101110010000010000100000101000010000110100001000001101111100010100000000000000000000000000000000000000000000000000000000000000000000000000000000000000000000000000000000000000000000000000000000000000000000000000000000000000000000000000000000000000000000000000000\ns OPTIMUM FOUND\n</t>
  </si>
  <si>
    <t>[[65,28,10]]</t>
  </si>
  <si>
    <t>c Parsing MaxSAT file...\nc ============================[  Problem Statistics ]============================\nc |  Number of variables:           558                                         |\nc |  Number of clauses:            2047                                         |\nc ===============================================================================\nc Using SCIP solver, version 7.0.3, https://www.scipopt.org\nc scip_time = 0.000000\nc Starting SCIP solver in a separate thread (with time-limit = 0s) ...\nc Using COMiniSatPS SAT solver by Chanseok Oh (2016)\no 26\no 16\no 14\no 10\nc _x001B_[1mOptimal solution: 10_x001B_[0m\nc _______________________________________________________________________________\nc \nc restarts               : 2067\nc conflicts              : 471991         (11491 /sec)\nc decisions              : 538046         (0.00 % random) (13099 /sec)\nc propagations           : 59983125       (1460359 /sec)\nc conflict literals      : 9577133        (23.98 % deleted)\nc =======================[ UWrMaxSat resources usage ]===========================\nc Memory used            : 153.00 MB\nc CPU time               : 41.0742 s\nc Wall clock time        : 41 s\nc OptExp Enc: Srt/BDD/Add: 47 0 0\nc _______________________________________________________________________________\nv 0000011000000000001000000000000100000000101100000011000010000000000000010000000000011000000100000000001000000000000000000100000000010000000000100000000000100000000000000000010101000000000010000101111101110011110001100000010010100111000001011101100001100110011010001110011000010100010000011010101000010001000010011000111110111101101110011101110100111000111011100100100101111111011001101011101111001001010100000000000000000000000000000000000000000000000000000000000000000000000000000000000000000000000000000000000000000000000000000000000000000000000000000000000000000000000000000000000000000000000\ns OPTIMUM FOUND\n</t>
  </si>
  <si>
    <t>[[80,34,12]]</t>
  </si>
  <si>
    <t>c Parsing MaxSAT file...\nc ============================[  Problem Statistics ]============================\nc |  Number of variables:           818                                         |\nc |  Number of clauses:            3045                                         |\nc ===============================================================================\nc Using SCIP solver, version 7.0.3, https://www.scipopt.org\nc scip_time = 0.000000\nc Starting SCIP solver in a separate thread (with time-limit = 0s) ...\nc Using COMiniSatPS SAT solver by Chanseok Oh (2016)\no 22\no 14\no 12\nc _x001B_[1mOptimal solution: 12_x001B_[0m\nc _______________________________________________________________________________\nc \nc restarts               : 13360\nc conflicts              : 6446254        (6173 /sec)\nc decisions              : 7191748        (0.00 % random) (6886 /sec)\nc propagations           : 871809918      (834794 /sec)\nc conflict literals      : 148883819      (29.46 % deleted)\nc =======================[ UWrMaxSat resources usage ]===========================\nc Memory used            : 251.00 MB\nc CPU time               : 1044.34 s\nc Wall clock time        : 1047 s\nc OptExp Enc: Srt/BDD/Add: 49 0 0\nc _______________________________________________________________________________\nv 100001000000000001010000001000011100000000000000000110000000010100000000000000001111011111101011111111111011110000001111101111011111111011000001111111110101111110111000001111110111011000000011111111101100000001111111111111111111000000000000101100101011111010010101011100011001110010100110101010101110110111011100010110110100111111101011000010111010011110010110000101010111011111101010001011010101011101100011011101101100111100111101001101011000100011111011011111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ns OPTIMUM FOUND\n</t>
  </si>
  <si>
    <t>[[105,44,16]]</t>
  </si>
  <si>
    <t>c Parsing MaxSAT file...\nc ============================[  Problem Statistics ]============================\nc |  Number of variables:          1412                                         |\nc |  Number of clauses:            5351                                         |\nc ===============================================================================\nc Using SCIP solver, version 7.0.3, https://www.scipopt.org\nc scip_time = 0.000000\nc Starting SCIP solver in a separate thread (with time-limit = 0s) ...\nc Using COMiniSatPS SAT solver by Chanseok Oh (2016)\no 42\no 32\no 20\no 16\n</t>
  </si>
  <si>
    <t>[[150,62,16]]</t>
  </si>
  <si>
    <t>c Parsing MaxSAT file...\nc ============================[  Problem Statistics ]============================\nc |  Number of variables:          2764                                         |\nc |  Number of clauses:           10633                                         |\nc ===============================================================================\nc Using SCIP solver, version 7.0.3, https://www.scipopt.org\nc scip_time = 0.000000\nc Starting SCIP solver in a separate thread (with time-limit = 0s) ...\nc Using COMiniSatPS SAT solver by Chanseok Oh (2016)\no 58\n</t>
  </si>
  <si>
    <t>[[155,64,20]]</t>
  </si>
  <si>
    <t>[[210,86,24]]</t>
  </si>
  <si>
    <t>[[260,106,22]]</t>
  </si>
  <si>
    <t>[[290,118,20]]</t>
  </si>
  <si>
    <t>[[300,122,20]]</t>
  </si>
  <si>
    <t>[[305,124,24]]</t>
  </si>
  <si>
    <t>[[335,136,22]]</t>
  </si>
  <si>
    <t>[[365,148,24]]</t>
  </si>
  <si>
    <t>[[400,162,22]]</t>
  </si>
  <si>
    <t>[[425,172,24]]</t>
  </si>
  <si>
    <t>[[475,192,24]]</t>
  </si>
  <si>
    <t>outfile: /home/ucapmwe/dist-benchmark/results/lifted_product_GF2-decoderDist-bposd-20251226_112317.868136_85062422.txt</t>
  </si>
  <si>
    <t>Trial:0 w:2; pErr:0.0000, weight 2 CW found:10</t>
  </si>
  <si>
    <t>Trial:0 w:4; pErr:0.0000, weight 4 CW found:88</t>
  </si>
  <si>
    <t>Trial:0 w:8; Trial:4 w:6; pErr:0.0000, weight 6 CW found:224</t>
  </si>
  <si>
    <t>Trial:0 w:8; pErr:0.0000, weight 8 CW found:355</t>
  </si>
  <si>
    <t>Trial:0 w:10; pErr:0.0009, weight 10 CW found:1428</t>
  </si>
  <si>
    <t>Trial:0 w:14; Trial:1 w:12; pErr:0.0377, weight 12 CW found:3051</t>
  </si>
  <si>
    <t>Trial:0 w:16; pErr:0.1357, weight 16 CW found:5006</t>
  </si>
  <si>
    <t>Trial:0 w:20; Trial:4 w:18; Trial:23 w:16; pErr:0.2181, weight 16 CW found:6551</t>
  </si>
  <si>
    <t>Trial:0 w:30; Trial:1 w:26; Trial:3 w:24; Trial:4 w:20; pErr:0.3521, weight 20 CW found:9576</t>
  </si>
  <si>
    <t>Trial:0 w:72; Trial:1 w:28; Trial:32 w:24; pErr:0.2658, weight 24 CW found:7523</t>
  </si>
  <si>
    <t>Trial:0 w:48; Trial:1 w:40; Trial:17 w:36; Trial:21 w:32; Trial:58 w:30; Trial:96 w:22; pErr:0.2635, weight 22 CW found:7425</t>
  </si>
  <si>
    <t>Trial:0 w:54; Trial:1 w:42; Trial:3 w:38; Trial:15 w:36; Trial:61 w:32; Trial:88 w:26; Trial:120 w:22; Trial:410 w:20; pErr:0.2607, weight 20 CW found:7134</t>
  </si>
  <si>
    <t>Trial:0 w:100; Trial:1 w:50; Trial:3 w:42; Trial:26 w:32; Trial:32 w:28; Trial:55 w:20; pErr:0.2607, weight 20 CW found:7398</t>
  </si>
  <si>
    <t>Trial:0 w:92; Trial:1 w:52; Trial:5 w:24; pErr:0.2683, weight 24 CW found:7597</t>
  </si>
  <si>
    <t>Trial:0 w:106; Trial:1 w:64; Trial:2 w:46; Trial:17 w:42; Trial:54 w:32; Trial:186 w:24; Trial:215 w:22; pErr:0.2633, weight 22 CW found:7333</t>
  </si>
  <si>
    <t>Trial:0 w:114; Trial:2 w:58; Trial:24 w:56; Trial:35 w:40; Trial:191 w:24; pErr:0.2627, weight 24 CW found:7338</t>
  </si>
  <si>
    <t>Trial:0 w:120; Trial:1 w:78; Trial:2 w:64; Trial:13 w:22; pErr:0.2621, weight 22 CW found:7459</t>
  </si>
  <si>
    <t>Trial:0 w:126; Trial:2 w:76; Trial:25 w:64; Trial:61 w:62; Trial:77 w:58; Trial:267 w:56; Trial:323 w:24; pErr:0.2623, weight 24 CW found:7230</t>
  </si>
  <si>
    <t>Trial:0 w:100; Trial:1 w:76; Trial:2 w:24; pErr:0.2624, weight 24 CW found:7474</t>
  </si>
  <si>
    <t>outfile: /home/ucapmwe/dist-benchmark/results/lifted_product_GF2-dist_m4ri_CC-20251226_112317.886720_85062422.txt</t>
  </si>
  <si>
    <t># cluster algorithm failed to find a codeword up to wmax=1\n; # wmax=2 found cw of weight 2: [1 2]\n2\n</t>
  </si>
  <si>
    <t># cluster algorithm failed to find a codeword up to wmax=1\n; # cluster algorithm failed to find a codeword up to wmax=2\n; # cluster algorithm failed to find a codeword up to wmax=3\n; # wmax=4 found cw of weight 4: [1 3 17 19]\n4\n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</si>
  <si>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wmax=6 found cw of weight 6: [1 10 14 17 19 24]\n6\n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</si>
  <si>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wmax=8 found cw of weight 8: [1 3 8 10 14 39 46 48]\n8\n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</si>
  <si>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wmax=10 found cw of weight 10: [1 2 9 19 22 24 31 36 44 46]\n10\n</t>
  </si>
  <si>
    <t>outfile: /home/ucapmwe/dist-benchmark/results/lifted_product_GF2-dist_m4ri_RW-20251226_112319.982220_85062422.txt</t>
  </si>
  <si>
    <t># step=0 row=0 minW=6 found cw of W=2: [1 4]\n# round=1000 of 10000 minW=2\n# round=2000 of 10000 minW=2\n# round=3000 of 10000 minW=2\n# round=4000 of 10000 minW=2\n# round=5000 of 10000 minW=2\n# round=6000 of 10000 minW=2\n# round=7000 of 10000 minW=2\n# round=8000 of 10000 minW=2\n# round=9000 of 10000 minW=2\n# round=10000 of 10000 minW=2\nRW algorithm upper bound for the distance d=2\n</t>
  </si>
  <si>
    <t># step=0 row=0 minW=21 found cw of W=6: [1 2 10 12 18 19]\n# step=0 row=1 minW=6 found cw of W=4: [1 3 17 19]\n# round=1000 of 10000 minW=4\n# round=2000 of 10000 minW=4\n# round=3000 of 10000 minW=4\n# round=4000 of 10000 minW=4\n# round=5000 of 10000 minW=4\n# round=6000 of 10000 minW=4\n# round=7000 of 10000 minW=4\n# round=8000 of 10000 minW=4\n# round=9000 of 10000 minW=4\n# round=10000 of 10000 minW=4\nRW algorithm upper bound for the distance d=4\n</t>
  </si>
  <si>
    <t># step=0 row=0 minW=36 found cw of W=10: [1 3 8 10 11 16 17 21 27 35]\n# step=0 row=5 minW=10 found cw of W=6: [5 14 16 18 21 28]\n#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</si>
  <si>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minW=51 found cw of W=14: [1 2 4 13 16 21 26 28 30 32 33 39 46 48]\n# step=0 row=2 minW=14 found cw of W=8: [7 13 18 21 22 38 39 47]\n# round=1000 of 10000 minW=8\n# round=2000 of 10000 minW=8\n# round=3000 of 10000 minW=8\n# round=4000 of 10000 minW=8\n# round=5000 of 10000 minW=8\n# round=6000 of 10000 minW=8\n# round=7000 of 10000 minW=8\n# round=8000 of 10000 minW=8\n# round=9000 of 10000 minW=8\n# round=10000 of 10000 minW=8\nRW algorithm upper bound for the distance d=8\n</t>
  </si>
  <si>
    <t># step=0 row=0 minW=66 found cw of W=20: [1 2 10 11 13 18 21 27 34 36 38 39 41 42 51 52 57 58 61 65]\n# step=0 row=1 minW=20 found cw of W=14: [4 10 13 16 18 27 34 36 38 39 42 44 49 52]\n# step=0 row=3 minW=14 found cw of W=10: [6 13 16 27 34 35 36 40 53 65]\n#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</si>
  <si>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minW=81 found cw of W=20: [2 3 10 15 18 22 25 41 42 43 54 59 60 61 64 67 76 77 79 80]\n# step=0 row=3 minW=20 found cw of W=18: [1 2 6 8 14 19 22 27 34 38 40 42 51 54 58 59 62 65]\n# step=0 row=7 minW=18 found cw of W=16: [6 13 14 15 19 22 27 32 52 59 62 63 67 68 77 80]\n# step=0 row=14 minW=16 found cw of W=12: [15 22 25 27 29 32 38 41 59 77 79 80]\n#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</si>
  <si>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minW=106 found cw of W=16: [1 5 11 22 26 28 36 46 51 53 56 70 72 77 78 88]\n# round=1000 of 10000 minW=16\n# round=2000 of 10000 minW=16\n# round=3000 of 10000 minW=16\n# round=4000 of 10000 minW=16\n# round=5000 of 10000 minW=16\n# round=6000 of 10000 minW=16\n# round=7000 of 10000 minW=16\n# round=8000 of 10000 minW=16\n# round=9000 of 10000 minW=16\n# round=10000 of 10000 minW=16\nRW algorithm upper bound for the distance d=16\n</t>
  </si>
  <si>
    <t># step=0 row=0 minW=151 found cw of W=20: [2 4 6 9 18 32 40 48 53 66 71 75 78 100 105 108 124 129 131 143]\n# step=2 row=6 minW=20 found cw of W=18: [5 6 16 22 36 46 50 65 81 82 84 111 112 113 140 142 143 144]\n# step=29 row=43 minW=18 found cw of W=16: [3 16 18 30 31 46 47 62 65 91 93 108 122 125 137 150]\n# round=1000 of 10000 minW=16\n# round=2000 of 10000 minW=16\n# round=3000 of 10000 minW=16\n# round=4000 of 10000 minW=16\n# round=5000 of 10000 minW=16\n# round=6000 of 10000 minW=16\n# round=7000 of 10000 minW=16\n# round=8000 of 10000 minW=16\n# round=9000 of 10000 minW=16\n# round=10000 of 10000 minW=16\nRW algorithm upper bound for the distance d=16\n</t>
  </si>
  <si>
    <t># step=0 row=0 minW=156 found cw of W=30: [1 6 9 13 15 16 19 23 41 45 46 52 53 62 65 68 72 74 79 83 84 105 110 114 129 131 134 137 151 155]\n# step=0 row=6 minW=30 found cw of W=28: [6 14 25 32 38 52 55 63 65 67 74 76 77 79 88 99 100 101 103 114 119 121 127 129 131 137 138 153]\n# step=0 row=9 minW=28 found cw of W=22: [6 7 19 20 26 32 44 45 52 77 81 82 85 101 105 109 119 123 124 127 129 154]\n# step=2 row=2 minW=22 found cw of W=20: [6 8 11 31 36 45 57 61 66 73 74 86 98 100 115 124 138 148 151 152]\n#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</si>
  <si>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minW=211 found cw of W=62: [2 3 4 8 11 12 14 16 17 18 20 29 30 46 47 49 51 53 54 55 58 60 66 67 72 80 86 87 89 91 92 93 96 97 101 103 104 105 108 113 119 120 123 130 139 141 143 145 151 161 164 167 172 180 181 182 183 185 189 204 207 209]\n# step=0 row=1 minW=62 found cw of W=46: [4 5 8 9 11 12 18 19 20 24 30 34 36 51 54 67 72 80 88 89 92 96 97 101 103 104 108 118 119 120 123 125 130 143 147 161 164 167 172 179 180 181 186 189 193 207]\n# step=0 row=16 minW=46 found cw of W=44: [2 8 9 11 14 17 19 27 30 41 42 47 48 50 51 52 53 55 63 72 75 80 86 89 93 97 105 117 119 137 145 147 161 164 167 168 174 177 178 179 182 185 189 195]\n# step=0 row=22 minW=44 found cw of W=42: [2 12 16 17 18 27 29 42 51 53 54 56 58 60 62 71 80 84 86 89 93 103 104 105 119 120 125 137 139 143 145 147 161 168 173 181 182 195 204 206 209 210]\n# step=0 row=23 minW=42 found cw of W=40: [6 8 9 17 19 20 22 28 30 31 38 41 44 50 53 55 63 72 74 75 86 91 104 117 125 133 137 139 143 145 148 157 158 168 174 177 189 196 206 210]\n# step=0 row=32 minW=40 found cw of W=36: [2 4 6 8 11 19 29 31 36 37 44 52 53 55 67 70 73 80 88 92 94 103 113 120 125 132 137 151 158 163 179 181 196 200 206 209]\n# step=0 row=56 minW=36 found cw of W=34: [6 8 9 14 22 24 31 37 50 51 55 58 66 73 96 119 120 125 132 142 143 147 148 161 164 167 180 181 182 185 189 204 205 206]\n# step=0 row=67 minW=34 found cw of W=30: [6 9 11 19 24 28 31 37 42 51 55 56 70 73 88 108 119 120 123 132 137 145 161 163 165 168 172 181 182 204]\n# step=7 row=22 minW=30 found cw of W=26: [15 16 17 21 28 36 57 59 67 69 81 84 86 92 100 105 108 109 134 150 153 162 165 168 170 196]\n# step=66 row=13 minW=26 found cw of W=24: [8 21 32 35 42 44 48 51 54 76 89 115 118 119 132 135 138 147 157 158 170 173 176 210]\n#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</si>
  <si>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minW=261 found cw of W=68: [1 3 6 8 12 15 18 26 27 29 34 45 46 51 53 56 61 66 67 77 81 89 90 94 102 105 106 110 111 120 123 136 139 141 145 153 154 155 160 164 165 169 172 178 188 192 193 194 198 200 201 202 208 217 220 224 228 230 231 236 237 240 246 251 253 255 256 260]\n# step=0 row=1 minW=68 found cw of W=64: [2 4 6 8 12 15 23 24 26 27 29 34 42 45 46 48 51 52 61 66 67 72 73 76 77 80 81 83 84 94 95 99 102 108 111 122 123 129 139 142 152 153 154 155 158 160 183 185 192 193 197 203 206 209 219 231 232 234 236 242 245 246 247 251]\n# step=0 row=5 minW=64 found cw of W=56: [9 13 29 39 40 42 45 48 51 52 53 55 60 61 66 67 72 73 77 83 84 94 95 119 125 136 139 141 142 154 161 164 165 172 179 185 189 192 201 202 203 206 208 209 220 228 230 231 232 233 234 238 242 244 255 256]\n# step=0 row=8 minW=56 found cw of W=52: [1 7 9 15 17 21 24 26 34 47 48 53 56 66 67 68 72 84 85 89 91 99 102 117 122 129 145 149 152 158 164 165 172 178 183 188 189 194 196 201 202 206 216 219 220 230 233 240 242 246 256 258]\n# step=0 row=19 minW=52 found cw of W=48: [2 6 8 22 27 29 34 40 42 47 49 51 52 68 69 76 77 81 90 95 102 105 108 123 125 136 145 147 149 153 155 160 161 164 177 188 192 193 194 197 216 217 228 230 244 245 251 255]\n# step=0 row=66 minW=48 found cw of W=40: [2 9 26 29 48 52 77 80 83 91 94 95 108 110 120 136 141 151 157 158 164 165 169 179 188 189 197 198 200 202 217 220 224 228 233 234 238 242 253 255]\n# step=2 row=4 minW=40 found cw of W=38: [3 8 23 33 47 48 59 70 76 77 87 88 100 112 117 130 136 137 140 144 152 153 158 168 174 176 178 182 192 210 228 231 232 236 238 247 251 256]\n# step=3 row=82 minW=38 found cw of W=36: [19 33 34 35 43 44 45 52 59 64 75 78 87 102 104 105 106 108 115 131 139 143 176 187 188 198 200 225 226 234 238 243 250 253 255 259]\n# step=17 row=15 minW=36 found cw of W=34: [5 10 31 32 35 36 56 76 79 82 83 100 102 104 105 108 111 129 131 138 141 155 167 169 170 194 195 200 222 223 233 253 256 257]\n# step=24 row=9 minW=34 found cw of W=24: [17 20 60 61 66 89 90 93 115 116 119 123 142 143 145 150 157 182 205 206 209 210 240 242]\n# step=192 row=38 minW=24 found cw of W=22: [65 66 68 72 94 99 121 131 150 154 159 161 184 185 187 190 213 214 221 223 242 245]\n#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</si>
  <si>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minW=291 found cw of W=86: [2 5 6 9 12 18 25 26 28 32 35 43 44 51 53 61 77 79 81 86 87 88 89 91 95 97 98 100 101 106 107 111 115 117 118 125 127 133 135 141 149 152 154 155 160 162 164 165 167 174 181 182 184 189 192 199 201 202 207 210 212 216 217 222 225 229 230 231 232 234 237 238 240 248 255 256 257 259 260 263 264 274 277 279 288 289]\n# step=0 row=1 minW=86 found cw of W=74: [1 5 7 8 9 13 15 17 28 31 47 51 59 60 64 69 72 77 81 89 93 95 98 101 103 105 107 108 117 124 127 133 136 141 144 145 160 167 168 169 175 181 184 187 194 199 202 207 209 212 214 217 220 225 227 232 234 237 240 241 246 252 257 258 259 263 265 267 268 275 276 279 280 290]\n# step=0 row=6 minW=74 found cw of W=70: [2 5 9 13 15 18 20 24 25 26 31 35 38 47 59 61 63 64 69 77 79 81 85 86 89 91 95 97 100 101 103 104 111 115 117 124 127 131 133 135 144 149 154 162 164 174 182 184 186 192 194 201 202 204 209 210 212 226 231 232 237 240 259 265 267 276 277 279 280 289]\n# step=0 row=8 minW=70 found cw of W=66: [1 3 15 17 18 23 24 27 28 31 35 38 45 50 51 60 61 63 72 77 79 83 88 98 102 103 108 124 131 132 141 149 155 165 167 168 174 175 185 189 192 194 199 204 207 210 217 220 222 225 227 229 230 234 239 255 256 257 258 263 265 267 275 276 280 288]\n# step=0 row=19 minW=66 found cw of W=62: [1 5 9 14 17 22 31 46 51 53 54 64 69 72 79 81 85 89 93 95 98 101 105 106 108 117 124 125 127 133 141 151 155 160 167 168 169 175 181 184 186 189 199 209 212 214 220 221 225 226 232 234 237 241 257 258 263 267 268 279 280 290]\n# step=0 row=23 minW=62 found cw of W=60: [1 8 12 13 17 22 24 29 31 32 35 46 47 61 62 63 72 79 85 87 88 92 98 103 105 106 108 118 125 127 131 139 145 151 165 167 168 169 181 184 187 189 202 204 207 210 212 214 226 229 230 234 240 246 248 256 263 264 265 267]\n# step=0 row=44 minW=60 found cw of W=58: [3 4 5 8 9 22 25 31 41 43 45 46 47 59 63 64 73 79 89 91 93 94 95 100 108 111 115 117 119 127 131 136 139 146 151 169 184 199 201 204 209 215 217 220 221 231 232 237 239 240 252 256 258 259 267 277 280 289]\n# step=0 row=54 minW=58 found cw of W=54: [1 2 3 4 8 9 12 31 32 38 43 47 51 53 69 77 81 86 92 93 94 100 101 102 108 111 118 127 131 133 140 141 146 152 154 160 167 182 184 194 210 217 221 225 230 231 234 255 257 264 276 279 280 289]\n# step=1 row=5 minW=54 found cw of W=36: [2 7 8 16 23 28 39 50 60 71 77 81 100 102 103 114 125 138 175 182 185 186 190 217 233 234 239 259 260 270 271 275 276 280 282 286]\n# step=15 row=88 minW=36 found cw of W=28: [13 23 24 25 26 50 78 82 103 113 122 134 155 161 179 187 196 198 206 217 219 224 244 255 257 275 281 283]\n# step=25 row=29 minW=28 found cw of W=20: [36 49 51 56 58 63 81 82 84 127 129 145 165 190 203 222 230 261 262 288]\n#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</si>
  <si>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minW=301 found cw of W=86: [1 2 3 10 11 16 18 21 27 30 31 38 39 55 57 59 62 64 73 74 76 81 82 86 87 91 95 96 97 99 107 108 109 111 112 113 114 126 146 147 148 149 152 154 156 161 164 167 168 175 179 182 184 185 187 188 189 192 194 195 196 199 202 203 205 207 208 209 222 225 228 233 239 245 247 252 257 264 267 268 271 275 282 287 296 300]\n# step=0 row=4 minW=86 found cw of W=66: [1 2 5 7 13 14 18 27 29 31 33 34 43 55 61 62 64 73 76 77 81 86 90 108 124 140 141 147 155 157 161 168 177 179 183 184 189 196 199 200 202 203 205 209 210 214 218 222 228 229 232 233 244 246 247 250 261 262 263 264 267 275 281 284 296 297]\n# step=0 row=58 minW=66 found cw of W=60: [1 5 10 18 23 27 29 31 33 34 52 55 61 73 77 87 88 90 91 95 96 108 112 114 130 132 133 136 141 146 154 156 157 165 174 179 184 186 189 202 207 209 210 215 218 221 223 227 228 229 244 250 252 261 264 267 281 282 290 294]\n# step=0 row=108 minW=60 found cw of W=50: [1 7 13 31 38 42 45 55 61 66 74 82 85 88 91 99 107 109 130 132 136 141 165 168 172 173 183 185 188 189 202 208 214 215 218 225 227 232 246 247 257 261 264 271 274 278 281 290 296 300]\n# step=2 row=80 minW=50 found cw of W=44: [12 15 18 23 29 43 44 58 70 75 76 80 88 104 114 119 122 125 128 139 142 150 168 170 176 179 184 192 195 209 210 211 215 216 224 232 242 252 256 267 270 282 284 290]\n# step=6 row=45 minW=44 found cw of W=42: [1 6 8 26 27 36 49 58 67 71 72 80 93 104 110 111 112 124 132 135 149 159 160 167 168 170 171 173 191 198 208 212 215 223 226 227 244 255 265 279 287 299]\n# step=20 row=54 minW=42 found cw of W=36: [20 27 34 39 45 60 64 78 88 95 106 127 130 148 152 161 166 169 172 180 183 186 200 201 211 214 225 240 243 254 260 272 289 293 296 300]\n# step=20 row=75 minW=36 found cw of W=26: [10 27 35 36 56 60 61 71 88 92 93 117 121 180 197 201 212 229 236 237 244 260 264 265 289 293]\n# step=68 row=22 minW=26 found cw of W=20: [3 11 21 43 46 60 131 144 152 173 183 184 187 197 212 229 244 250 272 276]\n#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</si>
  <si>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minW=306 found cw of W=62: [1 2 16 17 21 24 30 33 34 43 49 53 58 65 78 90 95 102 104 105 111 113 115 116 119 120 121 123 146 154 162 166 169 172 173 176 177 183 186 196 198 206 210 211 214 217 220 234 239 246 247 248 252 271 272 278 282 284 290 294 297 304]\n# step=0 row=13 minW=62 found cw of W=56: [2 5 18 21 26 29 30 31 34 40 49 53 57 58 59 62 64 65 67 78 84 91 104 111 115 120 126 138 140 144 157 164 172 177 183 186 196 206 210 214 217 220 221 238 239 243 246 247 248 250 272 281 284 285 304 305]\n# step=2 row=42 minW=56 found cw of W=52: [3 9 13 15 25 35 41 52 59 70 79 82 87 88 92 96 98 101 103 115 116 120 125 130 135 137 142 143 148 152 172 174 180 184 190 192 200 205 209 210 215 216 226 234 238 249 278 285 289 294 299 300]\n# step=3 row=115 minW=52 found cw of W=50: [8 10 12 13 18 26 32 46 57 61 64 75 82 83 90 91 99 100 104 131 134 141 160 182 194 198 213 216 217 224 227 229 231 235 236 237 238 243 252 257 258 259 262 264 278 279 282 287 288 296]\n# step=9 row=76 minW=50 found cw of W=46: [3 12 16 17 28 38 46 49 50 73 74 75 78 82 97 112 114 124 130 135 142 156 162 164 166 168 174 184 188 191 195 198 200 205 219 220 225 233 234 261 266 282 284 288 289 290]\n# step=23 row=19 minW=46 found cw of W=40: [5 9 22 28 37 42 51 53 55 59 64 68 71 80 84 94 95 118 119 128 131 135 139 150 155 175 193 212 234 246 248 252 255 259 263 268 282 292 301 305]\n# step=80 row=112 minW=40 found cw of W=24: [31 33 36 99 101 102 107 155 158 180 200 201 205 210 212 214 245 281 287 289 290 294 299 304]\n#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</si>
  <si>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minW=336 found cw of W=92: [1 6 8 9 14 20 23 25 28 36 38 39 42 43 45 46 57 58 61 63 67 77 78 86 94 95 98 101 102 105 106 107 109 119 121 122 123 126 127 132 135 136 140 142 144 147 152 154 166 169 171 176 181 185 191 197 199 204 210 212 213 214 226 230 231 234 245 246 251 254 257 258 264 265 274 277 282 283 284 287 296 298 304 305 307 310 312 314 318 326 331 334]\n# step=0 row=1 minW=92 found cw of W=66: [2 4 5 6 28 31 39 42 43 44 46 47 54 56 58 61 64 66 67 75 77 79 92 99 102 106 109 110 112 117 118 120 121 140 143 144 152 154 166 167 169 171 187 196 204 215 217 231 234 240 254 256 258 264 265 283 294 296 299 300 303 310 312 318 323 325]\n# step=0 row=8 minW=66 found cw of W=58: [4 6 17 18 23 24 28 36 42 56 58 59 64 67 79 95 99 101 104 105 106 112 119 121 126 130 132 140 155 162 165 166 167 171 176 187 191 197 201 214 216 221 225 227 229 230 231 251 258 262 264 270 280 282 299 305 310 312]\n# step=1 row=7 minW=58 found cw of W=56: [2 7 13 17 18 22 24 34 39 48 53 55 57 63 65 68 73 80 81 86 88 93 100 111 116 128 137 148 160 162 172 173 175 178 180 193 197 204 205 211 221 228 237 238 257 267 268 274 281 296 302 305 309 311 312 331]\n# step=3 row=39 minW=56 found cw of W=32: [3 4 15 22 35 40 45 50 52 78 82 93 100 113 118 133 134 154 158 165 217 218 225 228 233 238 243 253 276 291 322 328]\n# step=151 row=97 minW=32 found cw of W=30: [8 23 28 31 56 58 60 71 86 106 111 119 135 136 166 171 196 198 199 207 211 229 231 241 246 262 263 300 315 319]\n# step=224 row=63 minW=30 found cw of W=22: [2 6 15 54 141 143 146 167 180 192 204 206 218 227 243 267 281 284 309 311 321 326]\n#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</si>
  <si>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minW=366 found cw of W=84: [2 5 10 11 15 18 20 22 27 33 34 35 38 43 60 66 69 79 80 82 90 98 107 112 116 117 118 119 126 129 130 140 142 152 159 166 167 168 171 176 178 182 183 188 190 211 213 215 218 230 238 239 242 244 247 249 252 255 257 258 264 269 271 274 278 287 292 302 303 310 312 317 318 321 322 328 333 335 341 342 343 344 351 358]\n# step=0 row=7 minW=84 found cw of W=82: [11 20 21 23 24 32 33 43 53 55 66 67 72 74 79 88 89 90 105 107 112 113 116 117 118 120 123 125 132 135 142 148 167 173 178 181 182 183 185 190 202 217 218 221 231 233 238 247 248 253 254 257 258 259 261 262 263 269 270 271 273 276 283 287 288 289 296 297 298 301 307 308 313 317 318 322 324 330 332 349 350 351]\n# step=0 row=26 minW=82 found cw of W=80: [3 4 9 13 20 21 29 32 33 42 52 55 61 69 71 72 74 79 80 82 89 100 115 123 128 129 132 142 152 160 161 173 176 178 181 182 197 205 213 215 221 223 231 232 237 239 240 244 252 253 259 263 265 274 279 283 284 292 298 302 307 308 312 313 317 319 322 324 327 328 330 332 334 335 342 343 350 351 354 358]\n# step=0 row=48 minW=80 found cw of W=70: [1 3 4 9 21 27 29 50 52 65 68 69 71 77 82 85 103 107 110 112 113 118 120 128 131 132 148 157 158 159 160 176 178 186 197 202 209 213 214 215 218 219 221 225 231 232 233 246 247 254 257 258 273 278 279 284 289 292 298 301 303 319 327 333 334 342 343 350 353 354]\n# step=1 row=1 minW=70 found cw of W=64: [4 8 12 14 17 18 20 28 34 35 41 58 59 70 73 77 80 82 93 99 122 126 128 129 131 136 141 149 154 160 173 175 181 188 194 202 208 210 219 225 231 233 236 238 239 255 269 273 276 286 292 294 296 299 300 310 311 314 317 333 343 358 359 365]\n# step=2 row=121 minW=64 found cw of W=62: [2 3 9 10 13 25 27 32 33 40 42 53 55 57 62 64 71 80 82 84 90 100 102 106 107 114 115 126 127 137 149 153 164 173 184 189 193 206 212 213 214 219 220 230 233 237 247 290 291 294 297 301 309 314 315 324 326 333 343 352 358 365]\n# step=3 row=85 minW=62 found cw of W=52: [23 31 38 39 46 47 49 51 54 71 76 80 81 83 88 91 107 113 121 125 139 149 160 162 194 201 208 211 212 219 221 223 225 228 233 249 255 265 273 274 295 301 303 309 313 320 321 331 345 348 350 353]\n# step=26 row=15 minW=52 found cw of W=24: [27 35 40 46 50 64 79 102 122 128 129 146 228 254 262 274 291 292 302 316 317 322 326 345]\n#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</si>
  <si>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minW=401 found cw of W=114: [2 7 15 19 20 21 25 26 28 31 34 36 46 52 53 54 56 57 68 74 75 80 82 88 89 90 91 96 98 107 108 109 110 112 113 114 116 118 119 120 126 129 134 135 136 139 157 162 170 172 175 176 178 180 191 201 205 206 213 219 224 226 227 235 238 249 250 254 255 256 260 268 271 272 274 278 280 281 286 287 291 292 293 300 301 302 311 316 319 329 335 338 342 345 346 347 349 350 354 355 356 357 358 359 360 361 362 366 368 372 395 396 397 398]\n# step=0 row=1 minW=114 found cw of W=100: [3 4 15 16 20 22 34 35 44 50 53 56 57 75 77 80 82 89 98 99 100 106 107 110 112 113 114 116 119 126 129 134 136 137 138 140 144 146 150 163 164 168 170 172 178 184 189 191 194 204 205 206 211 216 217 219 221 225 226 253 254 255 260 269 271 272 274 282 299 301 302 305 312 316 318 322 327 328 334 337 338 342 345 346 347 359 360 361 362 368 372 377 382 386 391 392 393 394 396 397]\n# step=0 row=2 minW=100 found cw of W=98: [5 7 16 20 22 23 25 26 28 31 36 39 50 52 56 70 75 80 88 89 91 96 102 106 108 109 110 112 113 116 119 120 121 124 126 135 140 150 154 157 161 162 170 172 178 180 184 186 191 193 201 205 206 211 219 221 224 225 226 254 257 262 277 279 280 281 286 287 294 300 303 305 314 316 324 328 332 334 337 342 344 345 346 352 355 360 361 362 366 372 381 382 386 393 395 398 399 400]\n# step=0 row=3 minW=98 found cw of W=94: [6 7 15 19 22 25 26 35 36 39 44 45 52 54 68 70 82 88 89 90 91 96 99 106 108 109 113 120 121 124 134 136 140 146 148 151 154 161 162 168 170 175 178 184 186 193 194 211 219 227 238 255 256 260 262 270 271 272 274 276 277 280 287 291 292 293 294 300 301 302 305 326 328 334 335 338 345 346 347 349 350 352 355 358 359 360 366 381 382 392 393 394 396 400]\n# step=0 row=4 minW=94 found cw of W=88: [12 15 16 25 31 34 36 45 50 52 53 54 57 68 74 77 90 93 102 107 108 109 110 114 118 120 129 136 144 148 151 157 162 163 164 172 175 180 194 201 204 213 216 217 221 226 238 249 253 257 262 274 277 278 280 286 291 292 294 299 300 301 314 319 322 332 334 338 344 348 349 350 352 354 355 356 357 359 360 366 377 391 392 394 396 397 399 400]\n# step=0 row=15 minW=88 found cw of W=80: [3 21 23 25 26 33 34 35 44 46 47 53 54 57 61 68 74 77 87 89 91 96 100 107 109 110 116 118 124 136 137 140 145 154 162 168 176 184 194 196 201 211 217 219 225 226 235 249 250 260 268 271 276 278 279 280 291 299 303 305 311 316 317 319 324 326 329 334 337 347 348 354 355 357 358 377 382 386 396 399]\n# step=0 row=102 minW=80 found cw of W=72: [7 22 26 28 33 35 36 44 45 46 53 57 61 68 70 75 82 87 98 99 106 107 110 116 118 124 135 139 145 148 164 172 189 193 194 213 221 224 227 238 242 250 253 255 256 260 272 274 276 277 281 287 291 293 294 312 316 317 318 319 335 339 352 356 378 380 391 394 395 397 398 399]\n# step=1 row=77 minW=72 found cw of W=70: [7 11 24 32 41 49 50 53 60 64 67 70 75 78 89 94 95 96 101 106 113 114 129 130 131 137 138 143 150 161 168 176 178 193 195 198 199 202 203 208 210 215 216 245 248 253 257 258 264 265 279 281 294 308 316 326 332 339 340 347 349 359 361 364 369 372 387 389 391 396]\n# step=2 row=52 minW=70 found cw of W=68: [12 15 24 31 37 40 41 48 52 53 55 56 58 59 69 71 86 87 97 102 111 115 121 126 132 133 136 142 155 158 162 163 166 167 180 181 184 185 190 193 195 198 204 205 218 246 248 286 287 288 298 301 307 308 311 316 319 320 321 336 346 354 357 365 373 382 388 395]\n# step=4 row=80 minW=68 found cw of W=64: [1 3 5 17 50 62 63 69 70 75 87 88 89 102 103 104 110 117 120 124 126 132 133 146 151 153 166 175 182 192 198 201 210 211 224 228 230 234 240 244 254 256 258 260 265 267 271 274 277 283 288 295 302 303 324 335 347 362 378 384 385 390 396 398]\n# step=6 row=9 minW=64 found cw of W=22: [26 28 33 38 47 50 87 91 92 134 163 175 182 196 232 234 347 349 350 356 370 380]\n#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</si>
  <si>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minW=426 found cw of W=106: [6 7 9 14 18 19 21 23 24 30 42 55 56 59 65 66 70 78 83 85 87 90 92 94 97 98 99 102 106 107 109 113 114 125 135 141 155 156 158 164 166 167 169 175 177 184 185 186 190 194 196 200 201 206 216 218 226 234 241 244 245 247 249 258 261 262 263 264 265 266 268 270 271 274 277 284 288 292 293 298 303 306 307 316 321 327 335 345 348 353 354 360 363 367 375 376 382 386 389 398 404 416 418 419 421 423]\n# step=0 row=3 minW=106 found cw of W=104: [3 4 8 10 12 15 16 17 21 23 30 32 36 40 42 48 49 55 56 61 65 66 70 71 78 82 85 100 107 109 113 114 116 123 131 136 138 139 141 146 152 155 164 168 171 177 184 192 194 196 206 207 211 225 226 234 235 237 239 242 244 247 252 260 265 272 274 277 284 288 293 298 300 303 304 306 308 311 317 321 334 343 348 349 350 353 354 358 360 363 371 373 376 378 382 383 389 398 401 403 416 422 423 424]\n# step=0 row=4 minW=104 found cw of W=96: [4 7 8 9 14 15 17 21 22 30 32 36 41 45 48 55 56 60 61 66 67 83 92 98 99 100 114 123 125 135 136 138 139 144 147 149 155 162 164 167 170 175 176 189 192 200 201 207 218 237 241 243 252 260 261 263 266 271 290 293 294 298 303 304 306 308 312 316 317 319 327 335 336 338 339 342 343 345 348 358 363 367 373 375 376 378 383 389 392 393 401 407 418 420 422 424]\n# step=0 row=7 minW=96 found cw of W=76: [9 10 17 19 24 27 30 36 41 45 55 56 65 70 74 78 82 90 96 106 113 116 117 123 125 136 138 144 151 152 154 155 158 164 166 169 183 189 196 200 206 207 211 218 234 235 239 243 249 258 264 268 273 277 290 300 305 308 309 311 321 334 336 342 345 349 352 353 373 378 389 398 403 407 420 423]\n# step=4 row=1 minW=76 found cw of W=70: [3 4 7 8 12 15 34 52 56 78 79 98 107 112 116 117 127 128 135 137 140 142 143 149 152 153 166 174 190 196 205 214 218 226 234 235 237 250 251 252 256 268 270 280 281 282 299 302 305 307 311 331 333 334 335 340 347 352 354 364 372 375 377 395 398 400 403 416 419 420]\n# step=4 row=68 minW=70 found cw of W=58: [2 6 22 28 34 55 56 58 63 65 70 78 84 90 117 141 146 150 152 155 161 175 178 184 190 195 215 218 221 223 227 236 258 262 268 282 286 290 297 303 309 311 315 317 342 344 348 350 352 353 356 367 384 389 396 404 410 423]\n# step=26 row=91 minW=58 found cw of W=56: [10 14 21 42 43 47 50 53 67 69 72 78 103 129 133 137 142 155 160 166 171 189 192 204 208 209 212 213 222 244 252 266 277 286 294 299 302 304 305 307 313 323 325 327 328 337 338 358 374 375 379 383 397 404 407 412]\n# step=47 row=116 minW=56 found cw of W=24: [7 23 38 44 50 59 98 102 110 135 142 163 176 181 185 212 229 240 275 291 294 300 311 334]\n#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</si>
  <si>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minW=476 found cw of W=130: [1 5 7 8 9 12 16 18 19 28 29 31 35 39 40 41 44 48 51 71 82 90 96 100 101 102 106 107 110 115 118 128 129 139 140 147 152 153 154 166 167 171 176 182 183 185 192 199 205 211 215 216 219 226 236 237 241 242 246 252 255 261 262 266 267 271 273 275 278 280 282 283 287 299 305 315 319 323 326 329 330 331 332 333 338 340 342 343 345 347 350 351 352 356 360 364 367 373 376 381 388 390 397 399 405 406 411 415 416 418 429 430 431 432 434 438 439 445 447 448 457 458 461 463 464 466 467 469 470 474]\n# step=0 row=4 minW=130 found cw of W=124: [5 10 12 15 18 22 23 24 27 29 32 39 41 44 46 48 51 70 72 79 82 90 95 96 101 102 107 109 110 112 113 114 115 123 126 128 129 139 143 144 147 150 153 163 166 171 172 176 178 185 190 192 213 214 219 226 236 237 238 246 249 252 262 267 271 272 273 277 283 287 289 294 298 300 304 308 312 320 330 331 332 334 336 338 340 343 346 350 352 354 359 360 361 372 373 376 384 388 390 395 398 405 406 407 409 412 415 416 417 421 422 429 430 431 432 434 442 446 447 450 454 466 467 470]\n# step=0 row=5 minW=124 found cw of W=122: [3 8 9 10 13 14 17 18 22 23 29 32 35 43 44 57 64 70 79 82 95 101 109 110 112 115 118 120 127 128 129 139 140 141 142 146 154 155 162 163 167 178 181 182 191 192 199 204 213 214 215 219 225 227 229 232 237 241 242 246 256 258 261 272 273 275 276 277 283 288 299 304 305 306 311 312 313 316 319 320 323 326 332 334 338 340 344 345 346 347 354 355 356 358 359 361 372 376 380 388 397 399 406 409 412 415 418 419 422 429 432 433 439 446 448 454 457 464 465 466 467 469]\n# step=0 row=10 minW=122 found cw of W=104: [7 8 9 10 11 16 19 25 28 37 39 40 43 44 46 51 54 57 64 68 72 76 87 106 107 109 118 120 127 129 142 146 150 154 163 166 176 189 193 210 213 214 222 225 227 232 236 237 240 245 246 255 256 258 261 262 265 271 278 288 289 294 298 300 303 311 312 315 329 330 331 346 347 354 355 356 358 359 360 367 368 380 388 394 395 397 399 405 416 421 422 429 431 432 438 444 446 447 448 450 457 465 467 470]\n# step=0 row=107 minW=104 found cw of W=98: [3 5 7 8 12 14 18 24 28 35 40 41 44 48 50 54 58 64 72 82 94 96 98 103 110 113 123 147 153 157 162 165 166 174 181 190 193 196 199 205 215 219 225 236 237 241 242 249 251 253 272 273 276 278 283 287 293 294 304 306 310 312 315 316 318 323 329 331 332 335 336 342 343 345 350 351 352 356 371 373 390 397 405 407 410 411 418 429 433 434 438 445 446 450 457 463 464 466]\n# step=0 row=140 minW=98 found cw of W=92: [5 8 9 10 13 14 22 23 26 28 41 43 50 54 64 70 71 87 96 107 110 115 120 128 142 143 153 155 162 165 166 171 172 174 182 183 189 190 191 196 211 213 225 227 236 249 251 256 269 272 275 276 278 287 293 294 306 315 316 318 326 329 330 331 335 343 347 348 352 354 358 359 360 361 367 371 372 380 383 390 397 410 411 417 418 433 444 447 463 464 465 470]\n# step=0 row=150 minW=92 found cw of W=88: [3 9 12 14 26 28 35 41 48 51 54 61 64 68 72 90 103 110 113 115 118 129 143 147 150 152 153 155 163 166 181 182 185 190 191 204 211 215 225 226 237 240 242 252 255 265 266 267 269 273 275 277 278 283 299 312 315 326 329 330 331 334 342 347 350 354 356 378 383 388 395 405 412 421 429 430 432 434 438 445 446 447 457 458 461 464 469 470]\n# step=2 row=22 minW=88 found cw of W=86: [1 2 21 34 35 37 41 48 49 53 54 64 67 73 84 97 100 101 106 107 110 115 116 121 128 135 140 147 157 158 160 192 197 201 202 206 220 222 230 238 240 242 246 261 264 276 291 297 300 301 306 307 310 319 322 323 327 329 334 343 349 350 351 352 360 365 367 370 382 385 390 391 404 409 411 413 422 425 426 432 436 440 450 457 463 470]\n# step=3 row=107 minW=86 found cw of W=82: [7 11 12 17 21 27 40 43 44 46 49 50 91 94 110 114 121 122 128 137 139 149 151 153 176 183 184 188 195 197 199 200 203 208 209 210 212 214 216 217 222 223 229 231 234 236 241 246 263 269 271 286 295 297 304 318 320 328 345 348 355 356 358 359 360 362 363 364 369 370 375 391 397 403 428 433 452 455 463 466 468 471]\n# step=8 row=190 minW=82 found cw of W=80: [2 7 8 18 21 24 30 37 41 49 59 60 64 67 86 88 92 93 94 96 97 98 106 111 120 124 125 130 136 146 153 154 167 172 190 191 192 195 197 199 208 211 212 216 224 234 239 246 252 258 275 281 298 318 340 344 346 356 361 363 365 368 384 387 391 401 416 418 424 436 437 438 441 445 452 463 465 467 468 473]\n# step=10 row=38 minW=80 found cw of W=76: [12 17 25 27 29 41 64 66 70 71 87 89 91 93 94 95 97 99 104 108 112 114 116 122 124 126 142 154 165 169 178 195 198 199 200 201 202 207 208 214 222 227 236 238 258 260 272 279 291 293 296 307 316 318 322 334 343 345 348 350 352 354 360 384 386 394 414 418 419 420 425 427 428 432 448 466]\n# step=19 row=126 minW=76 found cw of W=72: [26 31 40 51 60 61 62 63 72 73 74 79 80 81 91 94 96 98 109 118 119 124 139 148 157 161 162 180 181 185 190 203 204 205 209 223 228 241 243 264 265 271 273 274 277 290 294 303 304 314 316 326 331 332 356 376 379 387 401 402 403 408 418 420 424 426 433 448 449 451 459 460]\n# step=88 row=95 minW=72 found cw of W=70: [14 20 60 63 68 73 80 86 87 103 107 109 110 113 122 127 132 143 144 151 162 165 167 189 192 193 196 198 227 228 229 230 236 245 253 257 259 265 269 271 274 277 294 304 309 310 327 328 335 342 345 361 387 390 397 405 410 419 420 429 438 444 445 449 450 451 462 464 466 467]\n# step=153 row=68 minW=70 found cw of W=24: [53 55 60 61 82 83 154 160 165 169 170 172 245 254 256 258 268 279 296 309 312 313 325 337]\n#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</si>
  <si>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outfile: /home/ucapmwe/dist-benchmark/results/lifted_product_GF2-GurobiDist-20251226_112319.960203_85062422.txt</t>
  </si>
  <si>
    <t>outfile: /home/ucapmwe/dist-benchmark/results/lifted_product_GF2-MIPDist-SCIP-20251226_112319.960200_85062422.txt</t>
  </si>
  <si>
    <t>w:2; T:5ms; iterations:4</t>
  </si>
  <si>
    <t>w:4; T:39ms; iterations:112</t>
  </si>
  <si>
    <t>w:6; T:254ms; iterations:2273</t>
  </si>
  <si>
    <t>w:8; T:1734ms; iterations:14583</t>
  </si>
  <si>
    <t>w:10; T:24337ms; iterations:278850</t>
  </si>
  <si>
    <t>w:12; T:386726ms; iterations:4091116</t>
  </si>
  <si>
    <t>w:16; T:28802338ms; iterations:133390579</t>
  </si>
  <si>
    <t>w:16; T:28800157ms; iterations:81435713</t>
  </si>
  <si>
    <t>outfile: /home/ucapmwe/dist-benchmark/results/lifted_product_GF2-QDistEvol-20251226_112319.960201_85062422.txt</t>
  </si>
  <si>
    <t>Gen:0 Trial:0 w:2; pErr:0.0000, weight 2 CW found:10</t>
  </si>
  <si>
    <t>Gen:0 Trial:0 w:4; pErr:0.0000, weight 4 CW found:60</t>
  </si>
  <si>
    <t>Gen:0 Trial:0 w:8; Trial:1 w:6; pErr:0.0000, weight 6 CW found:225</t>
  </si>
  <si>
    <t>Gen:0 Trial:0 w:8; pErr:0.0000, weight 8 CW found:273</t>
  </si>
  <si>
    <t>Gen:0 Trial:0 w:10; pErr:0.0000, weight 10 CW found:1562</t>
  </si>
  <si>
    <t>Gen:0 Trial:0 w:14; Trial:5 w:12; pErr:0.0120, weight 12 CW found:4053</t>
  </si>
  <si>
    <t>Gen:0 Trial:0 w:18; Trial:2 w:16; pErr:0.1220, weight 16 CW found:8035</t>
  </si>
  <si>
    <t>Gen:0 Trial:0 w:24; Trial:1 w:22; Trial:4 w:20; Trial:6 w:18; Trial:9 w:16; pErr:0.2687, weight 16 CW found:10095</t>
  </si>
  <si>
    <t>Gen:0 Trial:0 w:24; Trial:9 w:22; Trial:10 w:20; pErr:0.3391, weight 20 CW found:12780</t>
  </si>
  <si>
    <t>Gen:0 Trial:0 w:32; Trial:2 w:28; Trial:7 w:26; Trial:52 w:24; pErr:0.3657, weight 24 CW found:12943</t>
  </si>
  <si>
    <t>Gen:0 Trial:0 w:40; Trial:1 w:34; Trial:10 w:28; Trial:33 w:24; Gen:1 Trial:139 w:22; pErr:0.3659, weight 22 CW found:12305</t>
  </si>
  <si>
    <t>Gen:0 Trial:0 w:20; pErr:0.3628, weight 20 CW found:12112</t>
  </si>
  <si>
    <t>Gen:0 Trial:0 w:34; Trial:22 w:26; Trial:25 w:24; Trial:30 w:22; Trial:39 w:20; pErr:0.3584, weight 20 CW found:11772</t>
  </si>
  <si>
    <t>Gen:0 Trial:0 w:58; Trial:1 w:50; Trial:3 w:48; Trial:6 w:44; Trial:11 w:42; Trial:38 w:36; Trial:50 w:24; pErr:0.3671, weight 24 CW found:12403</t>
  </si>
  <si>
    <t>Gen:0 Trial:0 w:60; Trial:6 w:52; Trial:14 w:50; Trial:16 w:46; Trial:23 w:24; Trial:27 w:22; pErr:0.3653, weight 22 CW found:12102</t>
  </si>
  <si>
    <t>Gen:0 Trial:0 w:58; Trial:4 w:56; Trial:18 w:54; Trial:23 w:24; pErr:0.3673, weight 24 CW found:12336</t>
  </si>
  <si>
    <t>Gen:0 Trial:0 w:72; Trial:1 w:60; Trial:5 w:22; pErr:0.3646, weight 22 CW found:12098</t>
  </si>
  <si>
    <t>Gen:0 Trial:0 w:88; Trial:1 w:68; Trial:2 w:58; Trial:4 w:24; pErr:0.3667, weight 24 CW found:12096</t>
  </si>
  <si>
    <t>Gen:0 Trial:0 w:78; Trial:19 w:68; Trial:66 w:24; pErr:0.3668, weight 24 CW found:12053</t>
  </si>
  <si>
    <t>outfile: /home/ucapmwe/dist-benchmark/results/lifted_product_GF2-QDistRndMW-20251226_112319.982205_85062422.txt</t>
  </si>
  <si>
    <t>Trial:0 w:4; pErr:0.0000, weight 4 CW found:60</t>
  </si>
  <si>
    <t>Trial:0 w:6; pErr:0.0000, weight 6 CW found:297</t>
  </si>
  <si>
    <t>Trial:0 w:8; pErr:0.0000, weight 8 CW found:339</t>
  </si>
  <si>
    <t>Trial:0 w:10; pErr:0.0000, weight 10 CW found:1684</t>
  </si>
  <si>
    <t>Trial:0 w:16; Trial:1 w:12; pErr:0.0156, weight 12 CW found:4331</t>
  </si>
  <si>
    <t>Trial:0 w:16; pErr:0.1309, weight 16 CW found:8166</t>
  </si>
  <si>
    <t>Trial:0 w:26; Trial:1 w:24; Trial:2 w:20; Trial:4 w:18; Trial:22 w:16; pErr:0.2825, weight 16 CW found:10444</t>
  </si>
  <si>
    <t>Trial:0 w:20; pErr:0.3425, weight 20 CW found:12956</t>
  </si>
  <si>
    <t>Trial:0 w:32; Trial:5 w:24; pErr:0.3669, weight 24 CW found:13071</t>
  </si>
  <si>
    <t>Trial:0 w:38; Trial:6 w:22; pErr:0.3665, weight 22 CW found:12406</t>
  </si>
  <si>
    <t>Trial:0 w:50; Trial:1 w:46; Trial:6 w:44; Trial:9 w:36; Trial:27 w:30; Trial:34 w:20; pErr:0.3641, weight 20 CW found:12083</t>
  </si>
  <si>
    <t>Trial:0 w:54; Trial:1 w:42; Trial:3 w:38; Trial:7 w:32; Trial:85 w:22; Trial:118 w:20; pErr:0.3616, weight 20 CW found:11835</t>
  </si>
  <si>
    <t>Trial:0 w:52; Trial:3 w:48; Trial:5 w:46; Trial:7 w:42; Trial:19 w:36; Trial:26 w:24; pErr:0.3677, weight 24 CW found:12390</t>
  </si>
  <si>
    <t>Trial:0 w:56; Trial:1 w:54; Trial:6 w:24; Trial:190 w:22; pErr:0.3665, weight 22 CW found:11943</t>
  </si>
  <si>
    <t>Trial:0 w:42; Trial:13 w:24; pErr:0.3674, weight 24 CW found:12296</t>
  </si>
  <si>
    <t>Trial:0 w:52; Trial:17 w:32; Trial:46 w:22; pErr:0.3659, weight 22 CW found:11982</t>
  </si>
  <si>
    <t>Trial:0 w:82; Trial:1 w:70; Trial:22 w:66; Trial:25 w:58; Trial:83 w:24; pErr:0.3671, weight 24 CW found:12026</t>
  </si>
  <si>
    <t>Trial:0 w:96; Trial:1 w:90; Trial:2 w:86; Trial:3 w:80; Trial:8 w:62; Trial:13 w:24; pErr:0.3671, weight 24 CW found:12110</t>
  </si>
  <si>
    <t>c Parsing MaxSAT file...\nc ============================[  Problem Statistics ]============================\nc |  Number of variables:          2728                                         |\nc |  Number of clauses:           10475                                         |\nc ===============================================================================\nc Using SCIP solver, version 7.0.3, https://www.scipopt.org\nc scip_time = 0.000000\nc Starting SCIP solver in a separate thread (with time-limit = 0s) ...\nc Using COMiniSatPS SAT solver by Chanseok Oh (2016)\no 62\n</t>
  </si>
  <si>
    <t>c Parsing MaxSAT file...\nc ============================[  Problem Statistics ]============================\nc |  Number of variables:          5438                                         |\nc |  Number of clauses:           21161                                         |\nc ===============================================================================\nc Using SCIP solver, version 7.0.3, https://www.scipopt.org\nc scip_time = 0.000000\nc Starting SCIP solver in a separate thread (with time-limit = 0s) ...\nc Using COMiniSatPS SAT solver by Chanseok Oh (2016)\no 96\n</t>
  </si>
  <si>
    <t>c Parsing MaxSAT file...\nc ============================[  Problem Statistics ]============================\nc |  Number of variables:          8126                                         |\nc |  Number of clauses:           31773                                         |\nc ===============================================================================\nc Using SCIP solver, version 7.0.3, https://www.scipopt.org\nc scip_time = 0.000000\nc Starting SCIP solver in a separate thread (with time-limit = 0s) ...\nc Using COMiniSatPS SAT solver by Chanseok Oh (2016)\no 104\n</t>
  </si>
  <si>
    <t>w:20; T:28801320ms; iterations:57308485</t>
  </si>
  <si>
    <t>w:24; T:28800946ms; iterations:59815331</t>
  </si>
  <si>
    <t>w:22; T:28800150ms; iterations:69292999</t>
  </si>
  <si>
    <t>c Parsing MaxSAT file...\nc ============================[  Problem Statistics ]============================\nc |  Number of variables:         10258                                         |\nc |  Number of clauses:           40217                                         |\nc ===============================================================================\nc Using SCIP solver, version 7.0.3, https://www.scipopt.org\nc scip_time = 0.000000\nc Starting SCIP solver in a separate thread (with time-limit = 0s) ...\nc Using COMiniSatPS SAT solver by Chanseok Oh (2016)\no 116\n</t>
  </si>
  <si>
    <t>c Parsing MaxSAT file...\nc ============================[  Problem Statistics ]============================\nc |  Number of variables:         10914                                         |\nc |  Number of clauses:           42813                                         |\nc ===============================================================================\nc Using SCIP solver, version 7.0.3, https://www.scipopt.org\nc scip_time = 0.000000\nc Starting SCIP solver in a separate thread (with time-limit = 0s) ...\nc Using COMiniSatPS SAT solver by Chanseok Oh (2016)\n</t>
  </si>
  <si>
    <t>w:20; T:28800122ms; iterations:51379322</t>
  </si>
  <si>
    <t>w:20; T:28800098ms; iterations:51213368</t>
  </si>
  <si>
    <t>c Parsing MaxSAT file...\nc ============================[  Problem Statistics ]============================\nc |  Number of variables:         11410                                         |\nc |  Number of clauses:           44783                                         |\nc ===============================================================================\nc Using SCIP solver, version 7.0.3, https://www.scipopt.org\nc scip_time = 0.000000\nc Starting SCIP solver in a separate thread (with time-limit = 0s) ...\nc Using COMiniSatPS SAT solver by Chanseok Oh (2016)\no 122\n</t>
  </si>
  <si>
    <t>c Parsing MaxSAT file...\nc ============================[  Problem Statistics ]============================\nc |  Number of variables:         13658                                         |\nc |  Number of clauses:           53691                                         |\nc ===============================================================================\nc Using SCIP solver, version 7.0.3, https://www.scipopt.org\nc scip_time = 0.000000\nc Starting SCIP solver in a separate thread (with time-limit = 0s) ...\nc Using COMiniSatPS SAT solver by Chanseok Oh (2016)\no 134\n</t>
  </si>
  <si>
    <t>c Parsing MaxSAT file...\nc ============================[  Problem Statistics ]============================\nc |  Number of variables:         16222                                         |\nc |  Number of clauses:           63863                                         |\nc ===============================================================================\nc Using SCIP solver, version 7.0.3, https://www.scipopt.org\nc scip_time = 0.000000\nc Starting SCIP solver in a separate thread (with time-limit = 0s) ...\nc Using COMiniSatPS SAT solver by Chanseok Oh (2016)\no 146\n</t>
  </si>
  <si>
    <t>w:24; T:28800108ms; iterations:67287353</t>
  </si>
  <si>
    <t>w:22; T:28800364ms; iterations:50641391</t>
  </si>
  <si>
    <t>w:24; T:28800098ms; iterations:50665097</t>
  </si>
  <si>
    <t>c Parsing MaxSAT file...\nc ============================[  Problem Statistics ]============================\nc |  Number of variables:         19428                                         |\nc |  Number of clauses:           76589                                         |\nc ===============================================================================\nc Using SCIP solver, version 7.0.3, https://www.scipopt.org\nc scip_time = 0.000000\nc Starting SCIP solver in a separate thread (with time-limit = 0s) ...\nc Using COMiniSatPS SAT solver by Chanseok Oh (2016)\no 160\n</t>
  </si>
  <si>
    <t>c Parsing MaxSAT file...\nc ============================[  Problem Statistics ]============================\nc |  Number of variables:         22118                                         |\nc |  Number of clauses:           87279                                         |\nc ===============================================================================\nc Using SCIP solver, version 7.0.3, https://www.scipopt.org\nc scip_time = 0.000000\nc Starting SCIP solver in a separate thread (with time-limit = 0s) ...\nc Using COMiniSatPS SAT solver by Chanseok Oh (2016)\n</t>
  </si>
  <si>
    <t>c Parsing MaxSAT file...\nc ============================[  Problem Statistics ]============================\nc |  Number of variables:         27558                                         |\nc |  Number of clauses:          108899                                         |\nc ===============================================================================\nc Using COMiniSatPS SAT solver by Chanseok Oh (2016)\no 190\n</t>
  </si>
  <si>
    <t>bp_max_iter: 10</t>
  </si>
  <si>
    <t>osd_order: 8</t>
  </si>
  <si>
    <t>outfile: /home/ucapmwe/dist-benchmark/results/lifted_product_GF2-decoderDist-bposd-20251231_114520.917673_85062422.txt</t>
  </si>
  <si>
    <t>Trial:0 w:4; pErr:0.0000, weight 4 CW found:25</t>
  </si>
  <si>
    <t>Trial:0 w:8; Trial:2 w:6; pErr:0.0000, weight 6 CW found:120</t>
  </si>
  <si>
    <t>Trial:0 w:10; Trial:1 w:8; pErr:0.0000, weight 8 CW found:151</t>
  </si>
  <si>
    <t>Trial:0 w:12; Trial:1 w:10; pErr:0.0000, weight 10 CW found:885</t>
  </si>
  <si>
    <t>Trial:0 w:14; Trial:1 w:12; pErr:0.0155, weight 12 CW found:2398</t>
  </si>
  <si>
    <t>Trial:0 w:32; Trial:1 w:16; pErr:0.1105, weight 16 CW found:4539</t>
  </si>
  <si>
    <t>Trial:0 w:22; Trial:3 w:16; pErr:0.2103, weight 16 CW found:6412</t>
  </si>
  <si>
    <t>Trial:0 w:26; Trial:3 w:20; pErr:0.3491, weight 20 CW found:9499</t>
  </si>
  <si>
    <t>Trial:0 w:72; Trial:1 w:34; Trial:4 w:26; Trial:43 w:24; pErr:0.2636, weight 24 CW found:7467</t>
  </si>
  <si>
    <t>Trial:0 w:92; Trial:1 w:50; Trial:2 w:40; Trial:11 w:38; Trial:35 w:30; Trial:87 w:24; Trial:1039 w:22; pErr:0.2629, weight 22 CW found:6708</t>
  </si>
  <si>
    <t>Trial:0 w:40; Trial:9 w:34; Trial:19 w:24; Trial:81 w:22; Trial:83 w:20; pErr:0.2609, weight 20 CW found:7381</t>
  </si>
  <si>
    <t>Trial:0 w:52; Trial:2 w:40; Trial:5 w:22; Trial:43 w:20; pErr:0.2580, weight 20 CW found:7350</t>
  </si>
  <si>
    <t>Trial:0 w:48; Trial:4 w:42; Trial:26 w:40; Trial:50 w:24; pErr:0.2653, weight 24 CW found:7498</t>
  </si>
  <si>
    <t>Trial:0 w:106; Trial:1 w:58; Trial:5 w:56; Trial:8 w:48; Trial:15 w:44; Trial:30 w:40; Trial:48 w:38; Trial:99 w:30; Trial:127 w:26; Trial:294 w:24; Trial:526 w:22; pErr:0.2634, weight 22 CW found:7101</t>
  </si>
  <si>
    <t>Trial:0 w:70; Trial:4 w:60; Trial:6 w:38; Trial:237 w:24; pErr:0.2642, weight 24 CW found:7334</t>
  </si>
  <si>
    <t>Trial:0 w:76; Trial:1 w:68; Trial:13 w:62; Trial:16 w:60; Trial:46 w:22; pErr:0.2641, weight 22 CW found:7477</t>
  </si>
  <si>
    <t>Trial:0 w:126; Trial:1 w:80; Trial:4 w:54; Trial:701 w:50; Trial:704 w:24; pErr:0.2633, weight 24 CW found:6967</t>
  </si>
  <si>
    <t>Trial:0 w:96; Trial:2 w:88; Trial:3 w:82; Trial:28 w:76; Trial:63 w:68; Trial:110 w:64; Trial:141 w:56; Trial:416 w:24; pErr:0.2626, weight 24 CW found:7168</t>
  </si>
  <si>
    <t>w:22; T:28800123ms; iterations:52432514</t>
  </si>
  <si>
    <t>w:24; T:28800084ms; iterations:44185772</t>
  </si>
  <si>
    <t>w:24; T:28800079ms; iterations:49864813</t>
  </si>
  <si>
    <t>Family Size</t>
  </si>
  <si>
    <t>MaxTime</t>
  </si>
  <si>
    <t>Heuristic Methods</t>
  </si>
  <si>
    <t>Exact Methods</t>
  </si>
  <si>
    <t>No Result</t>
  </si>
  <si>
    <t>#,##0</t>
  </si>
  <si>
    <t>Completed &lt; MaxTime</t>
  </si>
  <si>
    <t>\begin{tabular}{ |l|</t>
  </si>
  <si>
    <t>Offset</t>
  </si>
  <si>
    <t>Chart Data</t>
  </si>
  <si>
    <t>Algorithm Completed within maxTime</t>
  </si>
  <si>
    <t>magma</t>
  </si>
  <si>
    <t>repeat: 1</t>
  </si>
  <si>
    <t>method: magmaMinWeight</t>
  </si>
  <si>
    <t>genCount: 100</t>
  </si>
  <si>
    <t>pMut: 2.0</t>
  </si>
  <si>
    <t>sMut: 1.0</t>
  </si>
  <si>
    <t>outfile: /Users/markwebster/Dropbox/QuantumComputing/dev/codeDistance/results/lifted_product_GF2-magmaMinWeight-20251230_122026.804775_85062422.txt</t>
  </si>
  <si>
    <t>Magma V2.28-26    Tue Dec 30 2025 12:20:26 on Marks-MacBook-Air-2 [Seed = \n3095532184]\nType ? for help.  Type &lt;Ctrl&gt;-D to quit.\n[1 1 0 0 0]\n[1 0 1 0 0]\n[1 0 0 1 0]\n[1 0 0 0 1]\nLinear Code over GF(2) of length 5 with 4 generators.\nLower Bound: 1, Upper Bound: 2\nBCHBound gives the lower bound = 2\n[5, 4, 2] Cyclic Linear Code over GF(2)\nGenerator matrix:\n[1 0 0 0 1]\n[0 1 0 0 1]\n[0 0 1 0 1]\n[0 0 0 1 1]\nLinear Code over GF(2) of length 5 with 4 generators.\nLower Bound: 1, Upper Bound: 2\nBCHBound gives the lower bound = 2\n2\n\nTotal time: 0.019 seconds, Total memory usage: 32.09MB\n</t>
  </si>
  <si>
    <t>Magma V2.28-26    Tue Dec 30 2025 12:20:27 on Marks-MacBook-Air-2 [Seed = \n2995263634]\nType ? for help.  Type &lt;Ctrl&gt;-D to quit.\n[1 1 1 1 1 1 1 1 0 0 0 0 0 0 0 0 0 0 0 0]\n[1 1 1 1 0 0 0 0 1 1 1 1 0 0 0 0 0 0 0 0]\n[1 0 0 1 1 1 0 0 0 1 0 0 1 0 0 0 0 0 0 0]\n[1 1 0 0 0 1 1 0 0 0 1 0 0 1 0 0 0 0 0 0]\n[0 1 1 0 1 1 0 0 1 1 1 0 0 0 1 0 0 0 0 0]\n[1 1 0 0 0 1 1 0 1 0 0 0 0 0 0 1 0 0 0 0]\n[1 1 1 0 1 0 1 0 0 1 1 0 0 0 0 0 1 0 0 0]\n[0 1 1 1 1 0 1 0 1 1 0 0 0 0 0 0 0 1 0 0]\n[0 1 0 0 1 0 1 0 0 1 1 0 0 0 0 0 0 0 1 0]\n[0 0 1 0 1 0 1 0 1 1 0 0 0 0 0 0 0 0 0 1]\nLinear Code over GF(2) of length 20 with 10 generators.\nLower Bound: 1, Upper Bound: 11\nUsing congruence d mod 2 = 0\nConstructed 2 distinct generator matrices\nRelative Ranks:  10  10 \nTime Taken: 0.00\nStarting search for low weight codewords... (reset timings)\nEnumerating using 1 generator at a time:\n     New codeword identified of weight 4, time 0.00\n   Completed Matrix  1:  lower =  4, upper =  4. Elapsed: 0.00s\nComputation complete 10 vectors enumerated in total\n (0.976562% of 20 10 code)\nFinal Results: lower = 4, upper = 4,\nTotal CPU time: 0.00, real time: 0.002\n[20, 10, 4] Quasicyclic of degree 5 Linear Code over GF(2)\nGenerator matrix:\n[1 0 0 0 0 0 0 0 0 0 0 0 0 1 1 0 0 0 0 1]\n[0 1 0 0 0 0 0 0 0 0 0 0 0 0 1 1 1 0 0 0]\n[0 0 1 0 0 0 0 0 0 0 0 0 0 1 1 0 1 0 1 1]\n[0 0 0 1 0 0 0 0 0 0 0 0 0 0 1 1 1 1 0 1]\n[0 0 0 0 1 0 0 1 0 0 1 0 0 0 0 1 0 1 1 0]\n[0 0 0 0 0 1 0 1 0 0 1 1 0 1 1 0 1 0 1 0]\n[0 0 0 0 0 0 1 1 0 0 0 1 0 1 1 1 0 0 1 1]\n[0 0 0 0 0 0 0 0 1 0 1 0 0 1 0 1 0 0 0 0]\n[0 0 0 0 0 0 0 0 0 1 0 1 0 1 0 1 1 1 1 1]\n[0 0 0 0 0 0 0 0 0 0 0 0 1 1 1 1 1 1 1 1]\nLinear Code over GF(2) of length 20 with 10 generators.\nLower Bound: 1, Upper Bound: 11\nUsing congruence d mod 2 = 0\nConstructed 2 distinct generator matrices\nRelative Ranks:  10  10 \nTime Taken: 0.00\nStarting search for low weight codewords... (reset timings)\nEnumerating using 1 generator at a time:\n     New codeword identified of weight 4, time 0.00\n   Completed Matrix  1:  lower =  4, upper =  4. Elapsed: 0.00s\nComputation complete 10 vectors enumerated in total\n (0.976562% of 20 10 code)\nFinal Results: lower = 4, upper = 4,\nTotal CPU time: 0.00, real time: 0.001\n4\n\nTotal time: 0.010 seconds, Total memory usage: 32.09MB\n</t>
  </si>
  <si>
    <t>Magma V2.28-26    Tue Dec 30 2025 12:20:27 on Marks-MacBook-Air-2 [Seed = \n3029212820]\nType ? for help.  Type &lt;Ctrl&gt;-D to quit.\n[1 1 1 1 1 1 1 1 1 1 1 1 1 1 0 0 0 0 0 0 0 0 0 0 0 0 0 0 0 0 0 0 0 0 0]\n[1 1 1 1 1 1 1 0 0 0 0 0 0 0 1 1 1 1 1 1 1 0 0 0 0 0 0 0 0 0 0 0 0 0 0]\n[0 0 0 0 0 1 0 1 0 0 0 0 0 0 1 0 1 0 1 0 0 1 0 0 0 0 0 0 0 0 0 0 0 0 0]\n[0 0 0 0 0 0 1 0 1 0 0 0 0 0 0 1 0 1 0 1 0 0 1 0 0 0 0 0 0 0 0 0 0 0 0]\n[0 1 1 1 1 1 1 0 0 1 0 0 0 0 1 1 0 1 0 1 0 0 0 1 0 0 0 0 0 0 0 0 0 0 0]\n[0 1 0 0 0 0 0 0 0 0 1 0 0 0 1 0 0 1 0 1 0 0 0 0 1 0 0 0 0 0 0 0 0 0 0]\n[1 1 0 1 1 1 1 0 0 0 0 1 0 0 1 0 1 1 0 1 0 0 0 0 0 1 0 0 0 0 0 0 0 0 0]\n[0 0 0 1 0 0 0 0 0 0 0 0 1 0 1 0 1 0 0 1 0 0 0 0 0 0 1 0 0 0 0 0 0 0 0]\n[0 0 0 0 1 0 0 1 1 1 1 1 1 0 1 0 1 0 1 1 0 0 0 0 0 0 0 1 0 0 0 0 0 0 0]\n[0 1 0 1 1 0 0 1 0 1 0 0 1 0 0 0 0 1 1 1 0 0 0 0 0 0 0 0 1 0 0 0 0 0 0]\n[0 0 1 0 1 1 0 1 0 1 0 1 1 0 1 1 1 1 0 0 0 0 0 0 0 0 0 0 0 1 0 0 0 0 0]\n[1 1 1 0 1 0 0 1 0 1 0 1 0 0 0 1 1 1 1 0 0 0 0 0 0 0 0 0 0 0 1 0 0 0 0]\n[0 1 1 1 0 1 0 0 1 0 1 0 1 0 0 0 1 1 1 1 0 0 0 0 0 0 0 0 0 0 0 1 0 0 0]\n[0 0 1 1 1 0 1 1 1 0 1 0 1 0 1 1 1 0 0 0 0 0 0 0 0 0 0 0 0 0 0 0 1 0 0]\n[0 1 1 0 0 0 1 1 0 0 1 0 1 0 0 1 1 1 0 0 0 0 0 0 0 0 0 0 0 0 0 0 0 1 0]\n[0 1 0 0 1 1 1 1 0 1 1 0 1 0 0 0 1 1 1 0 0 0 0 0 0 0 0 0 0 0 0 0 0 0 1]\nLinear Code over GF(2) of length 35 with 16 generators.\nLower Bound: 1, Upper Bound: 20\nUsing congruence d mod 2 = 0\nConstructed 3 distinct generator matrices\nRelative Ranks:  16  16   3 \n     Discarding non-contributing rank 3 matrix\n     New Relative Ranks:  16  16 \nTime Taken: 0.00\nStarting search for low weight codewords... (reset timings)\nEnumerating using 1 generator at a time:\n     New codeword identified of weight 10, time 0.00\n     New codeword identified of weight 8, time 0.00\n   Completed Matrix  1:  lower =  4, upper =  8. Elapsed: 0.00s\n     New codeword identified of weight 6, time 0.00\n   Completed Matrix  2:  lower =  4, upper =  6. Elapsed: 0.00s\nTermination predicted with 2 generators at matrix 1\nEnumerating using 2 generators at a time:\n   Completed Matrix  1:  lower =  6, upper =  6. Elapsed: 0.00s\nComputation complete 152 vectors enumerated in total\n (0.231934% of 35 16 code)\nFinal Results: lower = 6, upper = 6,\nTotal CPU time: 0.00, real time: 0.002\n[35, 16, 6] Quasicyclic of degree 5 Linear Code over GF(2)\nGenerator matrix:\n[1 0 0 0 0 0 0 0 0 0 0 0 0 0 0 1 1 1 0 1 0 0 0 0 0 1 1 0 0 1 0 1 1 1 1]\n[0 1 0 0 0 0 0 0 0 0 0 0 0 0 0 0 1 1 1 0 1 0 0 0 0 0 1 1 1 0 1 0 1 1 1]\n[0 0 1 0 0 0 0 0 0 0 0 0 0 0 0 1 1 0 0 0 1 0 1 1 1 1 1 0 1 1 0 1 0 1 1]\n[0 0 0 1 0 0 0 0 0 0 0 0 0 0 0 1 0 0 1 1 1 0 0 1 1 1 1 1 0 0 0 1 0 1 0]\n[0 0 0 0 1 0 0 0 0 0 0 0 0 0 0 1 0 1 1 0 0 0 1 1 0 0 0 0 0 0 0 0 1 0 1]\n[0 0 0 0 0 1 0 0 0 0 0 0 0 0 0 0 1 0 1 1 0 0 0 1 1 0 0 0 1 0 0 0 0 1 0]\n[0 0 0 0 0 0 1 0 0 0 0 0 0 0 0 0 0 1 0 1 1 0 0 0 1 1 0 0 0 1 0 0 0 0 1]\n[0 0 0 0 0 0 0 1 0 0 0 0 0 0 0 1 1 1 1 0 1 0 1 0 0 1 1 1 1 0 0 0 0 1 0]\n[0 0 0 0 0 0 0 0 1 0 0 0 0 0 0 1 0 0 0 0 1 0 1 0 1 1 0 0 0 1 0 0 0 0 1]\n[0 0 0 0 0 0 0 0 0 1 0 0 0 0 0 1 0 1 1 1 1 0 0 1 0 1 1 0 0 1 0 1 1 1 1]\n[0 0 0 0 0 0 0 0 0 0 1 0 0 0 0 1 0 1 0 0 0 0 0 0 1 0 1 1 0 1 0 1 0 0 0]\n[0 0 0 0 0 0 0 0 0 0 0 1 0 0 0 0 1 0 1 0 0 0 1 1 1 0 1 0 1 1 0 1 0 1 1]\n[0 0 0 0 0 0 0 0 0 0 0 0 1 0 0 0 0 1 0 1 0 0 0 1 1 1 0 1 1 1 1 0 1 0 1]\n[0 0 0 0 0 0 0 0 0 0 0 0 0 1 0 0 0 0 1 0 1 0 1 1 0 0 0 1 0 0 0 0 1 0 1]\n[0 0 0 0 0 0 0 0 0 0 0 0 0 0 1 1 1 1 1 1 1 0 0 0 0 0 0 0 1 1 1 1 1 1 1]\n[0 0 0 0 0 0 0 0 0 0 0 0 0 0 0 0 0 0 0 0 0 1 1 1 1 1 1 1 1 1 1 1 1 1 1]\nLinear Code over GF(2) of length 35 with 16 generators.\nLower Bound: 1, Upper Bound: 20\nUsing congruence d mod 2 = 0\nConstructed 3 distinct generator matrices\nRelative Ranks:  16  16   3 \n     Discarding non-contributing rank 3 matrix\n     New Relative Ranks:  16  16 \nTime Taken: 0.00\nStarting search for low weight codewords... (reset timings)\nEnumerating using 1 generator at a time:\n     New codeword identified of weight 10, time 0.00\n     New codeword identified of weight 8, time 0.00\n   Completed Matrix  1:  lower =  4, upper =  8. Elapsed: 0.00s\n     New codeword identified of weight 6, time 0.00\n   Completed Matrix  2:  lower =  4, upper =  6. Elapsed: 0.00s\nTermination predicted with 2 generators at matrix 1\nEnumerating using 2 generators at a time:\n   Completed Matrix  1:  lower =  6, upper =  6. Elapsed: 0.00s\nComputation complete 152 vectors enumerated in total\n (0.231934% of 35 16 code)\nFinal Results: lower = 6, upper = 6,\nTotal CPU time: 0.00, real time: 0.000\n6\n\nTotal time: 0.019 seconds, Total memory usage: 32.09MB\n</t>
  </si>
  <si>
    <t>Magma V2.28-26    Tue Dec 30 2025 12:20:27 on Marks-MacBook-Air-2 [Seed = \n2394170542]\nType ? for help.  Type &lt;Ctrl&gt;-D to quit.\n[1 1 1 1 1 1 1 1 1 1 1 1 1 1 1 1 1 1 1 1 0 0 0 0 0 0 0 0 0 0 0 0 0 0 0 0 0 0 0 0\n    0 0 0 0 0 0 0 0 0 0]\n[1 1 1 1 1 1 1 1 1 1 0 0 0 0 0 0 0 0 0 0 1 1 1 1 1 1 1 1 1 1 0 0 0 0 0 0 0 0 0 0\n    0 0 0 0 0 0 0 0 0 0]\n[0 1 0 0 0 0 1 1 1 1 1 1 1 0 0 1 0 1 1 0 1 0 1 0 0 1 1 0 0 0 1 0 0 0 0 0 0 0 0 0\n    0 0 0 0 0 0 0 0 0 0]\n[0 1 0 1 1 1 1 0 0 0 1 0 0 0 1 1 0 1 0 0 0 1 0 1 0 0 1 1 0 0 0 1 0 0 0 0 0 0 0 0\n    0 0 0 0 0 0 0 0 0 0]\n[0 0 1 0 1 1 1 1 0 0 0 1 0 0 0 1 1 0 1 0 0 0 1 0 1 0 0 1 1 0 0 0 1 0 0 0 0 0 0 0\n    0 0 0 0 0 0 0 0 0 0]\n[0 0 0 1 0 1 1 1 1 0 1 1 0 1 1 1 0 0 1 0 1 1 1 0 1 0 1 1 0 0 0 0 0 1 0 0 0 0 0 0\n    0 0 0 0 0 0 0 0 0 0]\n[1 1 1 1 0 1 0 0 0 0 1 0 0 1 0 0 0 1 1 0 0 1 1 1 0 1 0 1 1 0 0 0 0 0 1 0 0 0 0 0\n    0 0 0 0 0 0 0 0 0 0]\n[0 1 1 1 1 0 1 0 0 0 1 0 1 1 0 1 1 1 0 0 1 1 0 0 0 1 0 1 0 0 0 0 0 0 0 1 0 0 0 0\n    0 0 0 0 0 0 0 0 0 0]\n[0 0 1 1 1 1 0 1 0 0 0 1 0 1 1 0 1 1 1 0 0 1 1 0 0 0 1 0 1 0 0 0 0 0 0 0 1 0 0 0\n    0 0 0 0 0 0 0 0 0 0]\n[0 0 0 1 1 1 1 0 1 0 1 1 0 1 0 0 1 0 0 0 1 1 0 0 1 1 1 0 1 0 0 0 0 0 0 0 0 1 0 0\n    0 0 0 0 0 0 0 0 0 0]\n[1 1 1 1 0 0 0 0 1 0 0 1 1 0 1 0 0 1 0 0 1 0 0 1 1 0 0 0 1 0 0 0 0 0 0 0 0 0 1 0\n    0 0 0 0 0 0 0 0 0 0]\n[1 0 0 0 0 1 1 1 1 0 0 0 1 1 0 1 0 0 1 0 1 0 1 1 0 0 1 1 1 0 0 0 0 0 0 0 0 0 0 1\n    0 0 0 0 0 0 0 0 0 0]\n[1 1 1 1 0 0 0 1 0 0 1 0 0 0 1 0 0 1 1 0 0 1 1 1 0 1 1 0 1 0 0 0 0 0 0 0 0 0 0 0\n    1 0 0 0 0 0 0 0 0 0]\n[0 1 1 1 1 0 0 0 1 0 1 0 1 1 1 0 1 1 0 0 1 1 0 0 0 1 0 0 1 0 0 0 0 0 0 0 0 0 0 0\n    0 1 0 0 0 0 0 0 0 0]\n[1 1 0 0 0 0 1 1 1 0 0 1 0 1 1 1 0 1 1 0 1 0 0 1 1 1 0 1 1 0 0 0 0 0 0 0 0 0 0 0\n    0 0 1 0 0 0 0 0 0 0]\n[0 1 1 0 0 0 0 1 1 1 1 1 0 1 0 0 0 1 0 0 1 0 1 1 0 0 0 1 0 0 0 0 0 0 0 0 0 0 0 0\n    0 0 0 1 0 0 0 0 0 0]\n[1 0 1 1 0 0 0 0 1 1 0 1 1 0 1 0 0 0 1 0 0 1 0 1 1 0 0 0 1 0 0 0 0 0 0 0 0 0 0 0\n    0 0 0 0 1 0 0 0 0 0]\n[1 1 0 1 1 0 0 0 0 1 1 1 0 0 1 0 1 1 1 0 1 1 0 1 0 0 1 1 1 0 0 0 0 0 0 0 0 0 0 0\n    0 0 0 0 0 1 0 0 0 0]\n[1 1 1 0 1 1 0 0 0 0 1 0 0 1 1 0 1 0 0 0 1 0 0 1 0 1 1 0 0 0 0 0 0 0 0 0 0 0 0 0\n    0 0 0 0 0 0 1 0 0 0]\n[0 1 1 1 0 1 1 0 0 0 0 1 0 0 1 1 0 1 0 0 0 1 0 0 1 0 1 1 0 0 0 0 0 0 0 0 0 0 0 0\n    0 0 0 0 0 0 0 1 0 0]\n[0 0 1 1 1 0 1 1 0 0 0 0 1 0 0 1 1 0 1 0 0 0 1 0 0 1 0 1 1 0 0 0 0 0 0 0 0 0 0 0\n    0 0 0 0 0 0 0 0 1 0]\n[0 0 0 1 1 1 0 1 1 0 1 1 1 0 1 1 0 0 1 0 1 1 1 0 1 1 0 1 0 0 0 0 0 0 0 0 0 0 0 0\n    0 0 0 0 0 0 0 0 0 1]\n[50, 22] Quasicyclic of degree 5 Linear Code over GF(2)\nGenerator matrix:\n[1 0 0 0 0 0 0 0 0 0 0 0 0 0 0 0 0 0 0 0 0 0 1 0 1 1 0 1 0 0 0 0 0 1 0 1 0 0 0 1\n    0 1 1 1 1 0 0 0 0 0]\n[0 1 0 0 0 0 0 0 0 0 0 0 0 0 0 0 0 0 0 0 0 0 0 1 0 1 1 0 1 0 0 0 1 0 0 0 0 0 1 0\n    1 0 0 1 0 1 1 0 1 0]\n[0 0 1 0 0 0 0 0 0 0 0 0 0 0 0 0 0 0 0 0 0 0 0 0 1 0 1 1 0 1 0 0 0 1 0 0 0 0 0 1\n    0 1 0 0 1 0 1 1 0 1]\n[0 0 0 1 0 0 0 0 0 0 0 0 0 0 0 0 0 0 0 0 0 1 1 1 1 0 1 0 0 1 0 0 1 0 0 0 1 0 1 0\n    1 1 1 1 0 0 0 0 1 1]\n[0 0 0 0 1 0 0 0 0 0 0 0 0 0 0 0 0 0 0 0 0 1 0 0 0 0 1 0 1 1 0 0 0 1 0 0 0 1 0 1\n    0 0 0 0 0 1 1 1 1 0]\n[0 0 0 0 0 1 0 0 0 0 0 0 0 0 0 0 0 0 0 0 0 1 0 1 1 1 1 0 1 0 0 0 1 0 0 0 1 0 0 0\n    0 1 0 1 0 1 1 0 1 0]\n[0 0 0 0 0 0 1 0 0 0 0 0 0 0 0 0 0 0 0 0 0 0 1 0 1 1 1 1 0 1 0 0 0 1 0 0 0 1 0 0\n    0 0 1 0 1 0 1 1 0 1]\n[0 0 0 0 0 0 0 1 0 0 0 0 0 0 0 0 0 0 0 0 0 1 1 0 1 0 0 0 0 1 0 0 0 0 1 0 0 0 1 0\n    0 1 1 0 1 0 1 0 0 1]\n[0 0 0 0 0 0 0 0 1 0 0 0 0 0 0 0 0 0 0 0 0 1 0 0 1 0 1 1 1 1 0 0 0 0 0 1 0 0 0 1\n    0 1 0 0 1 0 1 0 1 1]\n[0 0 0 0 0 0 0 0 0 1 0 0 0 0 0 0 0 0 0 0 0 1 0 1 1 0 1 0 0 0 0 0 1 0 1 0 0 0 1 0\n    1 1 1 1 0 0 0 0 0 0]\n[0 0 0 0 0 0 0 0 0 0 1 0 0 0 0 0 0 0 0 1 0 1 0 1 1 1 0 0 1 1 0 0 1 0 1 0 0 0 1 0\n    1 1 0 0 1 1 1 0 1 1]\n[0 0 0 0 0 0 0 0 0 0 0 1 0 0 0 0 0 0 0 1 0 0 0 0 1 1 0 1 0 1 0 0 1 1 1 1 0 0 1 1\n    1 1 0 1 0 1 1 0 0 1]\n[0 0 0 0 0 0 0 0 0 0 0 0 1 0 0 0 0 0 0 1 0 0 1 0 0 1 0 1 1 0 0 0 0 1 1 1 0 0 0 1\n    0 1 1 1 0 0 0 0 1 0]\n[0 0 0 0 0 0 0 0 0 0 0 0 0 1 0 0 0 0 0 1 0 1 0 0 1 1 1 0 0 0 0 0 0 0 1 1 0 0 0 0\n    0 1 0 1 1 1 0 0 0 0]\n[0 0 0 0 0 0 0 0 0 0 0 0 0 0 1 0 0 0 0 1 0 1 1 1 1 0 1 1 1 1 0 0 1 0 1 1 1 0 1 0\n    1 1 1 0 0 0 0 0 1 1]\n[0 0 0 0 0 0 0 0 0 0 0 0 0 0 0 1 0 0 0 1 0 0 0 1 1 1 1 0 1 1 0 0 1 1 1 1 1 1 1 1\n    1 1 0 0 0 0 0 1 0 1]\n[0 0 0 0 0 0 0 0 0 0 0 0 0 0 0 0 1 0 0 1 0 0 1 0 1 1 0 0 0 1 0 0 0 1 1 1 0 1 1 1\n    0 1 1 1 1 0 1 1 0 0]\n[0 0 0 0 0 0 0 0 0 0 0 0 0 0 0 0 0 1 0 1 0 0 1 1 0 1 0 1 0 0 0 0 0 0 1 1 0 0 1 1\n    1 0 1 0 0 1 1 0 0 0]\n[0 0 0 0 0 0 0 0 0 0 0 0 0 0 0 0 0 0 1 1 0 1 0 0 0 1 1 0 0 1 0 0 0 0 0 1 0 0 0 1\n    0 0 1 1 0 1 1 1 0 1]\n[0 0 0 0 0 0 0 0 0 0 0 0 0 0 0 0 0 0 0 0 1 1 1 1 1 1 1 1 1 1 0 0 0 0 0 0 0 0 0 0\n    1 1 1 1 1 1 1 1 1 1]\n[0 0 0 0 0 0 0 0 0 0 0 0 0 0 0 0 0 0 0 0 0 0 0 0 0 0 0 0 0 0 1 0 1 0 1 0 1 0 1 0\n    1 0 1 0 1 0 1 0 1 0]\n[0 0 0 0 0 0 0 0 0 0 0 0 0 0 0 0 0 0 0 0 0 0 0 0 0 0 0 0 0 0 0 1 0 1 0 1 0 1 0 1\n    0 1 0 1 0 1 0 1 0 1]\nLinear Code over GF(2) of length 50 with 22 generators.\nLower Bound: 1, Upper Bound: 29\nUsing congruence d mod 2 = 0\nConstructed 3 distinct generator matrices\nRelative Ranks:  22  22   6 \n     Discarding non-contributing rank 6 matrix\n     New Relative Ranks:  22  22 \nTime Taken: 0.00\nStarting search for low weight codewords... (reset timings)\nEnumerating using 1 generator at a time:\n     New codeword identified of weight 12, time 0.00\n     New codeword identified of weight 10, time 0.00\n   Completed Matrix  1:  lower =  4, upper = 10. Elapsed: 0.00s\n     New codeword identified of weight 8, time 0.00\n   Completed Matrix  2:  lower =  4, upper =  8. Elapsed: 0.00s\nTermination predicted with 3 generators at matrix 1\nEnumerating using 2 generators at a time:\n   Completed Matrix  1:  lower =  6, upper =  8. Elapsed: 0.00s\n   Completed Matrix  2:  lower =  6, upper =  8. Elapsed: 0.00s\nTermination predicted with 3 generators at matrix 1\nEnumerating using 3 generators at a time:\n   Completed Matrix  1:  lower =  8, upper =  8. Elapsed: 0.00s\nComputation complete 2046 vectors enumerated in total\n (0.048780% of 50 22 code)\nFinal Results: lower = 8, upper = 8,\nTotal CPU time: 0.00, real time: 0.002\n8\n\nTotal time: 0.010 seconds, Total memory usage: 32.09MB\n</t>
  </si>
  <si>
    <t>Magma V2.28-26    Tue Dec 30 2025 12:20:27 on Marks-MacBook-Air-2 [Seed = \n2159684256]\nType ? for help.  Type &lt;Ctrl&gt;-D to quit.\n[1 1 1 1 1 1 1 1 1 1 1 1 1 1 1 1 1 1 1 1 1 1 1 1 1 1 0 0 0 0 0 0 0 0 0 0 0 0 0 0\n    0 0 0 0 0 0 0 0 0 0 0 0 0 0 0 0 0 0 0 0 0 0 0 0 0]\n[1 1 1 1 1 1 1 1 1 1 1 1 1 0 0 0 0 0 0 0 0 0 0 0 0 0 1 1 1 1 1 1 1 1 1 1 1 1 1 0\n    0 0 0 0 0 0 0 0 0 0 0 0 0 0 0 0 0 0 0 0 0 0 0 0 0]\n[1 0 0 1 0 0 1 1 0 1 0 0 1 0 0 1 1 1 0 1 1 0 0 1 1 0 0 0 0 0 0 1 0 1 0 1 0 1 0 1\n    0 0 0 0 0 0 0 0 0 0 0 0 0 0 0 0 0 0 0 0 0 0 0 0 0]\n[1 1 0 0 1 0 0 1 1 0 1 0 0 1 1 1 0 0 0 1 0 0 1 1 0 0 1 1 1 1 1 1 0 1 0 1 0 1 0 0\n    1 0 0 0 0 0 0 0 0 0 0 0 0 0 0 0 0 0 0 0 0 0 0 0 0]\n[1 0 0 1 1 0 1 1 0 0 1 0 1 0 1 1 1 0 0 0 1 0 0 1 1 0 1 0 0 0 0 0 0 1 0 1 0 1 0 0\n    0 1 0 0 0 0 0 0 0 0 0 0 0 0 0 0 0 0 0 0 0 0 0 0 0]\n[1 1 0 0 1 1 0 1 1 0 0 1 0 1 1 0 0 0 1 1 1 0 1 1 0 0 1 0 1 1 1 1 1 1 0 1 0 1 0 0\n    0 0 1 0 0 0 0 0 0 0 0 0 0 0 0 0 0 0 0 0 0 0 0 0 0]\n[1 0 0 1 1 0 0 1 0 0 1 1 0 0 1 1 0 0 0 1 1 1 0 1 1 0 1 0 1 0 0 0 0 0 0 1 0 1 0 0\n    0 0 0 1 0 0 0 0 0 0 0 0 0 0 0 0 0 0 0 0 0 0 0 0 0]\n[0 1 0 0 1 1 0 0 1 0 0 1 1 1 1 0 0 1 1 1 0 0 0 1 0 0 1 0 1 0 1 1 1 1 1 1 0 1 0 0\n    0 0 0 0 1 0 0 0 0 0 0 0 0 0 0 0 0 0 0 0 0 0 0 0 0]\n[0 1 0 1 1 0 0 1 1 0 1 1 0 0 1 1 0 0 1 1 1 0 0 0 1 0 1 0 1 0 1 0 0 0 0 0 0 1 0 0\n    0 0 0 0 0 1 0 0 0 0 0 0 0 0 0 0 0 0 0 0 0 0 0 0 0]\n[0 0 1 0 1 1 0 0 1 1 0 1 1 1 1 0 0 1 1 0 0 0 1 1 1 0 1 0 1 0 1 0 1 1 1 1 1 1 0 0\n    0 0 0 0 0 0 1 0 0 0 0 0 0 0 0 0 0 0 0 0 0 0 0 0 0]\n[1 0 0 1 0 1 1 0 0 1 1 0 1 1 0 0 1 1 0 0 1 1 1 0 0 0 1 0 1 0 1 0 1 0 0 0 0 0 0 0\n    0 0 0 0 0 0 0 1 0 0 0 0 0 0 0 0 0 0 0 0 0 0 0 0 0]\n[1 1 0 0 1 0 1 1 0 0 1 1 0 0 1 0 0 1 1 0 0 1 1 1 0 0 0 1 0 1 0 1 0 1 0 0 0 0 0 0\n    0 0 0 0 0 0 0 0 1 0 0 0 0 0 0 0 0 0 0 0 0 0 0 0 0]\n[0 1 1 0 0 1 0 1 1 0 0 1 1 0 0 1 0 0 1 1 0 0 1 1 1 0 0 0 1 0 1 0 1 0 1 0 0 0 0 0\n    0 0 0 0 0 0 0 0 0 1 0 0 0 0 0 0 0 0 0 0 0 0 0 0 0]\n[0 1 0 0 1 1 0 1 0 0 1 1 0 1 1 1 0 1 1 0 0 1 1 0 0 0 0 0 0 1 0 1 0 1 0 1 0 0 0 0\n    0 0 0 0 0 0 0 0 0 0 1 0 0 0 0 0 0 0 0 0 0 0 0 0 0]\n[0 0 1 0 0 1 1 0 1 0 0 1 1 0 1 1 1 0 1 1 0 0 1 1 0 0 0 0 0 0 1 0 1 0 1 0 1 0 0 0\n    0 0 0 0 0 0 0 0 0 0 0 1 0 0 0 0 0 0 0 0 0 0 0 0 0]\n[0 1 1 1 0 0 1 0 1 1 0 0 0 0 0 0 0 1 0 0 1 0 0 0 1 0 0 1 1 1 1 1 0 0 0 1 1 1 0 0\n    0 0 0 0 0 0 0 0 0 0 0 0 1 0 0 0 0 0 0 0 0 0 0 0 0]\n[0 0 1 1 1 0 0 1 0 1 1 0 0 1 1 1 1 1 0 1 1 0 1 1 1 0 1 1 0 0 0 0 0 1 1 1 0 0 0 0\n    0 0 0 0 0 0 0 0 0 0 0 0 0 1 0 0 0 0 0 0 0 0 0 0 0]\n[1 1 1 0 0 0 1 1 0 1 0 0 1 1 0 0 0 0 0 1 0 0 1 0 0 0 0 1 1 0 0 0 0 0 1 1 1 0 0 0\n    0 0 0 0 0 0 0 0 0 0 0 0 0 0 1 0 0 0 0 0 0 0 0 0 0]\n[1 1 1 1 0 0 0 1 1 0 1 0 0 0 1 0 0 0 0 0 1 0 0 1 0 0 0 0 1 1 0 0 0 0 0 1 1 1 0 0\n    0 0 0 0 0 0 0 0 0 0 0 0 0 0 0 1 0 0 0 0 0 0 0 0 0]\n[1 0 0 0 0 1 1 1 0 0 1 0 1 0 0 1 0 0 0 0 0 1 0 0 1 0 1 1 1 0 0 1 1 1 1 1 0 0 0 0\n    0 0 0 0 0 0 0 0 0 0 0 0 0 0 0 0 1 0 0 0 0 0 0 0 0]\n[0 0 1 1 1 1 0 0 0 1 1 0 1 1 1 1 0 1 1 1 1 1 0 1 1 0 0 1 1 1 0 0 1 1 1 1 1 0 0 0\n    0 0 0 0 0 0 0 0 0 0 0 0 0 0 0 0 0 1 0 0 0 0 0 0 0]\n[0 1 1 0 0 0 0 1 1 1 0 0 1 1 0 0 0 1 0 0 0 0 0 1 0 0 0 0 1 1 1 0 0 1 1 1 1 1 0 0\n    0 0 0 0 0 0 0 0 0 0 0 0 0 0 0 0 0 0 1 0 0 0 0 0 0]\n[0 1 0 0 1 1 1 1 0 0 0 1 1 0 1 0 0 0 1 0 0 0 0 0 1 0 1 1 1 0 0 0 1 1 0 0 0 0 0 0\n    0 0 0 0 0 0 0 0 0 0 0 0 0 0 0 0 0 0 0 1 0 0 0 0 0]\n[0 1 0 1 1 0 0 0 0 1 1 1 0 1 1 0 1 1 1 0 1 1 1 1 1 0 0 1 1 1 0 0 0 1 1 0 0 0 0 0\n    0 0 0 0 0 0 0 0 0 0 0 0 0 0 0 0 0 0 0 0 1 0 0 0 0]\n[1 1 0 1 0 0 1 1 1 1 0 0 0 1 0 0 1 0 0 0 1 0 0 0 0 0 0 0 1 1 1 0 0 0 1 1 0 0 0 0\n    0 0 0 0 0 0 0 0 0 0 0 0 0 0 0 0 0 0 0 0 0 1 0 0 0]\n[0 1 1 0 1 0 0 1 1 1 1 0 0 0 1 0 0 1 0 0 0 1 0 0 0 0 0 0 0 1 1 1 0 0 0 1 1 0 0 0\n    0 0 0 0 0 0 0 0 0 0 0 0 0 0 0 0 0 0 0 0 0 0 1 0 0]\n[0 0 1 1 0 1 0 0 1 1 1 1 0 0 0 1 0 0 1 0 0 0 1 0 0 0 0 0 0 0 1 1 1 0 0 0 1 1 0 0\n    0 0 0 0 0 0 0 0 0 0 0 0 0 0 0 0 0 0 0 0 0 0 0 1 0]\n[1 1 1 0 0 1 0 1 1 0 0 0 0 0 0 0 1 0 0 1 0 0 0 1 0 0 1 1 1 1 1 0 0 0 1 1 1 0 0 0\n    0 0 0 0 0 0 0 0 0 0 0 0 0 0 0 0 0 0 0 0 0 0 0 0 1]\n[65, 28] Quasicyclic of degree 5 Linear Code over GF(2)\nGenerator matrix:\n[1 0 0 0 0 0 0 0 0 0 0 0 0 0 0 0 0 0 0 0 0 0 0 0 0 0 0 1 0 1 0 0 0 0 0 0 1 1 0 0\n    0 1 1 1 1 0 1 0 0 1 1 0 0 0 0 0 0 1 1 0 1 1 0 1 1]\n[0 1 0 0 0 0 0 0 0 0 0 0 0 0 0 0 0 0 0 0 0 0 0 0 0 0 0 0 1 0 1 0 0 0 0 0 0 1 1 0\n    0 0 1 1 1 1 0 1 0 0 1 1 1 0 0 0 0 0 1 1 0 1 1 0 1]\n[0 0 1 0 0 0 0 0 0 0 0 0 0 0 0 0 0 0 0 0 0 0 0 0 0 0 0 1 1 0 1 0 1 1 1 1 1 1 0 0\n    1 1 1 0 0 0 0 1 0 1 1 0 1 1 0 0 0 0 0 1 1 0 1 1 0]\n[0 0 0 1 0 0 0 0 0 0 0 0 0 0 0 0 0 0 0 0 0 0 0 0 0 0 0 0 1 1 0 1 0 1 1 1 1 1 1 0\n    0 1 1 1 0 0 0 0 1 0 1 1 0 1 1 0 0 0 0 0 1 1 0 1 1]\n[0 0 0 0 1 0 0 0 0 0 0 0 0 0 0 0 0 0 0 0 0 0 0 0 0 0 0 1 1 0 0 1 0 1 0 0 0 0 0 0\n    1 1 0 0 0 1 1 1 1 0 1 0 1 0 1 1 0 0 0 0 0 1 1 0 1]\n[0 0 0 0 0 1 0 0 0 0 0 0 0 0 0 0 0 0 0 0 0 0 0 0 0 0 0 0 1 1 0 0 1 0 1 0 0 0 0 0\n    0 1 1 0 0 0 1 1 1 1 0 1 1 1 0 1 1 0 0 0 0 0 1 1 0]\n[0 0 0 0 0 0 1 0 0 0 0 0 0 0 0 0 0 0 0 0 0 0 0 0 0 0 0 0 0 1 1 0 0 1 0 1 0 0 0 0\n    1 1 0 0 1 1 1 0 0 0 0 1 1 0 0 1 0 0 1 1 1 1 1 0 0]\n[0 0 0 0 0 0 0 1 0 0 0 0 0 0 0 0 0 0 0 0 0 0 0 0 0 0 0 0 0 0 1 1 0 0 1 0 1 0 0 0\n    1 0 0 1 1 0 0 0 1 1 1 1 1 0 1 1 0 1 1 0 0 0 0 0 1]\n[0 0 0 0 0 0 0 0 1 0 0 0 0 0 0 0 0 0 0 0 0 0 0 0 0 0 0 0 0 0 0 1 1 0 0 1 0 1 0 0\n    1 0 1 1 0 0 1 1 1 0 0 0 0 0 1 0 0 1 0 0 1 1 1 1 1]\n[0 0 0 0 0 0 0 0 0 1 0 0 0 0 0 0 0 0 0 0 0 0 0 0 0 0 0 0 0 0 0 0 1 1 0 0 1 0 1 0\n    0 1 0 1 1 0 0 1 1 1 0 0 1 0 0 1 0 0 1 0 0 1 1 1 1]\n[0 0 0 0 0 0 0 0 0 0 1 0 0 0 0 0 0 0 0 0 0 0 0 0 0 0 0 1 1 1 1 1 1 0 0 1 1 0 1 0\n    0 0 1 0 1 1 0 0 1 1 1 0 0 0 1 1 0 1 1 0 1 1 0 0 0]\n[0 0 0 0 0 0 0 0 0 0 0 1 0 0 0 0 0 0 0 0 0 0 0 0 0 0 0 1 0 0 0 0 0 0 1 1 0 0 1 0\n    0 0 0 1 0 1 1 0 0 1 1 1 1 1 1 0 0 1 0 0 1 0 0 1 1]\n[0 0 0 0 0 0 0 0 0 0 0 0 1 0 0 0 0 0 0 0 0 0 0 0 0 0 0 1 0 1 1 1 1 1 1 0 0 1 1 0\n    1 1 1 1 0 1 0 0 1 1 0 0 1 1 1 1 0 0 1 0 0 1 0 0 1]\n[0 0 0 0 0 0 0 0 0 0 0 0 0 1 0 0 0 0 0 0 0 0 0 0 0 0 0 1 0 0 1 1 0 0 1 0 0 0 0 0\n    0 1 0 1 1 1 0 0 0 1 1 1 0 1 0 1 0 1 1 0 0 0 1 0 1]\n[0 0 0 0 0 0 0 0 0 0 0 0 0 0 1 0 0 0 0 0 0 0 0 0 0 0 0 0 1 0 0 1 1 0 0 1 0 0 0 0\n    1 1 0 1 0 0 0 1 1 1 0 0 0 1 0 1 0 1 0 0 1 1 1 0 1]\n[0 0 0 0 0 0 0 0 0 0 0 0 0 0 0 1 0 0 0 0 0 0 0 0 0 0 0 0 0 1 0 0 1 1 0 0 1 0 0 0\n    0 1 1 0 1 0 0 0 1 1 1 0 1 0 1 0 1 0 1 0 0 1 1 1 0]\n[0 0 0 0 0 0 0 0 0 0 0 0 0 0 0 0 1 0 0 0 0 0 0 0 0 0 0 0 0 0 1 0 0 1 1 0 0 1 0 0\n    0 0 1 1 0 1 0 0 0 1 1 1 0 1 0 1 0 1 0 1 0 0 1 1 1]\n[0 0 0 0 0 0 0 0 0 0 0 0 0 0 0 0 0 1 0 0 0 0 0 0 0 0 0 0 0 0 0 1 0 0 1 1 0 0 1 0\n    1 1 1 0 0 1 0 1 1 1 0 0 0 1 0 1 0 1 0 1 0 1 1 0 0]\n[0 0 0 0 0 0 0 0 0 0 0 0 0 0 0 0 0 0 1 0 0 0 0 0 0 0 0 1 1 1 1 1 0 1 1 0 0 1 1 0\n    0 1 1 1 0 0 1 0 1 1 1 0 1 1 0 1 0 1 0 1 0 1 0 0 1]\n[0 0 0 0 0 0 0 0 0 0 0 0 0 0 0 0 0 0 0 1 0 0 0 0 0 0 0 1 0 0 0 0 0 1 0 0 1 1 0 0\n    0 0 1 1 1 0 0 1 0 1 1 1 0 0 0 1 0 1 0 1 0 1 0 1 1]\n[0 0 0 0 0 0 0 0 0 0 0 0 0 0 0 0 0 0 0 0 1 0 0 0 0 0 0 0 1 0 0 0 0 0 1 0 0 1 1 0\n    1 1 1 0 0 0 1 1 0 1 0 0 0 1 1 1 0 1 0 1 0 1 0 1 0]\n[0 0 0 0 0 0 0 0 0 0 0 0 0 0 0 0 0 0 0 0 0 1 0 0 0 0 0 1 1 0 1 1 1 1 1 0 1 1 0 0\n    0 1 1 1 0 0 0 1 1 0 1 0 1 1 0 0 0 1 0 1 0 1 0 1 0]\n[0 0 0 0 0 0 0 0 0 0 0 0 0 0 0 0 0 0 0 0 0 0 1 0 0 0 0 0 1 1 0 1 1 1 1 1 0 1 1 0\n    0 0 1 1 1 0 0 0 1 1 0 1 0 1 1 0 0 0 1 0 1 0 1 0 1]\n[0 0 0 0 0 0 0 0 0 0 0 0 0 0 0 0 0 0 0 0 0 0 0 1 0 0 0 1 1 0 0 1 0 0 0 0 0 1 0 0\n    1 1 1 0 0 0 1 1 1 0 0 1 1 0 1 1 0 0 0 1 0 1 0 1 0]\n[0 0 0 0 0 0 0 0 0 0 0 0 0 0 0 0 0 0 0 0 0 0 0 0 1 0 0 0 1 1 0 0 1 0 0 0 0 0 1 0\n    1 0 0 0 1 1 1 0 0 0 1 1 1 0 1 0 0 1 1 1 0 1 0 1 0]\n[0 0 0 0 0 0 0 0 0 0 0 0 0 0 0 0 0 0 0 0 0 0 0 0 0 1 0 1 1 0 0 1 1 0 1 1 1 1 1 0\n    1 0 1 1 1 0 0 0 1 1 1 0 0 1 0 1 0 0 1 1 1 0 1 0 1]\n[0 0 0 0 0 0 0 0 0 0 0 0 0 0 0 0 0 0 0 0 0 0 0 0 0 0 1 1 1 1 1 1 1 1 1 1 1 1 1 0\n    0 0 0 0 0 0 0 0 0 0 0 0 1 1 1 1 1 1 1 1 1 1 1 1 1]\n[0 0 0 0 0 0 0 0 0 0 0 0 0 0 0 0 0 0 0 0 0 0 0 0 0 0 0 0 0 0 0 0 0 0 0 0 0 0 0 1\n    1 1 1 1 1 1 1 1 1 1 1 1 1 1 1 1 1 1 1 1 1 1 1 1 1]\nLinear Code over GF(2) of length 65 with 28 generators.\nLower Bound: 1, Upper Bound: 38\nUsing congruence d mod 2 = 0\nConstructed 3 distinct generator matrices\nRelative Ranks:  28  28   9 \n     Discarding non-contributing rank 9 matrix\n     New Relative Ranks:  28  28 \nTime Taken: 0.00\nStarting search for low weight codewords... (reset timings)\nEnumerating using 1 generator at a time:\n     New codeword identified of weight 22, time 0.00\n     New codeword identified of weight 16, time 0.00\n     New codeword identified of weight 12, time 0.00\n     New codeword identified of weight 10, time 0.00\n   Completed Matrix  1:  lower =  4, upper = 10. Elapsed: 0.00s\n   Completed Matrix  2:  lower =  4, upper = 10. Elapsed: 0.00s\nTermination predicted with 4 generators at matrix 1\nEnumerating using 2 generators at a time:\n   Completed Matrix  1:  lower =  6, upper = 10. Elapsed: 0.00s\n   Completed Matrix  2:  lower =  6, upper = 10. Elapsed: 0.00s\nTermination predicted with 4 generators at matrix 1\nEnumerating using 3 generators at a time:\n   Completed Matrix  1:  lower =  8, upper = 10. Elapsed: 0.00s\n   Completed Matrix  2:  lower =  8, upper = 10. Elapsed: 0.00s\nTermination predicted with 4 generators at matrix 1\nEnumerating using 4 generators at a time:\n   Completed Matrix  1:  lower = 10, upper = 10. Elapsed: 0.00s\nComputation complete 27839 vectors enumerated in total\n (0.010371% of 65 28 code)\nFinal Results: lower = 10, upper = 10,\nTotal CPU time: 0.00, real time: 0.002\n10\n\nTotal time: 0.019 seconds, Total memory usage: 32.09MB\n</t>
  </si>
  <si>
    <t>Magma V2.28-26    Tue Dec 30 2025 12:20:27 on Marks-MacBook-Air-2 [Seed = \n2594189498]\nType ? for help.  Type &lt;Ctrl&gt;-D to quit.\n[1 1 1 1 1 1 1 1 1 1 1 1 1 1 1 1 1 1 1 1 1 1 1 1 1 1 1 1 1 1 1 1 0 0 0 0 0 0 0 0\n    0 0 0 0 0 0 0 0 0 0 0 0 0 0 0 0 0 0 0 0 0 0 0 0 0 0 0 0 0 0 0 0 0 0 0 0 0 0 \n    0 0]\n[0 1 1 0 0 1 1 0 0 1 1 0 0 1 1 0 1 0 1 0 1 0 1 0 1 0 1 0 1 0 1 0 1 1 0 0 1 1 0 0\n    1 1 0 0 1 1 0 0 0 0 0 0 0 0 0 0 0 0 0 0 0 0 0 0 0 0 0 0 0 0 0 0 0 0 0 0 0 0 \n    0 0]\n[1 0 1 0 1 0 1 0 1 0 1 0 1 0 1 0 0 0 0 0 0 0 0 0 0 0 0 0 0 0 0 0 1 0 1 0 1 0 1 0\n    1 0 1 0 1 0 1 0 0 0 0 0 0 0 0 0 0 0 0 0 0 0 0 0 0 0 0 0 0 0 0 0 0 0 0 0 0 0 \n    0 0]\n[0 0 1 1 0 0 1 1 0 0 1 1 0 0 1 1 1 0 1 0 1 0 1 0 1 0 1 0 1 0 1 0 1 0 0 1 1 0 0 1\n    1 0 0 1 1 0 0 1 0 0 0 0 0 0 0 0 0 0 0 0 0 0 0 0 0 0 0 0 0 0 0 0 0 0 0 0 0 0 \n    0 0]\n[1 0 1 1 1 1 0 0 0 1 0 0 1 1 1 0 1 1 0 0 0 0 1 1 1 1 0 1 1 1 1 0 1 1 0 1 1 1 1 1\n    1 0 0 1 0 0 0 0 1 0 1 0 0 0 0 0 0 0 0 0 0 0 0 0 0 0 0 0 0 0 0 0 0 0 0 0 0 0 \n    0 0]\n[1 0 1 0 0 0 0 1 1 1 0 1 1 0 0 0 1 0 0 1 1 1 1 0 0 0 0 1 0 0 0 0 0 1 1 0 1 1 1 1\n    1 1 0 0 1 0 0 0 0 1 0 1 0 0 0 0 0 0 0 0 0 0 0 0 0 0 0 0 0 0 0 0 0 0 0 0 0 0 \n    0 0]\n[1 0 0 0 1 0 1 0 1 1 0 0 0 1 0 0 0 0 1 0 0 1 1 0 0 1 1 1 1 1 0 0 0 0 1 0 0 1 0 0\n    1 0 1 1 1 0 0 0 1 0 0 0 1 0 0 0 0 0 0 0 0 0 0 0 0 0 0 0 0 0 0 0 0 0 0 0 0 0 \n    0 0]\n[0 0 1 0 0 0 1 1 0 0 0 0 0 1 0 0 1 0 1 1 1 0 0 1 1 0 0 1 0 1 0 0 1 1 0 1 1 1 1 0\n    1 0 0 1 0 0 0 0 0 1 0 0 0 1 0 0 0 0 0 0 0 0 0 0 0 0 0 0 0 0 0 0 0 0 0 0 0 0 \n    0 0]\n[1 0 1 0 1 1 0 1 1 1 0 0 1 1 0 0 1 0 0 1 1 1 1 1 0 0 0 1 0 1 0 0 1 0 1 1 0 0 0 0\n    1 1 0 1 1 0 0 0 1 0 0 0 0 0 1 0 0 0 0 0 0 0 0 0 0 0 0 0 0 0 0 0 0 0 0 0 0 0 \n    0 0]\n[0 0 1 1 0 0 0 0 1 0 0 0 0 0 0 0 1 1 1 0 0 1 0 1 0 0 1 0 0 0 0 0 1 0 0 1 0 1 0 0\n    1 0 1 0 0 0 0 0 0 1 0 0 0 0 0 1 0 0 0 0 0 0 0 0 0 0 0 0 0 0 0 0 0 0 0 0 0 0 \n    0 0]\n[1 0 1 0 0 1 0 0 0 0 0 0 1 1 1 0 1 0 1 1 0 0 0 1 0 1 0 0 1 1 1 0 1 0 0 1 0 1 0 1\n    1 1 0 0 0 0 0 0 1 0 0 0 0 0 0 0 1 0 0 0 0 0 0 0 0 0 0 0 0 0 0 0 0 0 0 0 0 0 \n    0 0]\n[1 0 1 0 1 1 0 1 1 1 1 1 1 0 0 0 1 0 1 0 0 1 1 1 0 1 0 1 1 0 0 0 0 1 0 0 1 0 1 0\n    1 1 1 0 0 0 0 0 0 1 0 0 0 0 0 0 0 1 0 0 0 0 0 0 0 0 0 0 0 0 0 0 0 0 0 0 0 0 \n    0 0]\n[1 1 1 0 1 0 1 0 1 0 1 1 0 0 1 0 1 0 0 1 0 0 0 0 0 1 1 1 0 0 1 0 1 1 1 1 1 0 1 0\n    1 1 1 0 0 0 0 0 1 0 0 0 0 0 0 0 0 0 1 0 0 0 0 0 0 0 0 0 0 0 0 0 0 0 0 0 0 0 \n    0 0]\n[1 0 0 0 1 0 1 0 1 0 1 0 0 1 1 0 1 0 1 1 0 1 1 1 1 1 0 0 0 1 1 0 0 1 1 1 1 1 0 1\n    0 1 1 1 0 0 0 0 0 1 0 0 0 0 0 0 0 0 0 1 0 0 0 0 0 0 0 0 0 0 0 0 0 0 0 0 0 0 \n    0 0]\n[0 0 0 0 0 1 1 0 1 1 1 0 0 0 1 0 0 1 1 0 0 1 1 1 1 1 0 0 0 0 1 0 1 1 1 0 0 0 0 1\n    0 0 1 0 1 0 0 0 1 0 0 0 0 0 0 0 0 0 0 0 1 0 0 0 0 0 0 0 0 0 0 0 0 0 0 0 0 0 \n    0 0]\n[1 0 0 1 1 0 1 0 1 1 1 0 1 0 0 0 0 1 1 0 0 1 1 0 1 0 1 1 0 1 0 0 1 0 1 1 1 1 0 0\n    0 1 0 1 1 0 0 0 0 1 0 0 0 0 0 0 0 0 0 0 0 1 0 0 0 0 0 0 0 0 0 0 0 0 0 0 0 0 \n    0 0]\n[1 0 0 1 0 1 1 1 0 1 0 1 1 1 0 0 0 1 0 1 1 0 1 0 0 0 1 0 1 1 1 0 0 1 0 0 1 1 0 1\n    0 1 1 1 0 0 0 0 1 0 0 0 0 0 0 0 0 0 0 0 0 0 1 0 0 0 0 0 0 0 0 0 0 0 0 0 0 0 \n    0 0]\n[1 0 1 1 0 1 0 0 0 1 0 1 0 0 0 1 1 1 0 1 0 0 1 0 1 1 1 0 1 0 0 0 0 0 1 0 0 1 1 0\n    1 0 1 1 1 0 0 0 0 1 0 0 0 0 0 0 0 0 0 0 0 0 0 1 0 0 0 0 0 0 0 0 0 0 0 0 0 0 \n    0 0]\n[1 0 0 0 0 1 1 1 1 1 1 0 1 1 0 0 0 0 0 0 1 1 1 1 1 1 1 1 0 1 0 0 0 1 0 0 1 0 0 0\n    0 0 0 1 1 0 0 0 0 1 0 0 0 0 0 0 0 0 0 0 0 0 0 0 1 0 0 0 0 0 0 0 0 0 0 0 0 0 \n    0 0]\n[1 0 0 1 1 0 0 1 1 1 0 1 1 1 1 0 0 1 1 0 1 1 1 0 1 0 0 0 1 1 1 0 0 0 1 1 0 1 1 1\n    0 1 0 1 0 0 0 0 1 0 0 0 0 0 0 0 0 0 0 0 0 0 0 0 0 1 0 0 0 0 0 0 0 0 0 0 0 0 \n    0 0]\n[1 0 1 1 0 0 1 1 0 0 0 1 0 0 0 0 1 1 0 0 1 0 0 0 1 0 1 1 1 0 0 0 0 0 0 1 1 0 1 1\n    1 0 1 0 1 0 0 0 0 1 0 0 0 0 0 0 0 0 0 0 0 0 0 0 0 0 1 0 0 0 0 0 0 0 0 0 0 0 \n    0 0]\n[1 0 0 0 0 0 1 1 1 0 1 0 0 0 0 0 0 0 0 0 1 1 0 1 0 0 1 0 1 0 0 0 0 0 0 1 1 1 1 0\n    1 0 0 0 1 0 0 0 1 0 0 0 0 0 0 0 0 0 0 0 0 0 0 0 0 0 0 1 0 0 0 0 0 0 0 0 0 0 \n    0 0]\n[0 0 1 0 0 1 1 1 1 0 1 1 0 1 1 0 1 0 1 0 1 1 0 0 0 0 1 1 1 1 1 0 1 1 0 0 0 0 1 1\n    1 0 0 0 1 0 0 0 0 1 0 0 0 0 0 0 0 0 0 0 0 0 0 0 0 0 0 0 1 0 0 0 0 0 0 0 0 0 \n    0 0]\n[0 0 1 1 0 1 1 0 0 0 0 0 1 1 0 0 1 1 0 0 0 0 0 0 1 0 0 1 0 1 0 0 0 1 1 1 0 0 1 0\n    1 0 0 1 1 0 0 0 1 0 0 0 0 0 0 0 0 0 0 0 0 0 0 0 0 0 0 0 0 1 0 0 0 0 0 0 0 0 \n    0 0]\n[0 1 1 1 1 1 0 1 0 1 1 0 0 0 0 0 1 1 0 0 1 0 1 0 1 1 1 0 0 0 0 0 1 1 1 1 0 1 0 1\n    1 0 0 0 0 0 0 0 0 1 0 0 0 0 0 0 0 0 0 0 0 0 0 0 0 0 0 0 0 0 1 0 0 0 0 0 0 0 \n    0 0]\n[1 0 0 0 0 0 1 0 1 1 1 1 1 1 1 0 1 0 1 0 0 1 1 0 1 0 1 0 1 1 1 0 1 0 1 0 0 1 0 1\n    0 1 0 1 0 0 0 0 1 0 0 0 0 0 0 0 0 0 0 0 0 0 0 0 0 0 0 0 0 0 0 1 0 0 0 0 0 0 \n    0 0]\n[1 0 1 1 1 1 1 0 1 0 0 0 0 0 0 0 1 0 1 0 1 1 0 0 1 0 1 0 1 0 0 0 0 1 0 1 0 0 1 0\n    1 0 1 0 1 0 0 0 0 1 0 0 0 0 0 0 0 0 0 0 0 0 0 0 0 0 0 0 0 0 0 0 1 0 0 0 0 0 \n    0 0]\n[1 0 0 0 0 1 0 1 0 1 1 0 1 0 0 0 0 0 1 1 1 1 1 1 0 0 1 0 0 0 0 0 0 0 1 1 1 0 1 0\n    0 0 0 0 1 0 0 0 1 0 0 0 0 0 0 0 0 0 0 0 0 0 0 0 0 0 0 0 0 0 0 0 0 1 0 0 0 0 \n    0 0]\n[0 0 1 0 0 1 0 0 1 1 0 1 0 0 1 0 1 0 1 1 0 1 0 1 0 0 1 1 1 0 1 0 1 1 0 1 0 0 0 1\n    1 1 0 0 1 0 0 0 0 1 0 0 0 0 0 0 0 0 0 0 0 0 0 0 0 0 0 0 0 0 0 0 0 0 1 0 0 0 \n    0 0]\n[0 0 1 1 0 1 1 1 1 0 1 1 1 1 1 0 1 1 0 0 1 1 0 0 0 0 0 1 0 1 1 0 0 1 1 1 1 0 1 1\n    1 0 1 1 1 0 0 0 1 0 0 0 0 0 0 0 0 0 0 0 0 0 0 0 0 0 0 0 0 0 0 0 0 0 0 1 0 0 \n    0 0]\n[1 0 0 0 0 0 1 0 0 1 0 0 0 1 1 0 0 0 1 1 0 0 1 1 0 1 0 1 1 1 1 0 1 1 1 1 0 0 0 1\n    0 0 0 1 0 0 0 0 0 1 0 0 0 0 0 0 0 0 0 0 0 0 0 0 0 0 0 0 0 0 0 0 0 0 0 0 1 0 \n    0 0]\n[0 0 0 0 0 0 1 0 1 0 0 1 0 0 1 0 0 0 1 0 0 1 0 1 1 0 0 0 1 1 1 0 1 0 1 0 0 1 1 1\n    0 0 0 1 1 0 0 0 1 0 0 0 0 0 0 0 0 0 0 0 0 0 0 0 0 0 0 0 0 0 0 0 0 0 0 0 0 1 \n    0 0]\n[1 0 0 1 1 0 0 0 1 1 0 1 0 0 0 0 0 1 0 0 0 1 1 1 1 0 0 1 0 0 1 0 1 0 0 1 1 1 1 1\n    0 1 0 0 0 0 0 0 0 1 0 0 0 0 0 0 0 0 0 0 0 0 0 0 0 0 0 0 0 0 0 0 0 0 0 0 0 0 \n    1 0]\n[0 0 0 0 1 1 1 1 1 1 0 1 1 0 0 1 0 0 0 1 1 1 1 1 1 1 1 0 1 0 0 0 1 0 0 1 0 0 0 0\n    0 0 1 1 0 0 0 0 1 0 0 0 0 0 0 0 0 0 0 0 0 0 0 0 0 0 0 0 0 0 0 0 0 0 0 0 0 0 \n    0 1]\n[80, 34] Quasicyclic of degree 5 Linear Code over GF(2)\nGenerator matrix:\n[1 0 0 0 0 0 0 0 0 0 0 0 0 0 0 0 0 0 0 0 0 0 0 0 0 0 0 0 0 0 0 0 0 1 0 0 1 0 1 0\n    1 1 0 0 0 1 0 1 0 1 0 0 1 1 1 0 0 0 1 0 0 1 0 0 1 0 0 0 0 1 0 0 1 1 1 0 0 0 \n    0 1]\n[0 1 0 0 0 0 0 0 0 0 0 0 0 0 0 0 0 0 0 0 0 0 0 0 0 0 0 0 0 0 0 0 0 1 0 1 1 0 1 0\n    1 0 0 1 1 1 0 1 0 0 1 0 0 1 1 1 0 0 0 1 0 0 1 0 0 0 1 1 1 1 0 1 1 0 0 0 1 1 \n    1 1]\n[0 0 1 0 0 0 0 0 0 0 0 0 0 0 0 0 0 0 0 0 0 0 0 0 0 0 0 0 0 0 0 0 0 1 0 1 0 0 1 0\n    1 0 1 1 0 0 0 1 0 0 0 1 0 0 1 1 1 0 0 0 1 0 0 1 0 1 1 0 0 0 0 1 0 0 1 1 1 0 \n    0 0]\n[0 0 0 1 0 0 0 0 0 0 0 0 0 0 0 0 0 0 0 0 0 0 0 0 0 0 0 0 0 0 0 0 0 1 0 1 0 1 1 0\n    1 0 1 0 0 1 1 1 0 1 1 1 0 1 1 0 0 0 1 1 1 0 1 1 0 0 1 1 0 0 0 0 1 0 0 1 1 1 \n    0 0]\n[0 0 0 0 1 0 0 0 0 0 0 0 0 0 0 0 0 0 0 0 0 0 0 0 0 0 0 0 0 0 0 0 0 1 0 1 0 1 0 0\n    1 0 1 0 1 1 0 0 0 1 0 0 0 1 0 0 1 1 1 0 0 0 1 0 0 0 0 1 1 0 0 0 0 1 0 0 1 1 \n    1 0]\n[0 0 0 0 0 1 0 0 0 0 0 0 0 0 0 0 0 0 0 0 0 0 0 0 0 0 0 0 0 0 0 0 0 0 1 0 1 0 1 0\n    0 1 0 1 0 1 1 0 0 0 1 0 0 0 1 0 0 1 1 1 0 0 0 1 0 0 0 0 1 1 0 0 0 0 1 0 0 1 \n    1 1]\n[0 0 0 0 0 0 1 0 0 0 0 0 0 0 0 0 0 0 0 0 0 0 0 0 0 0 0 0 0 0 0 0 0 0 0 1 0 1 0 1\n    0 0 1 0 1 0 1 1 0 1 1 0 1 1 1 0 1 1 0 0 0 1 1 1 0 1 1 1 1 0 0 1 1 1 1 0 1 1 \n    0 0]\n[0 0 0 0 0 0 0 1 0 0 0 0 0 0 0 0 0 0 0 0 0 0 0 0 0 0 0 0 0 0 0 0 0 1 1 1 0 1 0 1\n    0 1 1 0 1 0 1 0 0 1 0 0 1 0 0 0 1 0 0 1 1 1 0 0 0 0 1 1 1 1 0 0 1 1 1 1 0 1 \n    1 0]\n[0 0 0 0 0 0 0 0 1 0 0 0 0 0 0 0 0 0 0 0 0 0 0 0 0 0 0 0 0 0 0 0 0 0 1 1 1 0 1 0\n    1 0 1 1 0 1 0 1 0 0 1 0 0 1 0 0 0 1 0 0 1 1 1 0 0 0 0 1 1 1 1 0 0 1 1 1 1 0 \n    1 1]\n[0 0 0 0 0 0 0 0 0 1 0 0 0 0 0 0 0 0 0 0 0 0 0 0 0 0 0 0 0 0 0 0 0 1 1 0 0 0 1 0\n    1 0 1 0 0 1 0 1 0 0 0 1 0 0 1 0 0 0 1 0 0 1 1 1 0 1 1 1 0 0 0 0 1 1 0 0 0 0 \n    1 0]\n[0 0 0 0 0 0 0 0 0 0 1 0 0 0 0 0 0 0 0 0 0 0 0 0 0 0 0 0 0 0 0 0 0 1 0 0 1 1 1 0\n    1 0 1 0 1 1 0 1 0 1 1 1 0 1 1 0 1 1 1 0 1 1 0 0 0 0 1 1 1 0 0 0 0 1 1 0 0 0 \n    0 1]\n[0 0 0 0 0 0 0 0 0 0 0 1 0 0 0 0 0 0 0 0 0 0 0 0 0 0 0 0 0 0 0 0 0 1 0 1 1 0 0 0\n    1 0 1 0 1 0 0 1 0 0 1 1 1 0 1 1 0 1 1 1 0 1 1 0 0 1 1 0 0 0 1 1 1 1 0 0 1 1 \n    1 1]\n[0 0 0 0 0 0 0 0 0 0 0 0 1 0 0 0 0 0 0 0 0 0 0 0 0 0 0 0 0 0 0 0 0 1 0 1 0 0 1 1\n    1 0 1 0 1 0 1 1 0 0 0 1 1 1 0 1 1 0 1 1 1 0 1 1 0 1 0 0 1 1 1 0 0 0 0 1 1 0 \n    0 0]\n[0 0 0 0 0 0 0 0 0 0 0 0 0 1 0 0 0 0 0 0 0 0 0 0 0 0 0 0 0 0 0 0 0 1 0 1 0 1 1 0\n    0 0 1 0 1 0 1 0 0 1 1 1 0 0 0 1 0 0 1 0 0 0 1 0 0 0 1 0 0 1 1 1 0 0 0 0 1 1 \n    0 0]\n[0 0 0 0 0 0 0 0 0 0 0 0 0 0 1 0 0 0 0 0 0 0 0 0 0 0 0 0 0 0 0 0 0 0 1 0 1 0 1 1\n    0 0 0 1 0 1 0 1 0 0 1 1 1 0 0 0 1 0 0 1 0 0 0 1 0 0 0 1 0 0 1 1 1 0 0 0 0 1 \n    1 0]\n[0 0 0 0 0 0 0 0 0 0 0 0 0 0 0 1 0 0 0 0 0 0 0 0 0 0 0 0 0 0 0 0 0 1 1 0 1 0 1 0\n    0 1 1 1 0 1 0 1 0 1 1 0 0 0 1 1 1 0 1 1 0 1 1 1 0 0 0 0 1 0 0 1 1 1 0 0 0 0 \n    1 1]\n[0 0 0 0 0 0 0 0 0 0 0 0 0 0 0 0 1 0 0 0 0 0 0 0 0 0 0 0 0 0 0 0 0 0 1 0 1 1 0 0\n    0 1 1 0 0 1 1 0 0 0 0 1 1 0 0 0 0 1 1 0 0 0 0 1 1 0 1 1 0 1 0 0 0 0 0 0 0 1 \n    1 1]\n[0 0 0 0 0 0 0 0 0 0 0 0 0 0 0 0 0 1 0 0 0 0 0 0 0 0 0 0 0 0 0 0 0 0 0 1 0 1 1 0\n    0 0 1 1 0 0 1 1 0 1 1 1 0 0 1 1 1 1 0 0 1 1 1 1 0 0 1 0 0 1 0 1 1 1 1 1 1 1 \n    0 0]\n[0 0 0 0 0 0 0 0 0 0 0 0 0 0 0 0 0 0 1 0 0 0 0 0 0 0 0 0 0 0 0 0 0 1 1 1 0 1 0 0\n    1 1 1 0 0 1 1 0 0 1 0 0 0 1 1 0 0 0 0 1 1 0 0 0 0 0 0 1 0 0 1 0 1 1 1 1 1 1 \n    1 0]\n[0 0 0 0 0 0 0 0 0 0 0 0 0 0 0 0 0 0 0 1 0 0 0 0 0 0 0 0 0 0 0 0 0 0 1 1 1 0 1 0\n    0 1 1 1 0 0 1 1 0 0 1 0 0 0 1 1 0 0 0 0 1 1 0 0 0 0 0 0 1 0 0 1 0 1 1 1 1 1 \n    1 1]\n[0 0 0 0 0 0 0 0 0 0 0 0 0 0 0 0 0 0 0 0 1 0 0 0 0 0 0 0 0 0 0 0 0 1 1 0 0 0 1 0\n    1 1 0 0 0 1 1 0 0 0 0 1 0 0 0 1 1 0 0 0 0 1 1 0 0 1 1 1 1 0 1 1 0 1 0 0 0 0 \n    0 0]\n[0 0 0 0 0 0 0 0 0 0 0 0 0 0 0 0 0 0 0 0 0 1 0 0 0 0 0 0 0 0 0 0 0 0 1 1 0 0 0 1\n    0 1 1 0 0 0 1 1 0 0 0 0 1 0 0 0 1 1 0 0 0 0 1 1 0 0 1 1 1 1 0 1 1 0 1 0 0 0 \n    0 0]\n[0 0 0 0 0 0 0 0 0 0 0 0 0 0 0 0 0 0 0 0 0 0 1 0 0 0 0 0 0 0 0 0 0 1 1 0 0 1 1 1\n    0 1 0 0 1 1 1 0 0 1 1 1 1 0 1 1 1 0 0 1 1 1 1 0 0 0 0 1 1 1 1 0 1 1 0 1 0 0 \n    0 0]\n[0 0 0 0 0 0 0 0 0 0 0 0 0 0 0 0 0 0 0 0 0 0 0 1 0 0 0 0 0 0 0 0 0 0 1 1 0 0 1 1\n    1 0 1 0 0 1 1 1 0 0 1 1 1 1 0 1 1 1 0 0 1 1 1 1 0 0 0 0 1 1 1 1 0 1 1 0 1 0 \n    0 0]\n[0 0 0 0 0 0 0 0 0 0 0 0 0 0 0 0 0 0 0 0 0 0 0 0 1 0 0 0 0 0 0 0 0 1 1 0 0 1 1 0\n    0 0 1 0 1 1 0 0 0 1 1 0 0 0 0 1 0 0 0 1 1 0 0 0 0 0 0 0 0 1 1 1 1 0 1 1 0 1 \n    0 0]\n[0 0 0 0 0 0 0 0 0 0 0 0 0 0 0 0 0 0 0 0 0 0 0 0 0 1 0 0 0 0 0 0 0 0 1 1 0 0 1 1\n    0 0 0 1 0 1 1 0 0 0 1 1 0 0 0 0 1 0 0 0 1 1 0 0 0 0 0 0 0 0 1 1 1 1 0 1 1 0 \n    1 0]\n[0 0 0 0 0 0 0 0 0 0 0 0 0 0 0 0 0 0 0 0 0 0 0 0 0 0 1 0 0 0 0 0 0 0 0 1 1 0 0 1\n    1 0 0 0 1 0 1 1 0 0 0 1 1 0 0 0 0 1 0 0 0 1 1 0 0 0 0 0 0 0 0 1 1 1 1 0 1 1 \n    0 1]\n[0 0 0 0 0 0 0 0 0 0 0 0 0 0 0 0 0 0 0 0 0 0 0 0 0 0 0 1 0 0 0 0 0 1 1 1 0 0 1 1\n    0 0 1 1 1 0 1 0 0 0 0 0 1 1 0 0 0 0 1 0 0 0 1 1 0 1 1 1 1 1 1 1 0 0 0 0 1 0 \n    0 1]\n[0 0 0 0 0 0 0 0 0 0 0 0 0 0 0 0 0 0 0 0 0 0 0 0 0 0 0 0 1 0 0 0 0 0 1 1 1 0 0 1\n    1 0 0 1 1 1 0 1 0 1 1 1 1 0 0 1 1 1 1 0 1 1 1 0 0 1 0 0 0 0 0 0 0 1 1 1 1 0 \n    1 1]\n[0 0 0 0 0 0 0 0 0 0 0 0 0 0 0 0 0 0 0 0 0 0 0 0 0 0 0 0 0 1 0 0 0 1 1 0 0 0 1 1\n    0 0 1 1 0 0 0 1 0 0 1 1 1 1 0 0 1 1 1 1 0 1 1 1 0 1 0 1 1 1 1 1 1 1 0 0 0 0 \n    1 0]\n[0 0 0 0 0 0 0 0 0 0 0 0 0 0 0 0 0 0 0 0 0 0 0 0 0 0 0 0 0 0 1 0 0 1 0 0 1 1 1 0\n    0 1 1 0 0 1 1 1 0 1 1 0 0 0 0 1 1 0 0 0 0 1 0 0 0 0 1 0 1 1 1 1 1 1 1 0 0 0 \n    0 1]\n[0 0 0 0 0 0 0 0 0 0 0 0 0 0 0 0 0 0 0 0 0 0 0 0 0 0 0 0 0 0 0 1 0 1 0 1 1 0 0 0\n    1 1 0 0 1 1 0 0 0 0 1 1 0 0 0 0 1 1 0 0 0 0 1 0 0 1 1 0 1 0 0 0 0 0 0 0 1 1 \n    1 1]\n[0 0 0 0 0 0 0 0 0 0 0 0 0 0 0 0 0 0 0 0 0 0 0 0 0 0 0 0 0 0 0 0 1 1 1 1 1 1 1 1\n    1 1 1 1 1 1 1 1 0 0 0 0 0 0 0 0 0 0 0 0 0 0 0 0 1 1 1 1 1 1 1 1 1 1 1 1 1 1 \n    1 1]\n[0 0 0 0 0 0 0 0 0 0 0 0 0 0 0 0 0 0 0 0 0 0 0 0 0 0 0 0 0 0 0 0 0 0 0 0 0 0 0 0\n    0 0 0 0 0 0 0 0 1 1 1 1 1 1 1 1 1 1 1 1 1 1 1 1 1 1 1 1 1 1 1 1 1 1 1 1 1 1 \n    1 1]\nLinear Code over GF(2) of length 80 with 34 generators.\nLower Bound: 1, Upper Bound: 47\nUsing congruence d mod 2 = 0\nConstructed 3 distinct generator matrices\nRelative Ranks:  34  34  12 \nTime Taken: 0.00\nStarting search for low weight codewords... (reset timings)\nEnumerating using 1 generator at a time:\n     New codeword identified of weight 26, time 0.00\n     New codeword identified of weight 20, time 0.00\n     New codeword identified of weight 18, time 0.00\n     New codeword identified of weight 16, time 0.00\n     New codeword identified of weight 12, time 0.00\n     Discarding non-contributing rank 12 matrix\n     New Relative Ranks:  34  34 \n   Completed Matrix  1:  lower =  4, upper = 12. Elapsed: 0.00s\n   Completed Matrix  2:  lower =  4, upper = 12. Elapsed: 0.00s\nTermination predicted with 5 generators at matrix 1\nEnumerating using 2 generators at a time:\n   Completed Matrix  1:  lower =  6, upper = 12. Elapsed: 0.00s\n   Completed Matrix  2:  lower =  6, upper = 12. Elapsed: 0.00s\nTermination predicted with 5 generators at matrix 1\nEnumerating using 3 generators at a time:\n   Completed Matrix  1:  lower =  8, upper = 12. Elapsed: 0.00s\n   Completed Matrix  2:  lower =  8, upper = 12. Elapsed: 0.00s\nTermination predicted with 5 generators at matrix 1\nEnumerating using 4 generators at a time:\n   Completed Matrix  1:  lower = 10, upper = 12. Elapsed: 0.00s\n   Completed Matrix  2:  lower = 10, upper = 12. Elapsed: 0.00s\nTermination predicted with 5 generators at matrix 1\nEnumerating using 5 generators at a time:\n   Completed Matrix  1:  lower = 12, upper = 12. Elapsed: 0.00s\nComputation complete 384166 vectors enumerated in total\n (0.002236% of 80 34 code)\nFinal Results: lower = 12, upper = 12,\nTotal CPU time: 0.00, real time: 0.002\n12\n\nTotal time: 0.010 seconds, Total memory usage: 32.09MB\n</t>
  </si>
  <si>
    <t>Magma V2.28-26    Tue Dec 30 2025 12:20:27 on Marks-MacBook-Air-2 [Seed = \n2628138684]\nType ? for help.  Type &lt;Ctrl&gt;-D to quit.\n[1 1 1 1 1 1 1 1 1 1 1 1 1 1 1 1 1 1 1 1 1 1 1 1 1 1 1 1 1 1 1 1 1 1 1 1 1 1 1 1\n    1 1 0 0 0 0 0 0 0 0 0 0 0 0 0 0 0 0 0 0 0 0 0 0 0 0 0 0 0 0 0 0 0 0 0 0 0 0 \n    0 0 0 0 0 0 0 0 0 0 0 0 0 0 0 0 0 0 0 0 0 0 0 0 0 0 0]\n[1 1 1 1 1 1 1 1 1 1 1 1 1 1 1 1 1 1 1 1 1 0 0 0 0 0 0 0 0 0 0 0 0 0 0 0 0 0 0 0\n    0 0 1 1 1 1 1 1 1 1 1 1 1 1 1 1 1 1 1 1 1 1 1 0 0 0 0 0 0 0 0 0 0 0 0 0 0 0 \n    0 0 0 0 0 0 0 0 0 0 0 0 0 0 0 0 0 0 0 0 0 0 0 0 0 0 0]\n[1 0 0 0 1 0 1 1 0 0 1 0 1 0 0 1 0 0 1 0 0 1 1 0 0 0 1 0 1 1 1 1 1 1 0 1 1 0 1 1\n    0 0 1 1 0 0 1 1 1 0 1 1 0 1 0 0 1 0 0 1 0 0 0 1 0 0 0 0 0 0 0 0 0 0 0 0 0 0 \n    0 0 0 0 0 0 0 0 0 0 0 0 0 0 0 0 0 0 0 0 0 0 0 0 0 0 0]\n[0 1 0 0 0 1 0 1 1 0 0 1 0 1 0 0 1 0 0 1 0 0 1 1 0 0 0 1 0 1 1 1 1 1 1 0 1 1 0 1\n    1 0 0 1 1 0 0 1 1 1 0 1 1 0 1 0 0 1 0 0 1 0 0 0 1 0 0 0 0 0 0 0 0 0 0 0 0 0 \n    0 0 0 0 0 0 0 0 0 0 0 0 0 0 0 0 0 0 0 0 0 0 0 0 0 0 0]\n[1 1 0 1 1 1 0 1 0 0 1 1 0 1 0 1 1 0 1 1 0 1 1 0 0 1 1 1 0 1 0 0 0 0 0 0 1 0 0 1\n    0 0 0 0 1 1 0 0 1 1 1 0 1 1 0 1 0 0 1 0 0 1 0 0 0 1 0 0 0 0 0 0 0 0 0 0 0 0 \n    0 0 0 0 0 0 0 0 0 0 0 0 0 0 0 0 0 0 0 0 0 0 0 0 0 0 0]\n[1 0 0 1 0 0 0 1 0 1 1 0 0 1 0 1 0 0 1 0 0 0 1 1 0 0 1 1 1 0 1 0 0 0 0 0 0 1 0 0\n    1 0 1 1 1 0 0 1 1 0 0 0 1 0 0 1 0 1 1 0 1 1 0 0 0 0 1 0 0 0 0 0 0 0 0 0 0 0 \n    0 0 0 0 0 0 0 0 0 0 0 0 0 0 0 0 0 0 0 0 0 0 0 0 0 0 0]\n[0 1 0 0 1 0 0 0 1 0 1 1 0 0 1 0 1 0 0 1 0 1 1 0 0 1 1 0 0 0 1 0 1 1 1 1 1 1 0 1\n    1 0 1 0 0 0 1 1 0 0 1 1 1 0 1 1 0 1 0 0 1 0 0 0 0 0 0 1 0 0 0 0 0 0 0 0 0 0 \n    0 0 0 0 0 0 0 0 0 0 0 0 0 0 0 0 0 0 0 0 0 0 0 0 0 0 0]\n[1 1 0 1 1 0 1 1 1 0 1 0 0 1 1 0 1 0 1 1 0 1 0 0 1 1 0 0 1 1 1 0 1 0 0 0 0 0 0 1\n    0 0 0 1 0 0 0 1 1 0 0 1 1 1 0 1 1 0 1 0 0 1 0 0 0 0 0 0 1 0 0 0 0 0 0 0 0 0 \n    0 0 0 0 0 0 0 0 0 0 0 0 0 0 0 0 0 0 0 0 0 0 0 0 0 0 0]\n[1 0 0 1 0 0 1 0 0 0 1 0 1 1 0 0 1 0 1 0 0 0 1 0 0 1 1 0 0 1 1 1 0 1 0 0 0 0 0 0\n    1 0 1 1 0 1 1 1 0 0 1 1 0 0 0 1 0 0 1 0 1 1 0 0 0 0 0 0 0 1 0 0 0 0 0 0 0 0 \n    0 0 0 0 0 0 0 0 0 0 0 0 0 0 0 0 0 0 0 0 0 0 0 0 0 0 0]\n[0 1 0 0 1 0 0 1 0 0 0 1 0 1 1 0 0 1 0 1 0 1 1 0 1 1 0 0 1 1 0 0 0 1 0 1 1 1 1 1\n    1 0 1 0 0 1 0 0 0 1 1 0 0 1 1 1 0 1 1 0 1 0 0 0 0 0 0 0 0 0 1 0 0 0 0 0 0 0 \n    0 0 0 0 0 0 0 0 0 0 0 0 0 0 0 0 0 0 0 0 0 0 0 0 0 0 0]\n[1 1 0 1 1 0 1 1 0 1 1 1 0 1 0 0 1 1 0 1 0 1 0 0 1 0 0 1 1 0 0 1 1 1 0 1 0 0 0 0\n    0 0 0 1 0 0 1 0 0 0 1 1 0 0 1 1 1 0 1 1 0 1 0 0 0 0 0 0 0 0 0 1 0 0 0 0 0 0 \n    0 0 0 0 0 0 0 0 0 0 0 0 0 0 0 0 0 0 0 0 0 0 0 0 0 0 0]\n[1 0 0 1 0 0 1 0 0 1 0 0 0 1 0 1 1 0 0 1 0 0 1 0 0 1 0 0 1 1 0 0 1 1 1 0 1 0 0 0\n    0 0 1 1 0 1 1 0 1 1 1 0 0 1 1 0 0 0 1 0 0 1 0 0 0 0 0 0 0 0 0 0 1 0 0 0 0 0 \n    0 0 0 0 0 0 0 0 0 0 0 0 0 0 0 0 0 0 0 0 0 0 0 0 0 0 0]\n[1 0 1 1 0 1 1 0 1 1 0 1 1 1 0 1 0 0 1 1 0 0 0 1 0 0 1 0 0 1 1 0 0 1 1 1 0 1 0 0\n    0 0 1 0 0 1 0 0 1 0 0 0 1 1 0 0 1 1 1 0 1 1 0 0 0 0 0 0 0 0 0 0 0 1 0 0 0 0 \n    0 0 0 0 0 0 0 0 0 0 0 0 0 0 0 0 0 0 0 0 0 0 0 0 0 0 0]\n[1 0 1 0 0 1 0 0 1 0 0 1 0 0 0 1 0 1 1 0 0 0 0 0 1 0 0 1 0 0 1 1 0 0 1 1 1 0 1 0\n    0 0 1 0 1 1 0 1 1 0 1 1 1 0 0 1 1 0 0 0 1 0 0 0 0 0 0 0 0 0 0 0 0 0 1 0 0 0 \n    0 0 0 0 0 0 0 0 0 0 0 0 0 0 0 0 0 0 0 0 0 0 0 0 0 0 0]\n[0 1 0 1 0 0 1 0 0 1 0 0 1 0 0 0 1 0 1 1 0 0 0 0 0 1 0 0 1 0 0 1 1 0 0 1 1 1 0 1\n    0 0 0 1 0 1 1 0 1 1 0 1 1 1 0 0 1 1 0 0 0 1 0 0 0 0 0 0 0 0 0 0 0 0 0 1 0 0 \n    0 0 0 0 0 0 0 0 0 0 0 0 0 0 0 0 0 0 0 0 0 0 0 0 0 0 0]\n[1 1 0 1 0 1 1 0 1 1 0 1 1 0 1 1 1 0 1 0 0 0 0 0 0 0 1 0 0 1 0 0 1 1 0 0 1 1 1 0\n    1 0 1 1 0 1 0 0 1 0 0 1 0 0 0 1 1 0 0 1 1 1 0 0 0 0 0 0 0 0 0 0 0 0 0 0 1 0 \n    0 0 0 0 0 0 0 0 0 0 0 0 0 0 0 0 0 0 0 0 0 0 0 0 0 0 0]\n[0 1 1 0 1 0 1 1 0 1 1 0 1 1 0 1 1 1 0 1 0 1 1 1 1 1 1 0 1 1 0 1 1 0 0 1 1 0 0 0\n    1 0 1 0 0 1 0 1 1 0 1 1 0 1 1 1 0 0 1 1 0 0 0 0 0 0 0 0 0 0 0 0 0 0 0 0 0 1 \n    0 0 0 0 0 0 0 0 0 0 0 0 0 0 0 0 0 0 0 0 0 0 0 0 0 0 0]\n[1 1 0 0 1 0 1 0 0 1 0 0 1 0 0 1 0 0 0 1 0 1 0 0 0 0 0 0 1 0 0 1 0 0 1 1 0 0 1 1\n    1 0 0 1 0 0 1 0 1 1 0 1 1 0 1 1 1 0 0 1 1 0 0 0 0 0 0 0 0 0 0 0 0 0 0 0 0 0 \n    1 0 0 0 0 0 0 0 0 0 0 0 0 0 0 0 0 0 0 0 0 0 0 0 0 0 0]\n[1 0 0 1 1 0 1 0 1 1 0 1 1 0 1 1 0 1 1 1 0 1 0 1 1 1 1 1 1 0 1 1 0 1 1 0 0 1 1 0\n    0 0 0 0 1 0 0 1 0 1 1 0 1 1 0 1 1 1 0 0 1 1 0 0 0 0 0 0 0 0 0 0 0 0 0 0 0 0 \n    0 1 0 0 0 0 0 0 0 0 0 0 0 0 0 0 0 0 0 0 0 0 0 0 0 0 0]\n[1 0 1 1 0 0 1 0 1 0 0 1 0 0 1 0 0 1 0 0 0 0 1 0 1 1 1 1 1 1 0 1 1 0 1 1 0 0 1 1\n    0 0 1 1 1 0 1 1 0 1 0 0 1 0 0 1 0 0 0 1 1 0 0 0 0 0 0 0 0 0 0 0 0 0 0 0 0 0 \n    0 0 1 0 0 0 0 0 0 0 0 0 0 0 0 0 0 0 0 0 0 0 0 0 0 0 0]\n[0 1 0 1 1 0 0 1 0 1 0 0 1 0 0 1 0 0 1 0 0 0 0 1 0 1 1 1 1 1 1 0 1 1 0 1 1 0 0 1\n    1 0 0 1 1 1 0 1 1 0 1 0 0 1 0 0 1 0 0 0 1 1 0 0 0 0 0 0 0 0 0 0 0 0 0 0 0 0 \n    0 0 0 1 0 0 0 0 0 0 0 0 0 0 0 0 0 0 0 0 0 0 0 0 0 0 0]\n[0 0 1 0 1 1 0 0 1 0 1 0 0 1 0 0 1 0 0 1 0 1 1 1 0 1 0 0 0 0 0 0 1 0 0 1 0 0 1 1\n    0 0 1 1 0 0 0 1 0 0 1 0 1 1 0 1 1 0 1 1 1 0 0 0 0 0 0 0 0 0 0 0 0 0 0 0 0 0 \n    0 0 0 0 1 0 0 0 0 0 0 0 0 0 0 0 0 0 0 0 0 0 0 0 0 0 0]\n[0 0 0 1 0 1 1 0 0 1 0 1 0 0 1 0 0 1 0 0 1 0 1 1 1 0 1 0 0 0 0 0 0 1 0 0 1 0 0 1\n    1 0 0 1 1 0 0 0 1 0 0 1 0 1 1 0 1 1 0 1 1 1 0 0 0 0 0 0 0 0 0 0 0 0 0 0 0 0 \n    0 0 0 0 0 1 0 0 0 0 0 0 0 0 0 0 0 0 0 0 0 0 0 0 0 0 0]\n[0 0 0 1 1 0 0 1 1 0 0 0 1 1 1 1 1 1 1 0 0 1 0 0 1 1 0 0 0 0 0 1 0 1 0 0 1 0 1 0\n    1 0 0 0 0 0 0 0 0 1 1 0 1 0 0 1 1 0 1 0 1 1 0 0 0 0 0 0 0 0 0 0 0 0 0 0 0 0 \n    0 0 0 0 0 0 1 0 0 0 0 0 0 0 0 0 0 0 0 0 0 0 0 0 0 0 0]\n[0 0 0 0 1 1 0 0 1 1 0 0 0 1 1 1 1 1 1 1 0 1 0 1 1 0 0 1 1 1 1 1 0 1 0 1 1 0 1 0\n    1 0 1 1 1 1 1 1 1 1 0 0 1 0 1 1 0 0 1 0 1 0 0 0 0 0 0 0 0 0 0 0 0 0 0 0 0 0 \n    0 0 0 0 0 0 0 1 0 0 0 0 0 0 0 0 0 0 0 0 0 0 0 0 0 0 0]\n[1 1 1 1 1 0 0 1 1 0 0 1 1 1 0 0 0 0 0 0 0 1 0 1 0 0 1 1 0 0 0 0 0 1 0 1 0 0 1 0\n    1 0 0 1 1 1 1 1 1 1 1 0 0 1 0 1 1 0 0 1 0 1 0 0 0 0 0 0 0 0 0 0 0 0 0 0 0 0 \n    0 0 0 0 0 0 0 0 1 0 0 0 0 0 0 0 0 0 0 0 0 0 0 0 0 0 0]\n[0 1 1 1 1 1 0 0 1 1 0 0 1 1 1 0 0 0 0 0 0 1 0 1 0 1 1 0 0 1 1 1 1 1 0 1 0 1 1 0\n    1 0 1 1 0 0 0 0 0 0 0 0 1 1 0 1 0 0 1 1 0 1 0 0 0 0 0 0 0 0 0 0 0 0 0 0 0 0 \n    0 0 0 0 0 0 0 0 0 1 0 0 0 0 0 0 0 0 0 0 0 0 0 0 0 0 0]\n[0 0 1 1 1 1 1 0 0 1 1 0 0 1 1 1 0 0 0 0 0 1 0 1 0 1 0 0 1 1 0 0 0 0 0 1 0 1 0 0\n    1 0 1 0 0 1 1 1 1 1 1 1 1 0 0 1 0 1 1 0 0 1 0 0 0 0 0 0 0 0 0 0 0 0 0 0 0 0 \n    0 0 0 0 0 0 0 0 0 0 1 0 0 0 0 0 0 0 0 0 0 0 0 0 0 0 0]\n[0 0 0 1 1 1 1 1 0 0 1 1 0 0 1 1 1 0 0 0 0 1 0 1 0 1 0 1 1 0 0 1 1 1 1 1 0 1 0 1\n    1 0 1 0 1 1 0 0 0 0 0 0 0 0 1 1 0 1 0 0 1 1 0 0 0 0 0 0 0 0 0 0 0 0 0 0 0 0 \n    0 0 0 0 0 0 0 0 0 0 0 1 0 0 0 0 0 0 0 0 0 0 0 0 0 0 0]\n[0 0 0 0 1 1 1 1 1 0 0 1 1 0 0 1 1 1 0 0 0 1 0 1 0 1 0 1 0 0 1 1 0 0 0 0 0 1 0 1\n    0 0 1 0 1 0 0 1 1 1 1 1 1 1 1 0 0 1 0 1 1 0 0 0 0 0 0 0 0 0 0 0 0 0 0 0 0 0 \n    0 0 0 0 0 0 0 0 0 0 0 0 1 0 0 0 0 0 0 0 0 0 0 0 0 0 0]\n[0 0 0 0 0 1 1 1 1 1 0 0 1 1 0 0 1 1 1 0 0 0 1 0 1 0 1 0 1 0 0 1 1 0 0 0 0 0 1 0\n    1 0 0 1 0 1 0 0 1 1 1 1 1 1 1 1 0 0 1 0 1 1 0 0 0 0 0 0 0 0 0 0 0 0 0 0 0 0 \n    0 0 0 0 0 0 0 0 0 0 0 0 0 1 0 0 0 0 0 0 0 0 0 0 0 0 0]\n[0 0 0 0 0 0 1 1 1 1 1 0 0 1 1 0 0 1 1 1 0 1 1 0 1 0 1 0 1 0 1 1 0 0 1 1 1 1 1 0\n    1 0 1 1 0 1 0 1 1 0 0 0 0 0 0 0 0 1 1 0 1 0 0 0 0 0 0 0 0 0 0 0 0 0 0 0 0 0 \n    0 0 0 0 0 0 0 0 0 0 0 0 0 0 1 0 0 0 0 0 0 0 0 0 0 0 0]\n[1 1 1 1 1 1 1 0 0 0 0 0 1 1 0 0 1 1 0 0 0 1 0 0 1 0 1 0 1 0 1 0 0 1 1 0 0 0 0 0\n    1 0 0 1 1 0 1 0 1 1 0 0 0 0 0 0 0 0 1 1 0 1 0 0 0 0 0 0 0 0 0 0 0 0 0 0 0 0 \n    0 0 0 0 0 0 0 0 0 0 0 0 0 0 0 1 0 0 0 0 0 0 0 0 0 0 0]\n[0 1 1 1 1 1 1 1 0 0 0 0 0 1 1 0 0 1 1 0 0 1 0 1 1 0 1 0 1 0 1 0 1 1 0 0 1 1 1 1\n    1 0 1 1 0 0 1 0 1 0 0 1 1 1 1 1 1 1 1 0 0 1 0 0 0 0 0 0 0 0 0 0 0 0 0 0 0 0 \n    0 0 0 0 0 0 0 0 0 0 0 0 0 0 0 0 1 0 0 0 0 0 0 0 0 0 0]\n[0 0 1 1 1 1 1 1 1 0 0 0 0 0 1 1 0 0 1 1 0 1 0 1 0 0 1 0 1 0 1 0 1 0 0 1 1 0 0 0\n    0 0 1 0 0 1 1 0 1 0 1 1 0 0 0 0 0 0 0 0 1 1 0 0 0 0 0 0 0 0 0 0 0 0 0 0 0 0 \n    0 0 0 0 0 0 0 0 0 0 0 0 0 0 0 0 0 1 0 0 0 0 0 0 0 0 0]\n[1 1 1 0 0 0 0 0 0 0 1 1 1 1 1 0 0 1 1 0 0 0 1 0 1 0 0 1 0 1 0 1 0 1 0 0 1 1 0 0\n    0 0 1 0 1 1 0 0 1 0 1 0 0 1 1 1 1 1 1 1 1 0 0 0 0 0 0 0 0 0 0 0 0 0 0 0 0 0 \n    0 0 0 0 0 0 0 0 0 0 0 0 0 0 0 0 0 0 1 0 0 0 0 0 0 0 0]\n[0 1 1 1 0 0 0 0 0 0 0 1 1 1 1 1 0 0 1 1 0 0 0 1 0 1 0 0 1 0 1 0 1 0 1 0 0 1 1 0\n    0 0 0 1 0 1 1 0 0 1 0 1 0 0 1 1 1 1 1 1 1 1 0 0 0 0 0 0 0 0 0 0 0 0 0 0 0 0 \n    0 0 0 0 0 0 0 0 0 0 0 0 0 0 0 0 0 0 0 1 0 0 0 0 0 0 0]\n[1 1 0 0 0 1 1 1 1 1 1 1 0 0 0 0 0 1 1 0 0 0 0 0 1 0 1 0 0 1 0 1 0 1 0 1 0 0 1 1\n    0 0 1 1 0 1 0 0 1 1 0 1 0 1 1 0 0 0 0 0 0 0 0 0 0 0 0 0 0 0 0 0 0 0 0 0 0 0 \n    0 0 0 0 0 0 0 0 0 0 0 0 0 0 0 0 0 0 0 0 1 0 0 0 0 0 0]\n[0 1 1 0 0 0 1 1 1 1 1 1 1 0 0 0 0 0 1 1 0 0 0 0 0 1 0 1 0 0 1 0 1 0 1 0 1 0 0 1\n    1 0 0 1 1 0 1 0 0 1 1 0 1 0 1 1 0 0 0 0 0 0 0 0 0 0 0 0 0 0 0 0 0 0 0 0 0 0 \n    0 0 0 0 0 0 0 0 0 0 0 0 0 0 0 0 0 0 0 0 0 1 0 0 0 0 0]\n[1 1 0 0 1 1 1 0 0 0 0 0 0 0 1 1 1 1 1 0 0 1 1 1 1 1 0 1 0 1 1 0 1 0 1 0 1 0 1 1\n    0 0 0 0 1 1 0 1 0 0 1 1 0 1 0 1 1 0 0 0 0 0 0 0 0 0 0 0 0 0 0 0 0 0 0 0 0 0 \n    0 0 0 0 0 0 0 0 0 0 0 0 0 0 0 0 0 0 0 0 0 0 1 0 0 0 0]\n[0 1 1 0 0 1 1 1 0 0 0 0 0 0 0 1 1 1 1 1 0 0 1 1 1 1 1 0 1 0 1 1 0 1 0 1 0 1 0 1\n    1 0 0 0 0 1 1 0 1 0 0 1 1 0 1 0 1 1 0 0 0 0 0 0 0 0 0 0 0 0 0 0 0 0 0 0 0 0 \n    0 0 0 0 0 0 0 0 0 0 0 0 0 0 0 0 0 0 0 0 0 0 0 1 0 0 0]\n[1 1 0 0 1 1 0 0 0 1 1 1 1 1 1 1 0 0 0 0 0 1 1 0 0 0 0 0 1 0 1 0 0 1 0 1 0 1 0 1\n    0 0 0 0 0 0 1 1 0 1 0 0 1 1 0 1 0 1 1 0 0 0 0 0 0 0 0 0 0 0 0 0 0 0 0 0 0 0 \n    0 0 0 0 0 0 0 0 0 0 0 0 0 0 0 0 0 0 0 0 0 0 0 0 1 0 0]\n[0 1 1 0 0 1 1 0 0 0 1 1 1 1 1 1 1 0 0 0 0 0 1 1 0 0 0 0 0 1 0 1 0 0 1 0 1 0 1 0\n    1 0 0 0 0 0 0 1 1 0 1 0 0 1 1 0 1 0 1 1 0 0 0 0 0 0 0 0 0 0 0 0 0 0 0 0 0 0 \n    0 0 0 0 0 0 0 0 0 0 0 0 0 0 0 0 0 0 0 0 0 0 0 0 0 1 0]\n[1 1 0 0 1 1 0 0 1 1 1 0 0 0 0 0 0 0 1 1 1 1 1 0 0 1 1 1 1 1 0 1 0 1 1 0 1 0 1 0\n    1 0 0 0 0 0 0 0 1 1 0 1 0 0 1 1 0 1 0 1 1 0 0 0 0 0 0 0 0 0 0 0 0 0 0 0 0 0 \n    0 0 0 0 0 0 0 0 0 0 0 0 0 0 0 0 0 0 0 0 0 0 0 0 0 0 1]\n[105, 44] Quasicyclic of degree 5 Linear Code over GF(2)\nGenerator matrix:\n[1 0 0 0 0 0 0 0 0 0 0 0 0 0 0 0 0 0 0 0 0 0 0 0 0 0 0 0 0 0 0 0 0 0 0 0 0 0 0 0\n    0 0 0 0 1 1 1 0 0 1 0 1 1 0 1 1 0 0 0 0 1 0 0 0 0 1 0 0 0 0 1 1 1 0 1 0 1 0 \n    0 1 0 1 0 1 1 0 0 1 1 0 0 0 1 0 1 1 1 0 0 0 1 0 0 0 1]\n[0 1 0 0 0 0 0 0 0 0 0 0 0 0 0 0 0 0 0 0 0 0 0 0 0 0 0 0 0 0 0 0 0 0 0 0 0 0 0 0\n    0 0 0 0 0 1 1 1 0 0 1 0 1 1 0 1 1 0 0 0 0 1 0 0 1 1 0 1 1 1 1 0 0 0 1 0 1 0 \n    1 1 0 1 0 1 0 0 1 1 0 0 1 1 1 0 1 0 0 0 1 1 1 0 1 1 1]\n[0 0 1 0 0 0 0 0 0 0 0 0 0 0 0 0 0 0 0 0 0 0 0 0 0 0 0 0 0 0 0 0 0 0 0 0 0 0 0 0\n    0 0 0 0 0 0 1 1 1 0 0 1 0 1 1 0 1 1 0 0 0 0 1 0 1 0 0 1 0 0 0 0 1 1 1 0 1 0 \n    1 0 0 1 0 1 0 1 1 0 0 1 1 0 0 0 1 0 1 1 1 0 0 0 1 0 0]\n[0 0 0 1 0 0 0 0 0 0 0 0 0 0 0 0 0 0 0 0 0 0 0 0 0 0 0 0 0 0 0 0 0 0 0 0 0 0 0 0\n    0 0 0 1 1 1 1 0 0 0 1 1 0 1 0 0 1 0 0 1 1 1 1 0 1 0 1 1 0 1 1 1 1 0 0 0 1 0 \n    1 0 1 1 0 1 0 0 1 1 0 0 1 1 0 0 0 1 0 1 1 1 0 0 0 1 0]\n[0 0 0 0 1 0 0 0 0 0 0 0 0 0 0 0 0 0 0 0 0 0 0 0 0 0 0 0 0 0 0 0 0 0 0 0 0 0 0 0\n    0 0 0 1 0 0 0 0 1 1 1 0 0 1 0 1 1 0 1 1 0 0 0 0 1 0 1 0 0 1 0 0 0 0 1 1 1 0 \n    1 0 1 0 0 1 0 0 0 1 1 0 0 1 1 0 0 0 1 0 1 1 1 0 0 0 1]\n[0 0 0 0 0 1 0 0 0 0 0 0 0 0 0 0 0 0 0 0 0 0 0 0 0 0 0 0 0 0 0 0 0 0 0 0 0 0 0 0\n    0 0 0 0 1 0 0 0 0 1 1 1 0 0 1 0 1 1 0 1 1 0 0 0 1 0 1 0 1 1 0 1 1 1 1 0 0 0 \n    1 0 1 0 1 1 0 1 1 1 0 0 1 1 0 0 1 1 1 0 1 0 0 0 1 1 1]\n[0 0 0 0 0 0 1 0 0 0 0 0 0 0 0 0 0 0 0 0 0 0 0 0 0 0 0 0 0 0 0 0 0 0 0 0 0 0 0 0\n    0 0 0 0 0 1 0 0 0 0 1 1 1 0 0 1 0 1 1 0 1 1 0 0 1 0 1 0 1 0 0 1 0 0 0 0 1 1 \n    1 0 1 0 1 0 0 1 0 0 0 1 1 0 0 1 1 0 0 0 1 0 1 1 1 0 0]\n[0 0 0 0 0 0 0 1 0 0 0 0 0 0 0 0 0 0 0 0 0 0 0 0 0 0 0 0 0 0 0 0 0 0 0 0 0 0 0 0\n    0 0 0 0 0 0 1 0 0 0 0 1 1 1 0 0 1 0 1 1 0 1 1 0 0 1 0 1 0 1 0 0 1 0 0 0 0 1 \n    1 1 0 1 0 1 0 0 1 0 0 0 1 1 0 0 1 1 0 0 0 1 0 1 1 1 0]\n[0 0 0 0 0 0 0 0 1 0 0 0 0 0 0 0 0 0 0 0 0 0 0 0 0 0 0 0 0 0 0 0 0 0 0 0 0 0 0 0\n    0 0 0 1 1 1 1 0 1 1 1 1 0 0 0 1 1 0 1 0 0 1 0 0 1 1 0 1 0 1 0 1 1 0 1 1 1 1 \n    0 0 0 1 0 1 0 0 0 1 0 0 0 1 1 0 0 1 1 0 0 0 1 0 1 1 1]\n[0 0 0 0 0 0 0 0 0 1 0 0 0 0 0 0 0 0 0 0 0 0 0 0 0 0 0 0 0 0 0 0 0 0 0 0 0 0 0 0\n    0 0 0 0 1 1 1 1 0 1 1 1 1 0 0 0 1 1 0 1 0 0 1 0 1 0 0 1 0 1 0 1 0 0 1 0 0 0 \n    0 1 1 1 0 1 0 1 1 1 0 1 1 1 0 0 1 1 0 0 1 1 1 0 1 0 0]\n[0 0 0 0 0 0 0 0 0 0 1 0 0 0 0 0 0 0 0 0 0 0 0 0 0 0 0 0 0 0 0 0 0 0 0 0 0 0 0 0\n    0 0 0 1 1 0 0 0 0 1 0 0 0 0 1 1 1 0 0 1 0 1 1 0 1 0 1 1 0 1 0 1 0 1 1 0 1 1 \n    1 1 0 0 0 1 0 0 1 1 1 0 1 1 1 0 0 1 1 0 0 1 1 1 0 1 0]\n[0 0 0 0 0 0 0 0 0 0 0 1 0 0 0 0 0 0 0 0 0 0 0 0 0 0 0 0 0 0 0 0 0 0 0 0 0 0 0 0\n    0 0 0 1 0 0 1 1 1 1 0 1 1 1 1 0 0 0 1 1 0 1 0 0 1 0 1 0 0 1 0 1 0 1 0 0 1 0 \n    0 0 0 1 1 1 0 0 0 1 1 1 0 1 1 1 0 0 1 1 0 0 1 1 1 0 1]\n[0 0 0 0 0 0 0 0 0 0 0 0 1 0 0 0 0 0 0 0 0 0 0 0 0 0 0 0 0 0 0 0 0 0 0 0 0 0 0 0\n    0 0 0 0 1 0 0 1 1 1 1 0 1 1 1 1 0 0 0 1 1 0 1 0 1 0 1 0 1 1 0 1 0 1 0 1 1 0 \n    1 1 1 1 0 0 0 1 1 1 0 0 0 1 0 0 0 1 1 0 0 1 1 0 0 0 1]\n[0 0 0 0 0 0 0 0 0 0 0 0 0 1 0 0 0 0 0 0 0 0 0 0 0 0 0 0 0 0 0 0 0 0 0 0 0 0 0 0\n    0 0 0 1 1 0 1 1 0 0 0 0 1 0 0 0 0 1 1 1 0 0 1 0 0 1 0 1 0 1 1 0 1 0 1 0 1 1 \n    0 1 1 1 1 0 0 1 0 0 0 1 1 1 0 1 1 1 0 0 1 1 0 0 1 1 1]\n[0 0 0 0 0 0 0 0 0 0 0 0 0 0 1 0 0 0 0 0 0 0 0 0 0 0 0 0 0 0 0 0 0 0 0 0 0 0 0 0\n    0 0 0 1 0 0 1 0 0 1 1 1 1 0 1 1 1 1 0 0 0 1 1 0 0 0 1 0 1 0 1 1 0 1 0 1 0 1 \n    1 0 1 1 1 1 0 1 0 1 1 1 0 0 0 1 0 0 0 1 1 0 0 1 1 0 0]\n[0 0 0 0 0 0 0 0 0 0 0 0 0 0 0 1 0 0 0 0 0 0 0 0 0 0 0 0 0 0 0 0 0 0 0 0 0 0 0 0\n    0 0 0 1 0 1 1 0 1 1 0 0 0 0 1 0 0 0 0 1 1 1 0 0 1 1 1 0 1 0 1 0 0 1 0 1 0 1 \n    0 0 1 0 0 0 0 0 1 0 1 1 1 0 0 0 1 0 0 0 1 1 0 0 1 1 0]\n[0 0 0 0 0 0 0 0 0 0 0 0 0 0 0 0 1 0 0 0 0 0 0 0 0 0 0 0 0 0 0 0 0 0 0 0 0 0 0 0\n    0 0 0 0 1 0 1 1 0 1 1 0 0 0 0 1 0 0 0 0 1 1 1 0 0 1 1 1 0 1 0 1 0 0 1 0 1 0 \n    1 0 0 1 0 0 0 0 0 1 0 1 1 1 0 0 0 1 0 0 0 1 1 0 0 1 1]\n[0 0 0 0 0 0 0 0 0 0 0 0 0 0 0 0 0 1 0 0 0 0 0 0 0 0 0 0 0 0 0 0 0 0 0 0 0 0 0 0\n    0 0 0 1 1 0 1 0 0 1 0 0 1 1 1 1 0 1 1 1 1 0 0 0 0 0 1 1 1 0 1 0 1 0 0 1 0 1 \n    0 1 0 0 1 0 0 1 1 1 0 1 0 0 0 1 1 1 0 1 1 1 0 0 1 1 0]\n[0 0 0 0 0 0 0 0 0 0 0 0 0 0 0 0 0 0 1 0 0 0 0 0 0 0 0 0 0 0 0 0 0 0 0 0 0 0 0 0\n    0 0 0 0 1 1 0 1 0 0 1 0 0 1 1 1 1 0 1 1 1 1 0 0 0 0 0 1 1 1 0 1 0 1 0 0 1 0 \n    1 0 1 0 0 1 0 0 1 1 1 0 1 0 0 0 1 1 1 0 1 1 1 0 0 1 1]\n[0 0 0 0 0 0 0 0 0 0 0 0 0 0 0 0 0 0 0 1 0 0 0 0 0 0 0 0 0 0 0 0 0 0 0 0 0 0 0 0\n    0 0 0 0 0 1 1 0 1 0 0 1 0 0 1 1 1 1 0 1 1 1 1 0 1 1 1 1 0 0 0 1 0 1 0 1 1 0 \n    1 0 1 0 1 1 0 1 1 0 0 0 1 0 1 1 1 0 0 0 1 0 0 0 1 1 0]\n[0 0 0 0 0 0 0 0 0 0 0 0 0 0 0 0 0 0 0 0 1 0 0 0 0 0 0 0 0 0 0 0 0 0 0 0 0 0 0 0\n    0 0 0 1 1 1 0 0 1 0 1 1 0 1 1 0 0 0 0 1 0 0 0 0 1 0 0 0 0 1 1 1 0 1 0 1 0 0 \n    1 0 1 0 1 0 0 0 1 1 0 0 0 1 0 1 1 1 0 0 0 1 0 0 0 1 1]\n[0 0 0 0 0 0 0 0 0 0 0 0 0 0 0 0 0 0 0 0 0 1 0 0 0 0 0 0 0 0 0 0 0 0 0 0 0 0 0 0\n    0 0 0 0 1 0 1 0 1 1 0 0 0 0 1 0 1 1 0 1 1 1 0 0 1 0 0 0 1 0 1 1 0 0 1 0 1 1 \n    0 0 1 0 0 0 1 1 1 0 1 1 1 0 1 0 0 1 1 1 0 1 0 0 1 1 0]\n[0 0 0 0 0 0 0 0 0 0 0 0 0 0 0 0 0 0 0 0 0 0 1 0 0 0 0 0 0 0 0 0 0 0 0 0 0 0 0 0\n    0 0 0 0 0 1 0 1 0 1 1 0 0 0 0 1 0 1 1 0 1 1 1 0 0 1 0 0 0 1 0 1 1 0 0 1 0 1 \n    1 0 0 1 0 0 0 1 1 1 0 1 1 1 0 1 0 0 1 1 1 0 1 0 0 1 1]\n[0 0 0 0 0 0 0 0 0 0 0 0 0 0 0 0 0 0 0 0 0 0 0 1 0 0 0 0 0 0 0 0 0 0 0 0 0 0 0 0\n    0 0 0 1 1 1 0 1 0 1 0 0 1 1 1 1 0 1 0 0 1 0 0 0 0 0 1 0 0 0 1 0 1 1 0 0 1 0 \n    1 1 0 0 1 0 0 1 0 0 0 1 0 0 0 1 0 1 1 0 0 0 1 0 1 1 0]\n[0 0 0 0 0 0 0 0 0 0 0 0 0 0 0 0 0 0 0 0 0 0 0 0 1 0 0 0 0 0 0 0 0 0 0 0 0 0 0 0\n    0 0 0 0 1 1 1 0 1 0 1 0 0 1 1 1 1 0 1 0 0 1 0 0 0 0 0 1 0 0 0 1 0 1 1 0 0 1 \n    0 1 1 0 0 1 0 0 1 0 0 0 1 0 0 0 1 0 1 1 0 0 0 1 0 1 1]\n[0 0 0 0 0 0 0 0 0 0 0 0 0 0 0 0 0 0 0 0 0 0 0 0 0 1 0 0 0 0 0 0 0 0 0 0 0 0 0 0\n    0 0 0 0 0 1 1 1 0 1 0 1 0 0 1 1 1 1 0 1 0 0 1 0 1 1 1 1 0 1 1 1 0 1 0 0 1 1 \n    0 1 0 0 1 1 0 1 1 0 1 1 1 0 1 1 1 0 1 0 0 1 1 1 0 1 0]\n[0 0 0 0 0 0 0 0 0 0 0 0 0 0 0 0 0 0 0 0 0 0 0 0 0 0 1 0 0 0 0 0 0 0 0 0 0 0 0 0\n    0 0 0 1 1 1 0 0 0 1 0 1 0 1 1 0 0 0 0 1 0 1 1 0 1 0 0 0 0 1 0 0 0 1 0 1 1 0 \n    0 1 0 1 1 0 0 0 1 1 0 1 1 1 0 1 1 1 0 1 0 0 1 1 1 0 1]\n[0 0 0 0 0 0 0 0 0 0 0 0 0 0 0 0 0 0 0 0 0 0 0 0 0 0 0 1 0 0 0 0 0 0 0 0 0 0 0 0\n    0 0 0 1 0 0 0 1 1 1 0 1 0 1 0 0 1 1 1 1 0 1 0 0 0 1 0 0 0 0 1 0 0 0 1 0 1 1 \n    0 0 1 0 1 1 0 1 1 0 0 1 0 0 0 1 0 0 0 1 0 1 1 0 0 0 1]\n[0 0 0 0 0 0 0 0 0 0 0 0 0 0 0 0 0 0 0 0 0 0 0 0 0 0 0 0 1 0 0 0 0 0 0 0 0 0 0 0\n    0 0 0 0 1 0 0 0 1 1 1 0 1 0 1 0 0 1 1 1 1 0 1 0 1 1 0 1 1 1 1 0 1 1 1 0 1 0 \n    0 1 1 0 1 0 0 1 0 0 1 1 0 1 1 1 0 1 1 1 0 1 0 0 1 1 1]\n[0 0 0 0 0 0 0 0 0 0 0 0 0 0 0 0 0 0 0 0 0 0 0 0 0 0 0 0 0 1 0 0 0 0 0 0 0 0 0 0\n    0 0 0 1 1 0 1 1 1 0 0 0 1 0 1 0 1 1 0 0 0 0 1 0 0 1 1 0 1 1 1 1 0 1 1 1 0 1 \n    0 0 1 1 0 1 0 1 0 1 1 0 0 1 0 0 0 1 0 0 0 1 0 1 1 0 0]\n[0 0 0 0 0 0 0 0 0 0 0 0 0 0 0 0 0 0 0 0 0 0 0 0 0 0 0 0 0 0 1 0 0 0 0 0 0 0 0 0\n    0 0 0 1 0 0 1 0 0 0 1 1 1 0 1 0 1 0 0 1 1 1 1 0 1 1 0 0 1 0 0 0 0 1 0 0 0 1 \n    0 1 1 0 0 1 0 0 1 0 1 1 0 0 1 0 0 0 1 0 0 0 1 0 1 1 0]\n[0 0 0 0 0 0 0 0 0 0 0 0 0 0 0 0 0 0 0 0 0 0 0 0 0 0 0 0 0 0 0 1 0 0 0 0 0 0 0 0\n    0 0 0 1 0 1 1 0 1 1 1 0 0 0 1 0 1 0 1 1 0 0 0 0 1 0 0 1 1 0 1 1 1 1 0 1 1 1 \n    0 1 0 0 1 1 0 0 0 1 0 1 1 0 0 1 0 0 0 1 0 0 0 1 0 1 1]\n[0 0 0 0 0 0 0 0 0 0 0 0 0 0 0 0 0 0 0 0 0 0 0 0 0 0 0 0 0 0 0 0 1 0 0 0 0 0 0 0\n    0 0 0 0 1 0 1 1 0 1 1 1 0 0 0 1 0 1 0 1 1 0 0 0 1 0 1 1 0 0 1 0 0 0 0 1 0 0 \n    0 1 0 1 1 0 0 1 1 1 0 1 0 0 1 1 0 1 1 1 0 1 1 1 0 1 0]\n[0 0 0 0 0 0 0 0 0 0 0 0 0 0 0 0 0 0 0 0 0 0 0 0 0 0 0 0 0 0 0 0 0 1 0 0 0 0 0 0\n    0 0 0 0 0 1 0 1 1 0 1 1 1 0 0 0 1 0 1 0 1 1 0 0 0 1 0 1 1 0 0 1 0 0 0 0 1 0 \n    0 0 1 0 1 1 0 0 1 1 1 0 1 0 0 1 1 0 1 1 1 0 1 1 1 0 1]\n[0 0 0 0 0 0 0 0 0 0 0 0 0 0 0 0 0 0 0 0 0 0 0 0 0 0 0 0 0 0 0 0 0 0 1 0 0 0 0 0\n    0 0 0 0 0 0 1 0 1 1 0 1 1 1 0 0 0 1 0 1 0 1 1 0 1 1 0 1 0 0 1 1 0 1 1 1 1 0 \n    1 1 1 0 1 0 0 1 1 0 0 0 1 0 1 1 0 0 1 0 0 0 1 0 0 0 1]\n[0 0 0 0 0 0 0 0 0 0 0 0 0 0 0 0 0 0 0 0 0 0 0 0 0 0 0 0 0 0 0 0 0 0 0 1 0 0 0 0\n    0 0 0 1 1 1 1 0 1 0 0 1 0 0 0 1 1 1 0 1 0 1 0 0 0 1 1 0 1 0 0 1 1 0 1 1 1 1 \n    0 1 1 1 0 1 0 1 0 0 1 1 1 0 1 0 0 1 1 0 1 1 1 0 1 1 1]\n[0 0 0 0 0 0 0 0 0 0 0 0 0 0 0 0 0 0 0 0 0 0 0 0 0 0 0 0 0 0 0 0 0 0 0 0 1 0 0 0\n    0 0 0 0 1 1 1 1 0 1 0 0 1 0 0 0 1 1 1 0 1 0 1 0 1 1 0 0 1 0 1 1 0 0 1 0 0 0 \n    0 1 0 0 0 1 0 1 0 1 1 0 0 0 1 0 1 1 0 0 1 0 0 0 1 0 0]\n[0 0 0 0 0 0 0 0 0 0 0 0 0 0 0 0 0 0 0 0 0 0 0 0 0 0 0 0 0 0 0 0 0 0 0 0 0 1 0 0\n    0 0 0 1 1 0 0 0 0 1 0 1 1 0 1 1 1 0 0 0 1 0 1 0 1 0 0 1 1 0 1 0 0 1 1 0 1 1 \n    1 1 0 1 1 1 0 0 1 0 1 1 0 0 0 1 0 1 1 0 0 1 0 0 0 1 0]\n[0 0 0 0 0 0 0 0 0 0 0 0 0 0 0 0 0 0 0 0 0 0 0 0 0 0 0 0 0 0 0 0 0 0 0 0 0 0 1 0\n    0 0 0 1 0 0 1 1 1 1 0 1 0 0 1 0 0 0 1 1 1 0 1 0 1 0 1 1 0 0 1 0 1 1 0 0 1 0 \n    0 0 0 1 0 0 0 0 0 1 0 1 1 0 0 0 1 0 1 1 0 0 1 0 0 0 1]\n[0 0 0 0 0 0 0 0 0 0 0 0 0 0 0 0 0 0 0 0 0 0 0 0 0 0 0 0 0 0 0 0 0 0 0 0 0 0 0 1\n    0 0 0 1 0 1 1 0 0 0 0 1 0 1 1 0 1 1 1 0 0 0 1 0 0 1 0 1 1 0 0 1 0 1 1 0 0 1 \n    0 0 0 0 1 0 0 1 1 1 0 1 0 0 1 1 1 0 1 0 0 1 1 0 1 1 1]\n[0 0 0 0 0 0 0 0 0 0 0 0 0 0 0 0 0 0 0 0 0 0 0 0 0 0 0 0 0 0 0 0 0 0 0 0 0 0 0 0\n    1 0 0 1 0 1 0 0 1 1 1 1 0 1 0 0 1 0 0 0 1 1 1 0 0 0 1 0 1 1 0 0 1 0 1 1 0 0 \n    1 0 0 0 0 1 0 1 0 0 0 1 0 1 1 0 0 0 1 0 1 1 0 0 1 0 0]\n[0 0 0 0 0 0 0 0 0 0 0 0 0 0 0 0 0 0 0 0 0 0 0 0 0 0 0 0 0 0 0 0 0 0 0 0 0 0 0 0\n    0 1 0 1 0 1 0 1 1 0 0 0 0 1 0 1 1 0 1 1 1 0 0 0 1 1 1 0 1 0 0 1 1 0 1 0 0 1 \n    1 0 1 1 1 1 0 0 1 0 0 0 1 0 1 1 0 0 0 1 0 1 1 0 0 1 0]\n[0 0 0 0 0 0 0 0 0 0 0 0 0 0 0 0 0 0 0 0 0 0 0 0 0 0 0 0 0 0 0 0 0 0 0 0 0 0 0 0\n    0 0 1 1 1 1 1 1 1 1 1 1 1 1 1 1 1 1 1 1 1 1 1 0 0 0 0 0 0 0 0 0 0 0 0 0 0 0 \n    0 0 0 0 0 0 1 1 1 1 1 1 1 1 1 1 1 1 1 1 1 1 1 1 1 1 1]\n[0 0 0 0 0 0 0 0 0 0 0 0 0 0 0 0 0 0 0 0 0 0 0 0 0 0 0 0 0 0 0 0 0 0 0 0 0 0 0 0\n    0 0 0 0 0 0 0 0 0 0 0 0 0 0 0 0 0 0 0 0 0 0 0 1 1 1 1 1 1 1 1 1 1 1 1 1 1 1 \n    1 1 1 1 1 1 1 1 1 1 1 1 1 1 1 1 1 1 1 1 1 1 1 1 1 1 1]\nLinear Code over GF(2) of length 105 with 44 generators.\nLower Bound: 1, Upper Bound: 62\nUsing congruence d mod 2 = 0\nConstructed 3 distinct generator matrices\nRelative Ranks:  44  44  17 \nTime Taken: 0.00\nStarting search for low weight codewords... (reset timings)\nEnumerating using 1 generator at a time:\n     New codeword identified of weight 30, time 0.00\n     New codeword identified of weight 26, time 0.00\n     New codeword identified of weight 20, time 0.00\n     New codeword identified of weight 18, time 0.00\n     Discarding non-contributing rank 17 matrix\n     New Relative Ranks:  44  44 \n   Completed Matrix  1:  lower =  4, upper = 18. Elapsed: 0.00s\n   Completed Matrix  2:  lower =  4, upper = 18. Elapsed: 0.00s\nTermination predicted with 8 generators at matrix 1\nEnumerating using 2 generators at a time:\n     New codeword identified of weight 16, time 0.00\n   Completed Matrix  1:  lower =  6, upper = 16. Elapsed: 0.00s\n   Completed Matrix  2:  lower =  6, upper = 16. Elapsed: 0.00s\nTermination predicted with 7 generators at matrix 1\nEnumerating using 3 generators at a time:\n   Completed Matrix  1:  lower =  8, upper = 16. Elapsed: 0.00s\n   Completed Matrix  2:  lower =  8, upper = 16. Elapsed: 0.00s\nTermination predicted with 7 generators at matrix 1\nEnumerating using 4 generators at a time:\n   Completed Matrix  1:  lower = 10, upper = 16. Elapsed: 0.00s\n   Completed Matrix  2:  lower = 10, upper = 16. Elapsed: 0.00s\nTermination predicted with 7 generators at matrix 1\nEnumerating using 5 generators at a time:\n   Completed Matrix  1:  lower = 12, upper = 16. Elapsed: 0.01s\n   Completed Matrix  2:  lower = 12, upper = 16. Elapsed: 0.01s\nTermination predicted with 7 generators at matrix 1\nEnumerating using 6 generators at a time:\n   Completed Matrix  1:  lower = 14, upper = 16. Elapsed: 0.02s\n   Completed Matrix  2:  lower = 14, upper = 16. Elapsed: 0.04s\nTermination predicted with 7 generators at matrix 1\nEnumerating using 7 generators at a time:\n   Completed Matrix  1:  lower = 16, upper = 16. Elapsed: 0.13s\nComputation complete 54910658 vectors enumerated in total\n (0.000312% of 105 44 code)\nFinal Results: lower = 16, upper = 16,\nTotal CPU time: 0.13, real time: 0.137\n16\n\nTotal time: 0.150 seconds, Total memory usage: 32.09MB\n</t>
  </si>
  <si>
    <t>m4riRW</t>
  </si>
  <si>
    <t>BP-OSD</t>
  </si>
  <si>
    <t>m4riCC</t>
  </si>
  <si>
    <t>Magma</t>
  </si>
  <si>
    <t>#,##0;;</t>
  </si>
  <si>
    <t>0.0E+00;;</t>
  </si>
  <si>
    <t>0.0%;;</t>
  </si>
  <si>
    <t>nMax</t>
  </si>
  <si>
    <t>nMin</t>
  </si>
  <si>
    <t>CCstart: -1</t>
  </si>
  <si>
    <t>outfile: /home/ucapmwe/dist-benchmark/results/lifted_product_GF2-dist_m4ri_CC-20260107_140325.345543_85062422.txt</t>
  </si>
  <si>
    <t># wmax=99 found cw of weight 2: [0 1]\n2\n</t>
  </si>
  <si>
    <t># wmax=99 found cw of weight 4: [0 2 16 18]\n4\n</t>
  </si>
  <si>
    <t># wmax=99 found cw of weight 6: [0 9 16 18 20 23]\n6\n</t>
  </si>
  <si>
    <t># wmax=99 found cw of weight 8: [0 3 5 12 16 31 40 48]\n8\n</t>
  </si>
  <si>
    <t># wmax=99 found cw of weight 10: [0 7 12 17 20 22 29 34 42 44]\n10\n</t>
  </si>
  <si>
    <t>0.1508699580008397</t>
  </si>
  <si>
    <t>0.19509637499868404</t>
  </si>
  <si>
    <t>1.5480170829978306</t>
  </si>
  <si>
    <t xml:space="preserve">Magma V2.28-26    Tue Dec 30 2025 12:20:27 on Marks-MacBook-Air-2 [Seed = \n2527870134]\nType ? for help.  Type &lt;Ctrl&gt;-D to quit.\n[1 0 1 0 1 0 1 0 1 0 1 0 1 0 1 0 1 0 1 0 1 0 1 0 1 0 1 0 1 0 1 0 1 0 1 0 1 0 1 0\n    1 0 1 0 1 0 1 0 1 0 1 0 1 0 1 0 1 0 1 </t>
  </si>
  <si>
    <t>91.85306475000107</t>
  </si>
  <si>
    <t xml:space="preserve">Magma V2.28-26    Tue Dec 30 2025 12:20:29 on Marks-MacBook-Air-2 [Seed = \n3990308811]\nType ? for help.  Type &lt;Ctrl&gt;-D to quit.\n[1 1 1 1 1 1 1 1 1 1 1 1 1 1 1 1 1 1 1 1 1 1 1 1 1 1 1 1 1 1 1 1 1 1 1 1 1 1 1 1\n    1 1 1 1 1 1 1 1 1 1 1 1 1 1 1 1 1 1 1 </t>
  </si>
  <si>
    <t>28800.021253290994</t>
  </si>
  <si>
    <t xml:space="preserve">Magma V2.28-26    Tue Jan  6 2026 16:11:09 on Marks-MacBook-Air-2 [Seed = \n2978344124]\nType ? for help.  Type &lt;Ctrl&gt;-D to quit.\n[1 0 1 0 1 0 1 0 1 0 1 0 1 0 1 0 1 0 1 0 1 0 1 0 1 0 1 0 1 0 1 0 1 0 1 0 1 0 1 0\n    1 0 1 0 1 0 1 0 1 0 1 0 1 0 1 0 1 0 1 </t>
  </si>
  <si>
    <t>28800.07238270901</t>
  </si>
  <si>
    <t xml:space="preserve">Magma V2.28-26    Wed Jan  7 2026 00:19:13 on Marks-MacBook-Air-2 [Seed = \n3521453892]\nType ? for help.  Type &lt;Ctrl&gt;-D to quit.\n[1 1 1 1 1 1 1 1 1 1 1 1 1 1 1 1 1 1 1 1 1 1 1 1 1 1 1 1 1 1 1 1 1 1 1 1 1 1 1 1\n    1 1 1 1 1 1 1 1 1 1 1 1 1 1 1 1 1 1 1 </t>
  </si>
  <si>
    <t xml:space="preserve">Magma V2.28-26    Wed Jan  7 2026 16:32:48 on Marks-MacBook-Air-2 [Seed = \n3788898921]\nType ? for help.  Type &lt;Ctrl&gt;-D to quit.\n[1 1 1 1 1 1 1 1 1 1 1 1 1 1 1 1 1 1 1 1 1 1 1 1 1 1 1 1 1 1 1 1 1 1 1 1 1 1 1 1\n    1 1 1 1 1 1 1 1 1 1 1 1 1 1 1 1 1 1 1 </t>
  </si>
  <si>
    <t xml:space="preserve">Magma V2.28-26    Thu Jan  8 2026 00:32:49 on Marks-MacBook-Air-2 [Seed = \n2862430283]\nType ? for help.  Type &lt;Ctrl&gt;-D to quit.\n[1 1 1 1 1 1 1 1 1 1 1 1 1 1 1 1 1 1 1 1 1 1 1 1 1 1 1 1 1 1 1 1 1 1 1 1 1 1 1 1\n    1 1 1 1 1 1 1 1 1 1 1 1 1 1 1 1 1 1 1 </t>
  </si>
  <si>
    <t>Exact nMax</t>
  </si>
  <si>
    <t>Exact Family</t>
  </si>
  <si>
    <t>Result Returned</t>
  </si>
  <si>
    <t>Completed &gt; MaxTime</t>
  </si>
  <si>
    <t>Overall Success Rate</t>
  </si>
  <si>
    <t>Total Time (s)</t>
  </si>
  <si>
    <t>Overall success rate</t>
  </si>
  <si>
    <t>Trials at lowest distance</t>
  </si>
  <si>
    <t>Total Time</t>
  </si>
  <si>
    <t>Trial Success Rate</t>
  </si>
  <si>
    <t>Number of Trials at lowest distance</t>
  </si>
  <si>
    <t>not completed</t>
  </si>
  <si>
    <t>best</t>
  </si>
  <si>
    <t>28800.114094040982</t>
  </si>
  <si>
    <t>Magma V2.28-26    Thu Jan  8 2026 21:28:22 on Marks-MacBook-Air-2 [Seed = \n151011744]\nType ? for help.  Type &lt;Ctrl&gt;-D to quit.\n[1 1 1 1 1 1 1 1 1 1 1 1 1 1 1 1 1 1 1 1 1 1 1 1 1 1 1 1 1 1 1 1 1 1 1 1 1 1 1 1\n    1 1 1 1 1 1 1 1 1 1 1 1 1 1 1 1 1 1 1 1</t>
  </si>
  <si>
    <t>28800.178017042024</t>
  </si>
  <si>
    <t xml:space="preserve">Magma V2.28-26    Fri Jan  9 2026 05:28:24 on Marks-MacBook-Air-2 [Seed = \n2677434356]\nType ? for help.  Type &lt;Ctrl&gt;-D to quit.\n[1 1 1 1 1 1 1 1 1 1 1 1 1 1 1 1 1 1 1 1 1 1 1 1 1 1 1 1 1 1 1 1 1 1 1 1 1 1 1 1\n    1 1 1 1 1 1 1 1 1 1 1 1 1 1 1 1 1 1 1 </t>
  </si>
  <si>
    <t>Magma V2.28-26    Fri Jan  9 2026 13:28:25 on Marks-MacBook-Air-2 [Seed = \n556354315]\nType ? for help.  Type &lt;Ctrl&gt;-D to quit.\n[1 1 1 1 1 1 1 1 1 1 1 1 1 1 1 1 1 1 1 1 1 1 1 1 1 1 1 1 1 1 1 1 1 1 1 1 1 1 1 1\n    1 1 1 1 1 1 1 1 1 1 1 1 1 1 1 1 1 1 1 1</t>
  </si>
  <si>
    <t>28800.172093749978</t>
  </si>
  <si>
    <t>Magma V2.28-26    Fri Jan  9 2026 21:28:25 on Marks-MacBook-Air-2 [Seed = \n286854141]\nType ? for help.  Type &lt;Ctrl&gt;-D to quit.\n[1 1 1 1 1 1 1 1 1 1 1 1 1 1 1 1 1 1 1 1 1 1 1 1 1 1 1 1 1 1 1 1 1 1 1 1 1 1 1 1\n    1 1 1 1 1 1 1 1 1 1 1 1 1 1 1 1 1 1 1 1</t>
  </si>
  <si>
    <t>nMax completed</t>
  </si>
  <si>
    <t xml:space="preserve">Magma V2.28-26    Sat Jan 10 2026 10:40:46 on Marks-MacBook-Air-2 [Seed = \n2526925667]\nType ? for help.  Type &lt;Ctrl&gt;-D to quit.\n[1 1 1 1 1 1 1 1 1 1 1 1 1 1 1 1 1 1 1 1 1 1 1 1 1 1 1 1 1 1 1 1 1 1 1 1 1 1 1 1\n    1 1 1 1 1 1 1 1 1 1 1 1 1 1 1 1 1 1 1 </t>
  </si>
  <si>
    <t>28800.138284124998</t>
  </si>
  <si>
    <t xml:space="preserve">Magma V2.28-26    Sat Jan 10 2026 18:40:48 on Marks-MacBook-Air-2 [Seed = \n3352048621]\nType ? for help.  Type &lt;Ctrl&gt;-D to quit.\n[1 1 1 1 1 1 1 1 1 1 1 1 1 1 1 1 1 1 1 1 1 1 1 1 1 1 1 1 1 1 1 1 1 1 1 1 1 1 1 1\n    1 1 1 1 1 1 1 1 1 1 1 1 1 1 1 1 1 1 1 </t>
  </si>
  <si>
    <t>Exact Method Check</t>
  </si>
  <si>
    <t>nMin: 1</t>
  </si>
  <si>
    <t>nMax: 100000</t>
  </si>
  <si>
    <t>GF4blockRep: 3</t>
  </si>
  <si>
    <t>regroupPerm: 1</t>
  </si>
  <si>
    <t>outfile: /home/ucapmwe/dist-benchmark/results/lifted_product_GF2-ColourCodeDistStim-20260203_135026.927991_85062422.txt</t>
  </si>
  <si>
    <t>dont_explore_detection_event_sets_with_size_above=3,dont_explore_edges_with_degree_above=1; Found w:2</t>
  </si>
  <si>
    <t>dont_explore_detection_event_sets_with_size_above=3,dont_explore_edges_with_degree_above=10; Found w:4</t>
  </si>
  <si>
    <t>dont_explore_detection_event_sets_with_size_above=3,dont_explore_edges_with_degree_above=19; no lo found</t>
  </si>
  <si>
    <t>dont_explore_detection_event_sets_with_size_above=3,dont_explore_edges_with_degree_above=28; no lo found</t>
  </si>
  <si>
    <t>dont_explore_detection_event_sets_with_size_above=3,dont_explore_edges_with_degree_above=37; no lo found</t>
  </si>
  <si>
    <t>dont_explore_detection_event_sets_with_size_above=3,dont_explore_edges_with_degree_above=46; no lo found</t>
  </si>
  <si>
    <t>dont_explore_detection_event_sets_with_size_above=3,dont_explore_edges_with_degree_above=61; no lo found</t>
  </si>
  <si>
    <t>dont_explore_detection_event_sets_with_size_above=3,dont_explore_edges_with_degree_above=88; no lo found</t>
  </si>
  <si>
    <t>dont_explore_detection_event_sets_with_size_above=3,dont_explore_edges_with_degree_above=91; no lo found</t>
  </si>
  <si>
    <t>dont_explore_detection_event_sets_with_size_above=3,dont_explore_edges_with_degree_above=124; no lo found</t>
  </si>
  <si>
    <t>dont_explore_detection_event_sets_with_size_above=3,dont_explore_edges_with_degree_above=154; no lo found</t>
  </si>
  <si>
    <t>dont_explore_detection_event_sets_with_size_above=3,dont_explore_edges_with_degree_above=172; no lo found</t>
  </si>
  <si>
    <t>dont_explore_detection_event_sets_with_size_above=3,dont_explore_edges_with_degree_above=178; no lo found</t>
  </si>
  <si>
    <t>dont_explore_detection_event_sets_with_size_above=3,dont_explore_edges_with_degree_above=181; no lo found</t>
  </si>
  <si>
    <t>dont_explore_detection_event_sets_with_size_above=3,dont_explore_edges_with_degree_above=199; no lo found</t>
  </si>
  <si>
    <t>dont_explore_detection_event_sets_with_size_above=3,dont_explore_edges_with_degree_above=217; no lo found</t>
  </si>
  <si>
    <t>dont_explore_detection_event_sets_with_size_above=3,dont_explore_edges_with_degree_above=238; no lo found</t>
  </si>
  <si>
    <t>dont_explore_detection_event_sets_with_size_above=3,dont_explore_edges_with_degree_above=253; no lo found</t>
  </si>
  <si>
    <t>dont_explore_detection_event_sets_with_size_above=3,dont_explore_edges_with_degree_above=283; no lo found</t>
  </si>
  <si>
    <t>outfile: /home/ucapmwe/dist-benchmark/results/lifted_product_GF2-GraphLikeErrorStim-20260203_135026.787860_85062422.txt</t>
  </si>
  <si>
    <t>dont_explore_detection_event_sets_with_size_above=2,dont_explore_edges_with_degree_above=2; Found w:2</t>
  </si>
  <si>
    <t>dont_explore_detection_event_sets_with_size_above=2,dont_explore_edges_with_degree_above=2; no lo found</t>
  </si>
  <si>
    <t>outfile: /home/ucapmwe/dist-benchmark/results/lifted_product_GF2-UndetectableErrorStim-20260203_135026.788496_85062422.txt</t>
  </si>
  <si>
    <t>dont_explore_detection_event_sets_with_size_above=2,dont_explore_edges_with_degree_above=1; Found w:2; dont_explore_detection_event_sets_with_size_above=3,dont_explore_edges_with_degree_above=1; Found w:2; Breaking - same result 2 times</t>
  </si>
  <si>
    <t>dont_explore_detection_event_sets_with_size_above=2,dont_explore_edges_with_degree_above=10; Found w:4; dont_explore_detection_event_sets_with_size_above=3,dont_explore_edges_with_degree_above=10; Found w:4; Breaking - same result 2 times</t>
  </si>
  <si>
    <t>dont_explore_detection_event_sets_with_size_above=2,dont_explore_edges_with_degree_above=19; no lo found; dont_explore_detection_event_sets_with_size_above=3,dont_explore_edges_with_degree_above=19; no lo found; dont_explore_detection_event_sets_with_size_above=4,dont_explore_edges_with_degree_above=19; no lo found; dont_explore_detection_event_sets_with_size_above=5,dont_explore_edges_with_degree_above=19; no lo found; dont_explore_detection_event_sets_with_size_above=6,dont_explore_edges_with_degree_above=19; Found w:6; dont_explore_detection_event_sets_with_size_above=7,dont_explore_edges_with_degree_above=19; Found w:6; Breaking - same result 2 times</t>
  </si>
  <si>
    <t>dont_explore_detection_event_sets_with_size_above=2,dont_explore_edges_with_degree_above=28; no lo found; dont_explore_detection_event_sets_with_size_above=3,dont_explore_edges_with_degree_above=28; no lo found; dont_explore_detection_event_sets_with_size_above=4,dont_explore_edges_with_degree_above=28; no lo found; dont_explore_detection_event_sets_with_size_above=5,dont_explore_edges_with_degree_above=28; no lo found; dont_explore_detection_event_sets_with_size_above=6,dont_explore_edges_with_degree_above=28; no lo found; dont_explore_detection_event_sets_with_size_above=7,dont_explore_edges_with_degree_above=28; no lo found; dont_explore_detection_event_sets_with_size_above=8,dont_explore_edges_with_degree_above=28; Found w:10; dont_explore_detection_event_sets_with_size_above=9,dont_explore_edges_with_degree_above=28; Found w:8; dont_explore_detection_event_sets_with_size_above=10,dont_explore_edges_with_degree_above=28; Found w:8; Breaking - same result 2 times</t>
  </si>
  <si>
    <t>dont_explore_detection_event_sets_with_size_above=2,dont_explore_edges_with_degree_above=37; no lo found; dont_explore_detection_event_sets_with_size_above=3,dont_explore_edges_with_degree_above=37; no lo found; dont_explore_detection_event_sets_with_size_above=4,dont_explore_edges_with_degree_above=37; no lo found; dont_explore_detection_event_sets_with_size_above=5,dont_explore_edges_with_degree_above=37; no lo found; dont_explore_detection_event_sets_with_size_above=6,dont_explore_edges_with_degree_above=37; no lo found; dont_explore_detection_event_sets_with_size_above=7,dont_explore_edges_with_degree_above=37; no lo found; dont_explore_detection_event_sets_with_size_above=8,dont_explore_edges_with_degree_above=37; no lo found; dont_explore_detection_event_sets_with_size_above=9,dont_explore_edges_with_degree_above=37; no lo found; dont_explore_detection_event_sets_with_size_above=10,dont_explore_edges_with_degree_above=37; no lo found</t>
  </si>
  <si>
    <t>dont_explore_detection_event_sets_with_size_above=2,dont_explore_edges_with_degree_above=46; no lo found; dont_explore_detection_event_sets_with_size_above=3,dont_explore_edges_with_degree_above=46; no lo found; dont_explore_detection_event_sets_with_size_above=4,dont_explore_edges_with_degree_above=46; no lo found; dont_explore_detection_event_sets_with_size_above=5,dont_explore_edges_with_degree_above=46; no lo found; dont_explore_detection_event_sets_with_size_above=6,dont_explore_edges_with_degree_above=46; no lo found; dont_explore_detection_event_sets_with_size_above=7,dont_explore_edges_with_degree_above=46; no lo found; dont_explore_detection_event_sets_with_size_above=8,dont_explore_edges_with_degree_above=46; no lo found; dont_explore_detection_event_sets_with_size_above=9,dont_explore_edges_with_degree_above=46; no lo found; dont_explore_detection_event_sets_with_size_above=10,dont_explore_edges_with_degree_above=46; no lo found</t>
  </si>
  <si>
    <t>dont_explore_detection_event_sets_with_size_above=2,dont_explore_edges_with_degree_above=61; no lo found; dont_explore_detection_event_sets_with_size_above=3,dont_explore_edges_with_degree_above=61; no lo found; dont_explore_detection_event_sets_with_size_above=4,dont_explore_edges_with_degree_above=61; no lo found; dont_explore_detection_event_sets_with_size_above=5,dont_explore_edges_with_degree_above=61; no lo found; dont_explore_detection_event_sets_with_size_above=6,dont_explore_edges_with_degree_above=61; no lo found; dont_explore_detection_event_sets_with_size_above=7,dont_explore_edges_with_degree_above=61; no lo found; dont_explore_detection_event_sets_with_size_above=8,dont_explore_edges_with_degree_above=61; no lo found; dont_explore_detection_event_sets_with_size_above=9,dont_explore_edges_with_degree_above=61; no lo found; dont_explore_detection_event_sets_with_size_above=10,dont_explore_edges_with_degree_above=61; no lo found</t>
  </si>
  <si>
    <t>dont_explore_detection_event_sets_with_size_above=2,dont_explore_edges_with_degree_above=88; no lo found; dont_explore_detection_event_sets_with_size_above=3,dont_explore_edges_with_degree_above=88; no lo found; dont_explore_detection_event_sets_with_size_above=4,dont_explore_edges_with_degree_above=88; no lo found; dont_explore_detection_event_sets_with_size_above=5,dont_explore_edges_with_degree_above=88; no lo found; dont_explore_detection_event_sets_with_size_above=6,dont_explore_edges_with_degree_above=88; no lo found; dont_explore_detection_event_sets_with_size_above=7,dont_explore_edges_with_degree_above=88; no lo found; dont_explore_detection_event_sets_with_size_above=8,dont_explore_edges_with_degree_above=88; no lo found; dont_explore_detection_event_sets_with_size_above=9,dont_explore_edges_with_degree_above=88; no lo found; dont_explore_detection_event_sets_with_size_above=10,dont_explore_edges_with_degree_above=88; no lo found</t>
  </si>
  <si>
    <t>dont_explore_detection_event_sets_with_size_above=2,dont_explore_edges_with_degree_above=91; no lo found; dont_explore_detection_event_sets_with_size_above=3,dont_explore_edges_with_degree_above=91; no lo found; dont_explore_detection_event_sets_with_size_above=4,dont_explore_edges_with_degree_above=91; no lo found; dont_explore_detection_event_sets_with_size_above=5,dont_explore_edges_with_degree_above=91; no lo found; dont_explore_detection_event_sets_with_size_above=6,dont_explore_edges_with_degree_above=91; no lo found; dont_explore_detection_event_sets_with_size_above=7,dont_explore_edges_with_degree_above=91; no lo found; dont_explore_detection_event_sets_with_size_above=8,dont_explore_edges_with_degree_above=91; no lo found; dont_explore_detection_event_sets_with_size_above=9,dont_explore_edges_with_degree_above=91; no lo found; dont_explore_detection_event_sets_with_size_above=10,dont_explore_edges_with_degree_above=91; no lo found</t>
  </si>
  <si>
    <t>dont_explore_detection_event_sets_with_size_above=2,dont_explore_edges_with_degree_above=124; no lo found; dont_explore_detection_event_sets_with_size_above=3,dont_explore_edges_with_degree_above=124; no lo found; dont_explore_detection_event_sets_with_size_above=4,dont_explore_edges_with_degree_above=124; no lo found; dont_explore_detection_event_sets_with_size_above=5,dont_explore_edges_with_degree_above=124; no lo found; dont_explore_detection_event_sets_with_size_above=6,dont_explore_edges_with_degree_above=124; no lo found; dont_explore_detection_event_sets_with_size_above=7,dont_explore_edges_with_degree_above=124; no lo found; dont_explore_detection_event_sets_with_size_above=8,dont_explore_edges_with_degree_above=124; no lo found; dont_explore_detection_event_sets_with_size_above=9,dont_explore_edges_with_degree_above=124; no lo found; dont_explore_detection_event_sets_with_size_above=10,dont_explore_edges_with_degree_above=124; no lo found</t>
  </si>
  <si>
    <t>dont_explore_detection_event_sets_with_size_above=2,dont_explore_edges_with_degree_above=154; no lo found; dont_explore_detection_event_sets_with_size_above=3,dont_explore_edges_with_degree_above=154; no lo found; dont_explore_detection_event_sets_with_size_above=4,dont_explore_edges_with_degree_above=154; no lo found; dont_explore_detection_event_sets_with_size_above=5,dont_explore_edges_with_degree_above=154; no lo found; dont_explore_detection_event_sets_with_size_above=6,dont_explore_edges_with_degree_above=154; no lo found; dont_explore_detection_event_sets_with_size_above=7,dont_explore_edges_with_degree_above=154; no lo found; dont_explore_detection_event_sets_with_size_above=8,dont_explore_edges_with_degree_above=154; no lo found; dont_explore_detection_event_sets_with_size_above=9,dont_explore_edges_with_degree_above=154; no lo found; dont_explore_detection_event_sets_with_size_above=10,dont_explore_edges_with_degree_above=154; no lo found</t>
  </si>
  <si>
    <t>dont_explore_detection_event_sets_with_size_above=2,dont_explore_edges_with_degree_above=172; no lo found; dont_explore_detection_event_sets_with_size_above=3,dont_explore_edges_with_degree_above=172; no lo found; dont_explore_detection_event_sets_with_size_above=4,dont_explore_edges_with_degree_above=172; no lo found; dont_explore_detection_event_sets_with_size_above=5,dont_explore_edges_with_degree_above=172; no lo found; dont_explore_detection_event_sets_with_size_above=6,dont_explore_edges_with_degree_above=172; no lo found; dont_explore_detection_event_sets_with_size_above=7,dont_explore_edges_with_degree_above=172; no lo found; dont_explore_detection_event_sets_with_size_above=8,dont_explore_edges_with_degree_above=172; no lo found; dont_explore_detection_event_sets_with_size_above=9,dont_explore_edges_with_degree_above=172; no lo found; dont_explore_detection_event_sets_with_size_above=10,dont_explore_edges_with_degree_above=172; no lo found</t>
  </si>
  <si>
    <t>dont_explore_detection_event_sets_with_size_above=2,dont_explore_edges_with_degree_above=178; no lo found; dont_explore_detection_event_sets_with_size_above=3,dont_explore_edges_with_degree_above=178; no lo found; dont_explore_detection_event_sets_with_size_above=4,dont_explore_edges_with_degree_above=178; no lo found; dont_explore_detection_event_sets_with_size_above=5,dont_explore_edges_with_degree_above=178; no lo found; dont_explore_detection_event_sets_with_size_above=6,dont_explore_edges_with_degree_above=178; no lo found; dont_explore_detection_event_sets_with_size_above=7,dont_explore_edges_with_degree_above=178; no lo found; dont_explore_detection_event_sets_with_size_above=8,dont_explore_edges_with_degree_above=178; no lo found; dont_explore_detection_event_sets_with_size_above=9,dont_explore_edges_with_degree_above=178; no lo found; dont_explore_detection_event_sets_with_size_above=10,dont_explore_edges_with_degree_above=178; no lo found</t>
  </si>
  <si>
    <t>dont_explore_detection_event_sets_with_size_above=2,dont_explore_edges_with_degree_above=181; no lo found; dont_explore_detection_event_sets_with_size_above=3,dont_explore_edges_with_degree_above=181; no lo found; dont_explore_detection_event_sets_with_size_above=4,dont_explore_edges_with_degree_above=181; no lo found; dont_explore_detection_event_sets_with_size_above=5,dont_explore_edges_with_degree_above=181; no lo found; dont_explore_detection_event_sets_with_size_above=6,dont_explore_edges_with_degree_above=181; no lo found; dont_explore_detection_event_sets_with_size_above=7,dont_explore_edges_with_degree_above=181; no lo found; dont_explore_detection_event_sets_with_size_above=8,dont_explore_edges_with_degree_above=181; no lo found; dont_explore_detection_event_sets_with_size_above=9,dont_explore_edges_with_degree_above=181; no lo found; dont_explore_detection_event_sets_with_size_above=10,dont_explore_edges_with_degree_above=181; no lo found</t>
  </si>
  <si>
    <t>dont_explore_detection_event_sets_with_size_above=2,dont_explore_edges_with_degree_above=199; no lo found; dont_explore_detection_event_sets_with_size_above=3,dont_explore_edges_with_degree_above=199; no lo found; dont_explore_detection_event_sets_with_size_above=4,dont_explore_edges_with_degree_above=199; no lo found; dont_explore_detection_event_sets_with_size_above=5,dont_explore_edges_with_degree_above=199; no lo found; dont_explore_detection_event_sets_with_size_above=6,dont_explore_edges_with_degree_above=199; no lo found; dont_explore_detection_event_sets_with_size_above=7,dont_explore_edges_with_degree_above=199; no lo found; dont_explore_detection_event_sets_with_size_above=8,dont_explore_edges_with_degree_above=199; no lo found; dont_explore_detection_event_sets_with_size_above=9,dont_explore_edges_with_degree_above=199; no lo found; dont_explore_detection_event_sets_with_size_above=10,dont_explore_edges_with_degree_above=199; no lo found</t>
  </si>
  <si>
    <t>dont_explore_detection_event_sets_with_size_above=2,dont_explore_edges_with_degree_above=217; no lo found; dont_explore_detection_event_sets_with_size_above=3,dont_explore_edges_with_degree_above=217; no lo found; dont_explore_detection_event_sets_with_size_above=4,dont_explore_edges_with_degree_above=217; no lo found; dont_explore_detection_event_sets_with_size_above=5,dont_explore_edges_with_degree_above=217; no lo found; dont_explore_detection_event_sets_with_size_above=6,dont_explore_edges_with_degree_above=217; no lo found; dont_explore_detection_event_sets_with_size_above=7,dont_explore_edges_with_degree_above=217; no lo found; dont_explore_detection_event_sets_with_size_above=8,dont_explore_edges_with_degree_above=217; no lo found; dont_explore_detection_event_sets_with_size_above=9,dont_explore_edges_with_degree_above=217; no lo found; dont_explore_detection_event_sets_with_size_above=10,dont_explore_edges_with_degree_above=217; no lo found</t>
  </si>
  <si>
    <t>dont_explore_detection_event_sets_with_size_above=2,dont_explore_edges_with_degree_above=238; no lo found; dont_explore_detection_event_sets_with_size_above=3,dont_explore_edges_with_degree_above=238; no lo found; dont_explore_detection_event_sets_with_size_above=4,dont_explore_edges_with_degree_above=238; no lo found; dont_explore_detection_event_sets_with_size_above=5,dont_explore_edges_with_degree_above=238; no lo found; dont_explore_detection_event_sets_with_size_above=6,dont_explore_edges_with_degree_above=238; no lo found; dont_explore_detection_event_sets_with_size_above=7,dont_explore_edges_with_degree_above=238; no lo found; dont_explore_detection_event_sets_with_size_above=8,dont_explore_edges_with_degree_above=238; no lo found; dont_explore_detection_event_sets_with_size_above=9,dont_explore_edges_with_degree_above=238; no lo found; dont_explore_detection_event_sets_with_size_above=10,dont_explore_edges_with_degree_above=238; no lo found</t>
  </si>
  <si>
    <t>dont_explore_detection_event_sets_with_size_above=2,dont_explore_edges_with_degree_above=253; no lo found; dont_explore_detection_event_sets_with_size_above=3,dont_explore_edges_with_degree_above=253; no lo found; dont_explore_detection_event_sets_with_size_above=4,dont_explore_edges_with_degree_above=253; no lo found; dont_explore_detection_event_sets_with_size_above=5,dont_explore_edges_with_degree_above=253; no lo found; dont_explore_detection_event_sets_with_size_above=6,dont_explore_edges_with_degree_above=253; no lo found; dont_explore_detection_event_sets_with_size_above=7,dont_explore_edges_with_degree_above=253; no lo found; dont_explore_detection_event_sets_with_size_above=8,dont_explore_edges_with_degree_above=253; no lo found; dont_explore_detection_event_sets_with_size_above=9,dont_explore_edges_with_degree_above=253; no lo found; dont_explore_detection_event_sets_with_size_above=10,dont_explore_edges_with_degree_above=253; no lo found</t>
  </si>
  <si>
    <t>dont_explore_detection_event_sets_with_size_above=2,dont_explore_edges_with_degree_above=283; no lo found; dont_explore_detection_event_sets_with_size_above=3,dont_explore_edges_with_degree_above=283; no lo found; dont_explore_detection_event_sets_with_size_above=4,dont_explore_edges_with_degree_above=283; no lo found; dont_explore_detection_event_sets_with_size_above=5,dont_explore_edges_with_degree_above=283; no lo found; dont_explore_detection_event_sets_with_size_above=6,dont_explore_edges_with_degree_above=283; no lo found; dont_explore_detection_event_sets_with_size_above=7,dont_explore_edges_with_degree_above=283; no lo found; dont_explore_detection_event_sets_with_size_above=8,dont_explore_edges_with_degree_above=283; no lo found; dont_explore_detection_event_sets_with_size_above=9,dont_explore_edges_with_degree_above=283; no lo found; dont_explore_detection_event_sets_with_size_above=10,dont_explore_edges_with_degree_above=283; no lo found</t>
  </si>
  <si>
    <t>dMinSum</t>
  </si>
  <si>
    <t>Avg Delta d</t>
  </si>
  <si>
    <t>Exact - Processing Time/Succ Trial</t>
  </si>
  <si>
    <t>Heuristic - Processing Time/Succ Trial</t>
  </si>
  <si>
    <t>Heuristic - Success Rate per Trial</t>
  </si>
  <si>
    <t>Heuristic - Average Delta d</t>
  </si>
  <si>
    <t>Processing Time/Successful Trial</t>
  </si>
  <si>
    <t>Success Rate</t>
  </si>
  <si>
    <t>GF4blockRep: 2</t>
  </si>
  <si>
    <t>sMut: 0.2</t>
  </si>
  <si>
    <t>tabuLength: 0</t>
  </si>
  <si>
    <t>swapPivot: 1</t>
  </si>
  <si>
    <t>swapBlockorder: 0</t>
  </si>
  <si>
    <t>Gen:0 Trial:0 w:2; pErr:0.0000, weight 2 CW found:10, wDict:2:10000</t>
  </si>
  <si>
    <t>Trial:0 w:2; pErr:0.0000, weight 2 CW found:10, wDict:2:10000</t>
  </si>
  <si>
    <t>pMut: 6.0</t>
  </si>
  <si>
    <t>outfile: /home/ucapmwe/dist-benchmark/results/lifted_product_GF2-QDistRndMW-20260215_181908.254882_85062422.txt</t>
  </si>
  <si>
    <t>Trial:0 w:4; pErr:0.0000, weight 4 CW found:60, wDict:4:9573,6:427</t>
  </si>
  <si>
    <t>Trial:0 w:6; pErr:0.0000, weight 6 CW found:268, wDict:6:6094,8:3884,10:22</t>
  </si>
  <si>
    <t>Trial:0 w:8; pErr:0.0000, weight 8 CW found:415, wDict:8:9673,10:287,12:38,14:2</t>
  </si>
  <si>
    <t>Trial:0 w:12; Trial:1 w:10; pErr:0.0000, weight 10 CW found:1658, wDict:10:6478,12:3081,14:433,16:8</t>
  </si>
  <si>
    <t>Trial:0 w:12; pErr:0.0173, weight 12 CW found:4497, wDict:12:3627,14:4601,16:1656,18:114,20:2</t>
  </si>
  <si>
    <t>Trial:0 w:16; pErr:0.1381, weight 16 CW found:8443, wDict:16:4677,18:3612,20:1428,22:258,24:25</t>
  </si>
  <si>
    <t>Trial:0 w:20; Trial:3 w:18; Trial:13 w:16; pErr:0.2823, weight 16 CW found:10528, wDict:16:1162,18:1112,20:1363,22:1880,24:1809,26:1529,28:816,30:274,32:52,34:3</t>
  </si>
  <si>
    <t>Trial:0 w:22; Trial:1 w:20; pErr:0.3430, weight 20 CW found:12933, wDict:20:1205,22:1653,24:2459,26:2190,28:1565,30:732,32:186,34:10</t>
  </si>
  <si>
    <t>Trial:0 w:38; Trial:2 w:36; Trial:4 w:24; pErr:0.3668, weight 24 CW found:12994, wDict:24:207,26:468,28:605,30:992,32:1315,34:1707,36:1851,38:1436,40:891,42:400,44:111,46:15,48:1,50:1</t>
  </si>
  <si>
    <t>Trial:0 w:40; Trial:3 w:30; Trial:86 w:24; Trial:623 w:22; pErr:0.3667, weight 22 CW found:11676, wDict:22:70,24:122,26:99,28:156,30:212,32:284,34:389,36:580,38:857,40:1067,42:1144,44:1370,46:1347,48:1117,50:700,52:337,54:115,56:27,58:7</t>
  </si>
  <si>
    <t>Trial:0 w:54; Trial:1 w:48; Trial:2 w:46; Trial:4 w:44; Trial:6 w:40; Trial:9 w:30; Trial:11 w:28; Trial:64 w:24; Trial:78 w:22; Trial:90 w:20; pErr:0.3644, weight 20 CW found:12080, wDict:20:130,22:84,24:131,26:98,28:87,30:137,32:109,34:149,36:227,38:281,40:373,42:507,44:703,46:1006,48:1162,50:1303,52:1279,54:1021,56:648,58:358,60:149,62:48,64:10</t>
  </si>
  <si>
    <t>Trial:0 w:48; Trial:3 w:36; Trial:12 w:26; Trial:25 w:20; pErr:0.3620, weight 20 CW found:11916, wDict:20:259,22:102,24:54,26:48,28:42,30:86,32:102,34:140,36:200,38:254,40:354,42:462,44:658,46:849,48:994,50:1151,52:1216,54:1126,56:852,58:553,60:308,62:144,64:38,66:7,68:1</t>
  </si>
  <si>
    <t>Trial:0 w:46; Trial:5 w:42; Trial:22 w:40; Trial:31 w:38; Trial:72 w:36; Trial:75 w:34; Trial:147 w:24; pErr:0.3675, weight 24 CW found:12344, wDict:24:97,26:6,28:15,30:33,32:32,34:38,36:72,38:91,40:163,42:248,44:418,46:575,48:855,50:1083,52:1314,54:1412,56:1282,58:1037,60:694,62:370,64:122,66:35,68:8</t>
  </si>
  <si>
    <t>Trial:0 w:54; Trial:1 w:44; Trial:3 w:34; Trial:123 w:24; Trial:159 w:22; pErr:0.3670, weight 22 CW found:12065, wDict:22:98,24:65,26:26,28:12,30:12,32:19,34:22,36:25,38:40,40:59,42:91,44:162,46:248,48:312,50:455,52:630,54:844,56:1073,58:1201,60:1299,62:1207,64:950,66:652,68:328,70:137,72:24,74:9</t>
  </si>
  <si>
    <t>Trial:0 w:68; Trial:5 w:62; Trial:11 w:54; Trial:87 w:52; Trial:132 w:24; pErr:0.3673, weight 24 CW found:12267, wDict:24:107,32:2,34:6,36:2,38:9,40:14,42:14,44:23,46:33,48:61,50:85,52:169,54:277,56:362,58:554,60:750,62:990,64:1235,66:1399,68:1290,70:1068,72:833,74:424,76:195,78:71,80:19,82:8</t>
  </si>
  <si>
    <t>Trial:0 w:74; Trial:1 w:66; Trial:3 w:54; Trial:12 w:24; Trial:54 w:22; pErr:0.3661, weight 22 CW found:12057, wDict:22:136,24:72,28:4,30:5,32:6,34:2,36:2,38:5,40:3,42:5,44:7,46:11,48:11,50:31,52:39,54:62,56:112,58:139,60:257,62:345,64:447,66:675,68:883,70:1119,72:1194,74:1287,76:1136,78:872,80:569,82:363,84:144,86:43,88:11,90:1,92:2</t>
  </si>
  <si>
    <t>Trial:0 w:76; Trial:3 w:68; Trial:18 w:58; Trial:26 w:40; Trial:62 w:24; pErr:0.3673, weight 24 CW found:12073, wDict:24:141,26:12,30:3,34:3,36:2,38:1,40:4,46:3,48:5,50:8,52:21,54:12,56:34,58:44,60:70,62:92,64:172,66:200,68:345,70:512,72:713,74:898,76:1090,78:1233,80:1262,82:1112,84:886,86:585,88:328,90:140,92:52,94:14,96:3</t>
  </si>
  <si>
    <t>Trial:0 w:84; Trial:4 w:72; Trial:46 w:24; pErr:0.3671, weight 24 CW found:12071, wDict:24:170,34:1,36:3,42:2,46:1,48:1,52:2,54:2,56:2,58:5,60:6,62:14,64:16,66:26,68:49,70:63,72:102,74:157,76:200,78:346,80:454,82:599,84:823,86:1005,88:1170,90:1191,92:1131,94:985,96:709,98:390,100:247,102:89,104:32,106:6,108:1</t>
  </si>
  <si>
    <t>LOCheck: 0</t>
  </si>
  <si>
    <t>pMutScale: 50</t>
  </si>
  <si>
    <t>outfile: /home/ucapmwe/dist-benchmark/results/lifted_product_GF2-QDistEvol-20260220_184925.010600_85062422.txt</t>
  </si>
  <si>
    <t>Gen:0 Trial:0 w:4; pErr:0.0000, weight 4 CW found:31, wDict:4:9996,6:4</t>
  </si>
  <si>
    <t>Gen:0 Trial:0 w:6; pErr:0.0000, weight 6 CW found:111, wDict:6:9918,8:81,10:1</t>
  </si>
  <si>
    <t>Gen:0 Trial:0 w:8; pErr:0.0000, weight 8 CW found:70, wDict:8:9995,10:4,12:1</t>
  </si>
  <si>
    <t>Gen:0 Trial:0 w:14; Trial:1 w:10; pErr:0.0000, weight 10 CW found:203, wDict:10:9902,12:91,14:7</t>
  </si>
  <si>
    <t>Gen:0 Trial:0 w:16; Trial:2 w:14; Trial:3 w:12; pErr:0.0000, weight 12 CW found:509, wDict:12:9217,14:743,16:39,18:1</t>
  </si>
  <si>
    <t>Gen:0 Trial:0 w:16; pErr:0.0000, weight 16 CW found:1375, wDict:16:8881,18:1068,20:50,22:1</t>
  </si>
  <si>
    <t>Gen:0 Trial:0 w:22; Trial:1 w:16; pErr:0.0000, weight 16 CW found:987, wDict:16:7731,18:939,20:775,22:377,24:113,26:51,28:12,30:1,32:1</t>
  </si>
  <si>
    <t>Gen:0 Trial:0 w:26; Trial:3 w:20; pErr:0.0005, weight 20 CW found:2046, wDict:20:7051,22:1690,24:903,26:262,28:76,30:15,32:3</t>
  </si>
  <si>
    <t>Gen:0 Trial:0 w:42; Trial:1 w:34; Trial:3 w:30; Trial:5 w:28; Trial:28 w:26; Trial:81 w:24; pErr:0.0225, weight 24 CW found:3332, wDict:24:5405,26:1024,28:1086,30:1120,32:730,34:417,36:134,38:60,40:16,42:8</t>
  </si>
  <si>
    <t>Gen:0 Trial:0 w:52; Trial:1 w:48; Trial:2 w:38; Trial:13 w:30; Gen:1 Trial:170 w:24; Gen:9 Trial:924 w:22; pErr:0.0063, weight 22 CW found:2108, wDict:22:4726,24:1524,26:779,28:840,30:577,32:437,34:276,36:171,38:179,40:155,42:108,44:97,46:58,48:39,50:18,52:15,54:1</t>
  </si>
  <si>
    <t>Gen:0 Trial:0 w:48; Trial:2 w:44; Trial:10 w:42; Trial:17 w:40; Trial:21 w:34; Trial:23 w:32; Trial:45 w:30; Trial:63 w:20; pErr:0.0071, weight 20 CW found:2280, wDict:20:5555,22:154,24:891,26:827,28:547,30:556,32:336,34:349,36:186,38:124,40:96,42:73,44:60,46:53,48:53,50:46,52:42,54:23,56:16,58:10,60:3</t>
  </si>
  <si>
    <t>Gen:0 Trial:0 w:50; Trial:2 w:30; Trial:7 w:20; pErr:0.0139, weight 20 CW found:2880, wDict:20:6134,22:143,24:144,26:403,28:233,30:540,32:373,34:543,36:399,38:319,40:207,42:153,44:112,46:83,48:64,50:57,52:40,54:22,56:19,58:9,60:1,62:1,64:1</t>
  </si>
  <si>
    <t>Gen:0 Trial:0 w:54; Trial:1 w:46; Trial:2 w:44; Trial:5 w:38; Trial:91 w:26; Gen:4 Trial:477 w:24; pErr:0.0492, weight 24 CW found:3865, wDict:24:5383,26:383,28:25,30:99,32:150,34:226,36:365,38:398,40:539,42:503,44:551,46:407,48:311,50:208,52:138,54:112,56:69,58:65,60:36,62:20,64:11,66:1</t>
  </si>
  <si>
    <t>Gen:0 Trial:0 w:62; Trial:2 w:56; Trial:3 w:52; Trial:9 w:44; Trial:11 w:22; pErr:0.0504, weight 22 CW found:3807, wDict:22:5049,24:1055,26:169,28:76,30:32,32:72,34:190,36:146,38:232,40:296,42:366,44:400,46:399,48:370,50:286,52:221,54:179,56:126,58:108,60:94,62:57,64:42,66:22,68:8,70:4,72:1</t>
  </si>
  <si>
    <t>Gen:0 Trial:0 w:72; Trial:1 w:58; Trial:6 w:46; Trial:84 w:24; pErr:0.1238, weight 24 CW found:5434, wDict:24:5170,32:5,34:21,36:34,38:45,40:45,42:75,44:141,46:164,48:270,50:368,52:524,54:657,56:734,58:575,60:454,62:314,64:178,66:87,68:63,70:38,72:23,74:9,76:4,78:1,82:1</t>
  </si>
  <si>
    <t>Gen:0 Trial:0 w:70; Trial:1 w:66; Trial:9 w:64; Trial:14 w:22; pErr:0.1045, weight 22 CW found:5039, wDict:22:5435,24:266,28:4,30:9,32:3,34:5,36:1,38:3,40:25,42:26,44:52,46:80,48:113,50:180,52:257,54:303,56:452,58:508,60:561,62:525,64:423,66:264,68:200,70:110,72:75,74:44,76:31,78:24,80:17,82:3,84:1</t>
  </si>
  <si>
    <t>Gen:0 Trial:0 w:88; Trial:1 w:78; Trial:3 w:72; Trial:6 w:70; Trial:7 w:58; Gen:2 Trial:200 w:48; Trial:230 w:24; pErr:0.0799, weight 24 CW found:4509, wDict:24:5574,26:308,30:4,34:25,36:5,38:13,40:32,42:15,44:29,46:43,48:51,50:85,52:132,54:179,56:249,58:325,60:394,62:431,64:460,66:436,68:372,70:221,72:162,74:141,76:106,78:69,80:54,82:36,84:26,86:14,88:5,90:2,92:1,96:1</t>
  </si>
  <si>
    <t>Gen:0 Trial:0 w:94; Trial:1 w:90; Trial:2 w:84; Trial:6 w:74; Trial:28 w:24; pErr:0.1162, weight 24 CW found:5414, wDict:24:5511,36:18,42:7,44:1,48:1,50:10,52:25,54:25,56:41,58:62,60:84,62:119,64:190,66:226,68:335,70:417,72:464,74:501,76:485,78:406,80:289,82:254,84:162,86:114,88:84,90:59,92:56,94:31,96:10,98:9,100:4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</si>
</sst>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E+00"/>
    <numFmt numFmtId="166" formatCode="0.E+00"/>
  </numFmts>
  <fonts count="9" x14ac:knownFonts="1">
    <font>
      <sz val="12"/>
      <color theme="1"/>
      <name val="Aptos Narrow"/>
      <family val="2"/>
      <scheme val="minor"/>
    </font>
    <font>
      <b/>
      <sz val="16"/>
      <color theme="1"/>
      <name val="Aptos Narrow"/>
      <scheme val="minor"/>
    </font>
    <font>
      <b/>
      <sz val="12"/>
      <color theme="1"/>
      <name val="Aptos Narrow"/>
      <scheme val="minor"/>
    </font>
    <font>
      <b/>
      <sz val="14"/>
      <color theme="1"/>
      <name val="Aptos Narrow"/>
      <scheme val="minor"/>
    </font>
    <font>
      <u/>
      <sz val="12"/>
      <color theme="10"/>
      <name val="Aptos Narrow"/>
      <family val="2"/>
      <scheme val="minor"/>
    </font>
    <font>
      <b/>
      <sz val="12"/>
      <color rgb="FFFF0000"/>
      <name val="Aptos Narrow"/>
      <scheme val="minor"/>
    </font>
    <font>
      <sz val="12"/>
      <color theme="1"/>
      <name val="Aptos Narrow"/>
      <scheme val="minor"/>
    </font>
    <font>
      <b/>
      <sz val="12"/>
      <color indexed="8"/>
      <name val="Aptos Narrow"/>
      <scheme val="minor"/>
    </font>
    <font>
      <sz val="12"/>
      <color indexed="8"/>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4">
    <xf numFmtId="0" fontId="0" fillId="0" borderId="0" xfId="0"/>
    <xf numFmtId="11" fontId="0" fillId="0" borderId="0" xfId="0" applyNumberFormat="1"/>
    <xf numFmtId="0" fontId="1" fillId="0" borderId="0" xfId="0" applyFont="1"/>
    <xf numFmtId="0" fontId="2" fillId="0" borderId="0" xfId="0" applyFont="1" applyAlignment="1">
      <alignment horizontal="right"/>
    </xf>
    <xf numFmtId="164" fontId="0" fillId="0" borderId="0" xfId="0" applyNumberFormat="1"/>
    <xf numFmtId="165" fontId="0" fillId="0" borderId="0" xfId="0" applyNumberFormat="1"/>
    <xf numFmtId="0" fontId="2" fillId="0" borderId="0" xfId="0" applyFont="1"/>
    <xf numFmtId="3" fontId="0" fillId="0" borderId="0" xfId="0" applyNumberFormat="1"/>
    <xf numFmtId="0" fontId="3" fillId="0" borderId="0" xfId="0" applyFont="1"/>
    <xf numFmtId="0" fontId="4" fillId="0" borderId="0" xfId="1"/>
    <xf numFmtId="0" fontId="0" fillId="0" borderId="0" xfId="0" applyAlignment="1">
      <alignment wrapText="1"/>
    </xf>
    <xf numFmtId="0" fontId="5" fillId="0" borderId="0" xfId="0" applyFont="1"/>
    <xf numFmtId="1" fontId="6" fillId="0" borderId="0" xfId="0" applyNumberFormat="1" applyFont="1"/>
    <xf numFmtId="0" fontId="6" fillId="0" borderId="0" xfId="0" applyFont="1"/>
    <xf numFmtId="0" fontId="0" fillId="0" borderId="0" xfId="0" quotePrefix="1"/>
    <xf numFmtId="11" fontId="0" fillId="0" borderId="0" xfId="0" quotePrefix="1" applyNumberFormat="1"/>
    <xf numFmtId="3" fontId="2" fillId="0" borderId="0" xfId="0" applyNumberFormat="1" applyFont="1"/>
    <xf numFmtId="165" fontId="2" fillId="0" borderId="0" xfId="0" applyNumberFormat="1" applyFont="1"/>
    <xf numFmtId="0" fontId="0" fillId="0" borderId="0" xfId="0" applyAlignment="1">
      <alignment horizontal="left"/>
    </xf>
    <xf numFmtId="1" fontId="0" fillId="0" borderId="0" xfId="0" applyNumberFormat="1"/>
    <xf numFmtId="166" fontId="0" fillId="0" borderId="0" xfId="0" applyNumberFormat="1"/>
    <xf numFmtId="0" fontId="7" fillId="0" borderId="0" xfId="0" applyFont="1"/>
    <xf numFmtId="0" fontId="8" fillId="0" borderId="0" xfId="0" applyFont="1"/>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analysis!$GO$67</c:f>
              <c:strCache>
                <c:ptCount val="1"/>
                <c:pt idx="0">
                  <c:v>Gurobi</c:v>
                </c:pt>
              </c:strCache>
            </c:strRef>
          </c:tx>
          <c:spPr>
            <a:ln w="38100" cap="rnd">
              <a:noFill/>
              <a:round/>
            </a:ln>
            <a:effectLst/>
          </c:spPr>
          <c:marker>
            <c:symbol val="circle"/>
            <c:size val="5"/>
            <c:spPr>
              <a:solidFill>
                <a:schemeClr val="accent1"/>
              </a:solidFill>
              <a:ln w="9525">
                <a:solidFill>
                  <a:schemeClr val="accent1"/>
                </a:solidFill>
              </a:ln>
              <a:effectLst/>
            </c:spPr>
          </c:marker>
          <c:xVal>
            <c:numRef>
              <c:f>analysis!$GN$68:$GN$98</c:f>
              <c:numCache>
                <c:formatCode>General</c:formatCode>
                <c:ptCount val="31"/>
                <c:pt idx="0">
                  <c:v>5</c:v>
                </c:pt>
                <c:pt idx="1">
                  <c:v>20</c:v>
                </c:pt>
                <c:pt idx="2">
                  <c:v>35</c:v>
                </c:pt>
                <c:pt idx="3">
                  <c:v>50</c:v>
                </c:pt>
                <c:pt idx="4">
                  <c:v>65</c:v>
                </c:pt>
                <c:pt idx="5">
                  <c:v>80</c:v>
                </c:pt>
                <c:pt idx="6">
                  <c:v>105</c:v>
                </c:pt>
                <c:pt idx="7">
                  <c:v>150</c:v>
                </c:pt>
                <c:pt idx="8">
                  <c:v>155</c:v>
                </c:pt>
                <c:pt idx="9">
                  <c:v>210</c:v>
                </c:pt>
                <c:pt idx="10">
                  <c:v>260</c:v>
                </c:pt>
                <c:pt idx="11">
                  <c:v>290</c:v>
                </c:pt>
                <c:pt idx="12">
                  <c:v>300</c:v>
                </c:pt>
                <c:pt idx="13">
                  <c:v>305</c:v>
                </c:pt>
                <c:pt idx="14">
                  <c:v>335</c:v>
                </c:pt>
                <c:pt idx="15">
                  <c:v>365</c:v>
                </c:pt>
                <c:pt idx="16">
                  <c:v>400</c:v>
                </c:pt>
                <c:pt idx="17">
                  <c:v>425</c:v>
                </c:pt>
                <c:pt idx="18">
                  <c:v>475</c:v>
                </c:pt>
              </c:numCache>
            </c:numRef>
          </c:xVal>
          <c:yVal>
            <c:numRef>
              <c:f>analysis!$GO$68:$GO$98</c:f>
              <c:numCache>
                <c:formatCode>0.0E+00</c:formatCode>
                <c:ptCount val="31"/>
                <c:pt idx="0">
                  <c:v>2.4174784310162001E-2</c:v>
                </c:pt>
                <c:pt idx="1">
                  <c:v>3.3476301934569998E-2</c:v>
                </c:pt>
                <c:pt idx="2">
                  <c:v>8.3380978088825899E-2</c:v>
                </c:pt>
                <c:pt idx="3">
                  <c:v>0.536240994930267</c:v>
                </c:pt>
                <c:pt idx="4">
                  <c:v>18.2203948786482</c:v>
                </c:pt>
                <c:pt idx="5">
                  <c:v>399.76645249500802</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yVal>
          <c:smooth val="0"/>
          <c:extLst>
            <c:ext xmlns:c16="http://schemas.microsoft.com/office/drawing/2014/chart" uri="{C3380CC4-5D6E-409C-BE32-E72D297353CC}">
              <c16:uniqueId val="{00000000-12D9-AD41-84EC-925021C9568F}"/>
            </c:ext>
          </c:extLst>
        </c:ser>
        <c:ser>
          <c:idx val="1"/>
          <c:order val="1"/>
          <c:tx>
            <c:strRef>
              <c:f>analysis!$GP$67</c:f>
              <c:strCache>
                <c:ptCount val="1"/>
                <c:pt idx="0">
                  <c:v>MIP-SCIP</c:v>
                </c:pt>
              </c:strCache>
            </c:strRef>
          </c:tx>
          <c:spPr>
            <a:ln w="38100" cap="rnd">
              <a:noFill/>
              <a:round/>
            </a:ln>
            <a:effectLst/>
          </c:spPr>
          <c:marker>
            <c:symbol val="plus"/>
            <c:size val="5"/>
            <c:spPr>
              <a:noFill/>
              <a:ln w="9525">
                <a:solidFill>
                  <a:schemeClr val="accent2"/>
                </a:solidFill>
              </a:ln>
              <a:effectLst/>
            </c:spPr>
          </c:marker>
          <c:xVal>
            <c:numRef>
              <c:f>analysis!$GN$68:$GN$98</c:f>
              <c:numCache>
                <c:formatCode>General</c:formatCode>
                <c:ptCount val="31"/>
                <c:pt idx="0">
                  <c:v>5</c:v>
                </c:pt>
                <c:pt idx="1">
                  <c:v>20</c:v>
                </c:pt>
                <c:pt idx="2">
                  <c:v>35</c:v>
                </c:pt>
                <c:pt idx="3">
                  <c:v>50</c:v>
                </c:pt>
                <c:pt idx="4">
                  <c:v>65</c:v>
                </c:pt>
                <c:pt idx="5">
                  <c:v>80</c:v>
                </c:pt>
                <c:pt idx="6">
                  <c:v>105</c:v>
                </c:pt>
                <c:pt idx="7">
                  <c:v>150</c:v>
                </c:pt>
                <c:pt idx="8">
                  <c:v>155</c:v>
                </c:pt>
                <c:pt idx="9">
                  <c:v>210</c:v>
                </c:pt>
                <c:pt idx="10">
                  <c:v>260</c:v>
                </c:pt>
                <c:pt idx="11">
                  <c:v>290</c:v>
                </c:pt>
                <c:pt idx="12">
                  <c:v>300</c:v>
                </c:pt>
                <c:pt idx="13">
                  <c:v>305</c:v>
                </c:pt>
                <c:pt idx="14">
                  <c:v>335</c:v>
                </c:pt>
                <c:pt idx="15">
                  <c:v>365</c:v>
                </c:pt>
                <c:pt idx="16">
                  <c:v>400</c:v>
                </c:pt>
                <c:pt idx="17">
                  <c:v>425</c:v>
                </c:pt>
                <c:pt idx="18">
                  <c:v>475</c:v>
                </c:pt>
              </c:numCache>
            </c:numRef>
          </c:xVal>
          <c:yVal>
            <c:numRef>
              <c:f>analysis!$GP$68:$GP$98</c:f>
              <c:numCache>
                <c:formatCode>0.0E+00</c:formatCode>
                <c:ptCount val="31"/>
                <c:pt idx="0">
                  <c:v>1.0282602161169E-2</c:v>
                </c:pt>
                <c:pt idx="1">
                  <c:v>4.4279285240918398E-2</c:v>
                </c:pt>
                <c:pt idx="2">
                  <c:v>0.25959258479997499</c:v>
                </c:pt>
                <c:pt idx="3">
                  <c:v>1.7402468230575301</c:v>
                </c:pt>
                <c:pt idx="4">
                  <c:v>24.346778511069701</c:v>
                </c:pt>
                <c:pt idx="5">
                  <c:v>386.75556916464097</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yVal>
          <c:smooth val="0"/>
          <c:extLst>
            <c:ext xmlns:c16="http://schemas.microsoft.com/office/drawing/2014/chart" uri="{C3380CC4-5D6E-409C-BE32-E72D297353CC}">
              <c16:uniqueId val="{00000001-12D9-AD41-84EC-925021C9568F}"/>
            </c:ext>
          </c:extLst>
        </c:ser>
        <c:ser>
          <c:idx val="2"/>
          <c:order val="2"/>
          <c:tx>
            <c:strRef>
              <c:f>analysis!$GQ$67</c:f>
              <c:strCache>
                <c:ptCount val="1"/>
                <c:pt idx="0">
                  <c:v>CLISAT</c:v>
                </c:pt>
              </c:strCache>
            </c:strRef>
          </c:tx>
          <c:spPr>
            <a:ln w="38100" cap="rnd">
              <a:noFill/>
              <a:round/>
            </a:ln>
            <a:effectLst/>
          </c:spPr>
          <c:marker>
            <c:symbol val="diamond"/>
            <c:size val="5"/>
            <c:spPr>
              <a:solidFill>
                <a:schemeClr val="accent3"/>
              </a:solidFill>
              <a:ln w="9525">
                <a:solidFill>
                  <a:schemeClr val="accent3"/>
                </a:solidFill>
              </a:ln>
              <a:effectLst/>
            </c:spPr>
          </c:marker>
          <c:xVal>
            <c:numRef>
              <c:f>analysis!$GN$68:$GN$98</c:f>
              <c:numCache>
                <c:formatCode>General</c:formatCode>
                <c:ptCount val="31"/>
                <c:pt idx="0">
                  <c:v>5</c:v>
                </c:pt>
                <c:pt idx="1">
                  <c:v>20</c:v>
                </c:pt>
                <c:pt idx="2">
                  <c:v>35</c:v>
                </c:pt>
                <c:pt idx="3">
                  <c:v>50</c:v>
                </c:pt>
                <c:pt idx="4">
                  <c:v>65</c:v>
                </c:pt>
                <c:pt idx="5">
                  <c:v>80</c:v>
                </c:pt>
                <c:pt idx="6">
                  <c:v>105</c:v>
                </c:pt>
                <c:pt idx="7">
                  <c:v>150</c:v>
                </c:pt>
                <c:pt idx="8">
                  <c:v>155</c:v>
                </c:pt>
                <c:pt idx="9">
                  <c:v>210</c:v>
                </c:pt>
                <c:pt idx="10">
                  <c:v>260</c:v>
                </c:pt>
                <c:pt idx="11">
                  <c:v>290</c:v>
                </c:pt>
                <c:pt idx="12">
                  <c:v>300</c:v>
                </c:pt>
                <c:pt idx="13">
                  <c:v>305</c:v>
                </c:pt>
                <c:pt idx="14">
                  <c:v>335</c:v>
                </c:pt>
                <c:pt idx="15">
                  <c:v>365</c:v>
                </c:pt>
                <c:pt idx="16">
                  <c:v>400</c:v>
                </c:pt>
                <c:pt idx="17">
                  <c:v>425</c:v>
                </c:pt>
                <c:pt idx="18">
                  <c:v>475</c:v>
                </c:pt>
              </c:numCache>
            </c:numRef>
          </c:xVal>
          <c:yVal>
            <c:numRef>
              <c:f>analysis!$GQ$68:$GQ$98</c:f>
              <c:numCache>
                <c:formatCode>0.0E+00</c:formatCode>
                <c:ptCount val="31"/>
                <c:pt idx="0">
                  <c:v>1.05291618965566E-2</c:v>
                </c:pt>
                <c:pt idx="1">
                  <c:v>1.41975982114672E-2</c:v>
                </c:pt>
                <c:pt idx="2">
                  <c:v>9.4773933757096501E-2</c:v>
                </c:pt>
                <c:pt idx="3">
                  <c:v>1.5112244719639401</c:v>
                </c:pt>
                <c:pt idx="4">
                  <c:v>41.260579207912002</c:v>
                </c:pt>
                <c:pt idx="5">
                  <c:v>1047.1034300210799</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yVal>
          <c:smooth val="0"/>
          <c:extLst>
            <c:ext xmlns:c16="http://schemas.microsoft.com/office/drawing/2014/chart" uri="{C3380CC4-5D6E-409C-BE32-E72D297353CC}">
              <c16:uniqueId val="{00000002-12D9-AD41-84EC-925021C9568F}"/>
            </c:ext>
          </c:extLst>
        </c:ser>
        <c:ser>
          <c:idx val="3"/>
          <c:order val="3"/>
          <c:tx>
            <c:strRef>
              <c:f>analysis!$GR$67</c:f>
              <c:strCache>
                <c:ptCount val="1"/>
                <c:pt idx="0">
                  <c:v>m4ri_CC</c:v>
                </c:pt>
              </c:strCache>
            </c:strRef>
          </c:tx>
          <c:spPr>
            <a:ln w="38100" cap="rnd">
              <a:noFill/>
              <a:round/>
            </a:ln>
            <a:effectLst/>
          </c:spPr>
          <c:marker>
            <c:symbol val="triangle"/>
            <c:size val="5"/>
            <c:spPr>
              <a:solidFill>
                <a:schemeClr val="accent4"/>
              </a:solidFill>
              <a:ln w="9525">
                <a:solidFill>
                  <a:schemeClr val="accent4"/>
                </a:solidFill>
              </a:ln>
              <a:effectLst/>
            </c:spPr>
          </c:marker>
          <c:xVal>
            <c:numRef>
              <c:f>analysis!$GN$68:$GN$98</c:f>
              <c:numCache>
                <c:formatCode>General</c:formatCode>
                <c:ptCount val="31"/>
                <c:pt idx="0">
                  <c:v>5</c:v>
                </c:pt>
                <c:pt idx="1">
                  <c:v>20</c:v>
                </c:pt>
                <c:pt idx="2">
                  <c:v>35</c:v>
                </c:pt>
                <c:pt idx="3">
                  <c:v>50</c:v>
                </c:pt>
                <c:pt idx="4">
                  <c:v>65</c:v>
                </c:pt>
                <c:pt idx="5">
                  <c:v>80</c:v>
                </c:pt>
                <c:pt idx="6">
                  <c:v>105</c:v>
                </c:pt>
                <c:pt idx="7">
                  <c:v>150</c:v>
                </c:pt>
                <c:pt idx="8">
                  <c:v>155</c:v>
                </c:pt>
                <c:pt idx="9">
                  <c:v>210</c:v>
                </c:pt>
                <c:pt idx="10">
                  <c:v>260</c:v>
                </c:pt>
                <c:pt idx="11">
                  <c:v>290</c:v>
                </c:pt>
                <c:pt idx="12">
                  <c:v>300</c:v>
                </c:pt>
                <c:pt idx="13">
                  <c:v>305</c:v>
                </c:pt>
                <c:pt idx="14">
                  <c:v>335</c:v>
                </c:pt>
                <c:pt idx="15">
                  <c:v>365</c:v>
                </c:pt>
                <c:pt idx="16">
                  <c:v>400</c:v>
                </c:pt>
                <c:pt idx="17">
                  <c:v>425</c:v>
                </c:pt>
                <c:pt idx="18">
                  <c:v>475</c:v>
                </c:pt>
              </c:numCache>
            </c:numRef>
          </c:xVal>
          <c:yVal>
            <c:numRef>
              <c:f>analysis!$GR$68:$GR$98</c:f>
              <c:numCache>
                <c:formatCode>0.0E+00</c:formatCode>
                <c:ptCount val="31"/>
                <c:pt idx="0">
                  <c:v>8.0840795000000298E-2</c:v>
                </c:pt>
                <c:pt idx="1">
                  <c:v>8.0212479000010703E-2</c:v>
                </c:pt>
                <c:pt idx="2">
                  <c:v>0.10326962399997699</c:v>
                </c:pt>
                <c:pt idx="3">
                  <c:v>0.87494594700001405</c:v>
                </c:pt>
                <c:pt idx="4">
                  <c:v>491.87667527100001</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yVal>
          <c:smooth val="0"/>
          <c:extLst>
            <c:ext xmlns:c16="http://schemas.microsoft.com/office/drawing/2014/chart" uri="{C3380CC4-5D6E-409C-BE32-E72D297353CC}">
              <c16:uniqueId val="{00000003-12D9-AD41-84EC-925021C9568F}"/>
            </c:ext>
          </c:extLst>
        </c:ser>
        <c:ser>
          <c:idx val="4"/>
          <c:order val="4"/>
          <c:tx>
            <c:strRef>
              <c:f>analysis!$GS$67</c:f>
              <c:strCache>
                <c:ptCount val="1"/>
                <c:pt idx="0">
                  <c:v>magma</c:v>
                </c:pt>
              </c:strCache>
            </c:strRef>
          </c:tx>
          <c:spPr>
            <a:ln w="38100" cap="rnd">
              <a:noFill/>
              <a:round/>
            </a:ln>
            <a:effectLst/>
          </c:spPr>
          <c:marker>
            <c:symbol val="x"/>
            <c:size val="5"/>
            <c:spPr>
              <a:noFill/>
              <a:ln w="9525">
                <a:solidFill>
                  <a:schemeClr val="accent5"/>
                </a:solidFill>
              </a:ln>
              <a:effectLst/>
            </c:spPr>
          </c:marker>
          <c:xVal>
            <c:numRef>
              <c:f>analysis!$GN$68:$GN$98</c:f>
              <c:numCache>
                <c:formatCode>General</c:formatCode>
                <c:ptCount val="31"/>
                <c:pt idx="0">
                  <c:v>5</c:v>
                </c:pt>
                <c:pt idx="1">
                  <c:v>20</c:v>
                </c:pt>
                <c:pt idx="2">
                  <c:v>35</c:v>
                </c:pt>
                <c:pt idx="3">
                  <c:v>50</c:v>
                </c:pt>
                <c:pt idx="4">
                  <c:v>65</c:v>
                </c:pt>
                <c:pt idx="5">
                  <c:v>80</c:v>
                </c:pt>
                <c:pt idx="6">
                  <c:v>105</c:v>
                </c:pt>
                <c:pt idx="7">
                  <c:v>150</c:v>
                </c:pt>
                <c:pt idx="8">
                  <c:v>155</c:v>
                </c:pt>
                <c:pt idx="9">
                  <c:v>210</c:v>
                </c:pt>
                <c:pt idx="10">
                  <c:v>260</c:v>
                </c:pt>
                <c:pt idx="11">
                  <c:v>290</c:v>
                </c:pt>
                <c:pt idx="12">
                  <c:v>300</c:v>
                </c:pt>
                <c:pt idx="13">
                  <c:v>305</c:v>
                </c:pt>
                <c:pt idx="14">
                  <c:v>335</c:v>
                </c:pt>
                <c:pt idx="15">
                  <c:v>365</c:v>
                </c:pt>
                <c:pt idx="16">
                  <c:v>400</c:v>
                </c:pt>
                <c:pt idx="17">
                  <c:v>425</c:v>
                </c:pt>
                <c:pt idx="18">
                  <c:v>475</c:v>
                </c:pt>
              </c:numCache>
            </c:numRef>
          </c:xVal>
          <c:yVal>
            <c:numRef>
              <c:f>analysis!$GS$68:$GS$98</c:f>
              <c:numCache>
                <c:formatCode>0.0E+00</c:formatCode>
                <c:ptCount val="31"/>
                <c:pt idx="0">
                  <c:v>0.15086995800083899</c:v>
                </c:pt>
                <c:pt idx="1">
                  <c:v>0.115893624999444</c:v>
                </c:pt>
                <c:pt idx="2">
                  <c:v>5.7400166988372803E-2</c:v>
                </c:pt>
                <c:pt idx="3">
                  <c:v>5.9457833005581003E-2</c:v>
                </c:pt>
                <c:pt idx="4">
                  <c:v>5.9525459000724298E-2</c:v>
                </c:pt>
                <c:pt idx="5">
                  <c:v>5.8997208005166599E-2</c:v>
                </c:pt>
                <c:pt idx="6">
                  <c:v>0.19509637499868401</c:v>
                </c:pt>
                <c:pt idx="7">
                  <c:v>1.5480170829978299</c:v>
                </c:pt>
                <c:pt idx="8">
                  <c:v>91.853064750000996</c:v>
                </c:pt>
                <c:pt idx="9">
                  <c:v>#N/A</c:v>
                </c:pt>
                <c:pt idx="10">
                  <c:v>#N/A</c:v>
                </c:pt>
                <c:pt idx="11">
                  <c:v>#N/A</c:v>
                </c:pt>
                <c:pt idx="12">
                  <c:v>#N/A</c:v>
                </c:pt>
                <c:pt idx="13">
                  <c:v>#N/A</c:v>
                </c:pt>
                <c:pt idx="14">
                  <c:v>#N/A</c:v>
                </c:pt>
                <c:pt idx="15">
                  <c:v>#N/A</c:v>
                </c:pt>
                <c:pt idx="16">
                  <c:v>#N/A</c:v>
                </c:pt>
                <c:pt idx="17">
                  <c:v>#N/A</c:v>
                </c:pt>
                <c:pt idx="18">
                  <c:v>#N/A</c:v>
                </c:pt>
              </c:numCache>
            </c:numRef>
          </c:yVal>
          <c:smooth val="0"/>
          <c:extLst>
            <c:ext xmlns:c16="http://schemas.microsoft.com/office/drawing/2014/chart" uri="{C3380CC4-5D6E-409C-BE32-E72D297353CC}">
              <c16:uniqueId val="{00000004-12D9-AD41-84EC-925021C9568F}"/>
            </c:ext>
          </c:extLst>
        </c:ser>
        <c:dLbls>
          <c:showLegendKey val="0"/>
          <c:showVal val="0"/>
          <c:showCatName val="0"/>
          <c:showSerName val="0"/>
          <c:showPercent val="0"/>
          <c:showBubbleSize val="0"/>
        </c:dLbls>
        <c:axId val="1782197904"/>
        <c:axId val="1782199616"/>
      </c:scatterChart>
      <c:valAx>
        <c:axId val="1782197904"/>
        <c:scaling>
          <c:orientation val="minMax"/>
          <c:max val="2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9616"/>
        <c:crossesAt val="1E-8"/>
        <c:crossBetween val="midCat"/>
      </c:valAx>
      <c:valAx>
        <c:axId val="178219961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a:t>
                </a:r>
                <a:r>
                  <a:rPr lang="en-GB" sz="1200" baseline="0"/>
                  <a:t> Time (sec)</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7904"/>
        <c:crossesAt val="0"/>
        <c:crossBetween val="midCat"/>
      </c:valAx>
      <c:spPr>
        <a:noFill/>
        <a:ln>
          <a:noFill/>
        </a:ln>
        <a:effectLst/>
      </c:spPr>
    </c:plotArea>
    <c:legend>
      <c:legendPos val="r"/>
      <c:layout>
        <c:manualLayout>
          <c:xMode val="edge"/>
          <c:yMode val="edge"/>
          <c:x val="0.23817147856517934"/>
          <c:y val="4.7959044181977224E-2"/>
          <c:w val="0.17155074365704287"/>
          <c:h val="0.292970800524934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analysis!$GU$67</c:f>
              <c:strCache>
                <c:ptCount val="1"/>
                <c:pt idx="0">
                  <c:v>QDistRndMW</c:v>
                </c:pt>
              </c:strCache>
            </c:strRef>
          </c:tx>
          <c:spPr>
            <a:ln w="25400" cap="rnd">
              <a:noFill/>
              <a:round/>
            </a:ln>
            <a:effectLst/>
          </c:spPr>
          <c:marker>
            <c:symbol val="plus"/>
            <c:size val="5"/>
            <c:spPr>
              <a:noFill/>
              <a:ln w="9525">
                <a:solidFill>
                  <a:schemeClr val="accent1">
                    <a:lumMod val="60000"/>
                  </a:schemeClr>
                </a:solidFill>
              </a:ln>
              <a:effectLst/>
            </c:spPr>
          </c:marker>
          <c:xVal>
            <c:numRef>
              <c:f>analysis!$GN$68:$GN$98</c:f>
              <c:numCache>
                <c:formatCode>General</c:formatCode>
                <c:ptCount val="31"/>
                <c:pt idx="0">
                  <c:v>5</c:v>
                </c:pt>
                <c:pt idx="1">
                  <c:v>20</c:v>
                </c:pt>
                <c:pt idx="2">
                  <c:v>35</c:v>
                </c:pt>
                <c:pt idx="3">
                  <c:v>50</c:v>
                </c:pt>
                <c:pt idx="4">
                  <c:v>65</c:v>
                </c:pt>
                <c:pt idx="5">
                  <c:v>80</c:v>
                </c:pt>
                <c:pt idx="6">
                  <c:v>105</c:v>
                </c:pt>
                <c:pt idx="7">
                  <c:v>150</c:v>
                </c:pt>
                <c:pt idx="8">
                  <c:v>155</c:v>
                </c:pt>
                <c:pt idx="9">
                  <c:v>210</c:v>
                </c:pt>
                <c:pt idx="10">
                  <c:v>260</c:v>
                </c:pt>
                <c:pt idx="11">
                  <c:v>290</c:v>
                </c:pt>
                <c:pt idx="12">
                  <c:v>300</c:v>
                </c:pt>
                <c:pt idx="13">
                  <c:v>305</c:v>
                </c:pt>
                <c:pt idx="14">
                  <c:v>335</c:v>
                </c:pt>
                <c:pt idx="15">
                  <c:v>365</c:v>
                </c:pt>
                <c:pt idx="16">
                  <c:v>400</c:v>
                </c:pt>
                <c:pt idx="17">
                  <c:v>425</c:v>
                </c:pt>
                <c:pt idx="18">
                  <c:v>475</c:v>
                </c:pt>
              </c:numCache>
            </c:numRef>
          </c:xVal>
          <c:yVal>
            <c:numRef>
              <c:f>analysis!$GU$68:$GU$98</c:f>
              <c:numCache>
                <c:formatCode>0.0E+00</c:formatCode>
                <c:ptCount val="31"/>
                <c:pt idx="0">
                  <c:v>7.2811784781515602E-5</c:v>
                </c:pt>
                <c:pt idx="1">
                  <c:v>9.9363673766721713E-5</c:v>
                </c:pt>
                <c:pt idx="2">
                  <c:v>2.0761460553051362E-4</c:v>
                </c:pt>
                <c:pt idx="3">
                  <c:v>1.7401502772612632E-4</c:v>
                </c:pt>
                <c:pt idx="4">
                  <c:v>3.1485169963217039E-4</c:v>
                </c:pt>
                <c:pt idx="5">
                  <c:v>7.0607700665808104E-4</c:v>
                </c:pt>
                <c:pt idx="6">
                  <c:v>8.1450730181476796E-4</c:v>
                </c:pt>
                <c:pt idx="7">
                  <c:v>5.8344302710190534E-3</c:v>
                </c:pt>
                <c:pt idx="8">
                  <c:v>5.9013172543580577E-3</c:v>
                </c:pt>
                <c:pt idx="9">
                  <c:v>6.0005182926745407E-2</c:v>
                </c:pt>
                <c:pt idx="10">
                  <c:v>0.26023657823513568</c:v>
                </c:pt>
                <c:pt idx="11">
                  <c:v>0.17686976238082233</c:v>
                </c:pt>
                <c:pt idx="12">
                  <c:v>9.687136201022549E-2</c:v>
                </c:pt>
                <c:pt idx="13">
                  <c:v>0.26470611092740104</c:v>
                </c:pt>
                <c:pt idx="14">
                  <c:v>0.33061063140440611</c:v>
                </c:pt>
                <c:pt idx="15">
                  <c:v>0.36658355955765604</c:v>
                </c:pt>
                <c:pt idx="16">
                  <c:v>0.34333412581369926</c:v>
                </c:pt>
                <c:pt idx="17">
                  <c:v>0.40203002779513336</c:v>
                </c:pt>
                <c:pt idx="18">
                  <c:v>0.44561744464342173</c:v>
                </c:pt>
              </c:numCache>
            </c:numRef>
          </c:yVal>
          <c:smooth val="0"/>
          <c:extLst>
            <c:ext xmlns:c16="http://schemas.microsoft.com/office/drawing/2014/chart" uri="{C3380CC4-5D6E-409C-BE32-E72D297353CC}">
              <c16:uniqueId val="{00000000-F395-3547-8F32-647061342EE2}"/>
            </c:ext>
          </c:extLst>
        </c:ser>
        <c:ser>
          <c:idx val="7"/>
          <c:order val="1"/>
          <c:tx>
            <c:strRef>
              <c:f>analysis!$GV$67</c:f>
              <c:strCache>
                <c:ptCount val="1"/>
                <c:pt idx="0">
                  <c:v>QDistEvol</c:v>
                </c:pt>
              </c:strCache>
            </c:strRef>
          </c:tx>
          <c:spPr>
            <a:ln w="254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analysis!$GN$68:$GN$98</c:f>
              <c:numCache>
                <c:formatCode>General</c:formatCode>
                <c:ptCount val="31"/>
                <c:pt idx="0">
                  <c:v>5</c:v>
                </c:pt>
                <c:pt idx="1">
                  <c:v>20</c:v>
                </c:pt>
                <c:pt idx="2">
                  <c:v>35</c:v>
                </c:pt>
                <c:pt idx="3">
                  <c:v>50</c:v>
                </c:pt>
                <c:pt idx="4">
                  <c:v>65</c:v>
                </c:pt>
                <c:pt idx="5">
                  <c:v>80</c:v>
                </c:pt>
                <c:pt idx="6">
                  <c:v>105</c:v>
                </c:pt>
                <c:pt idx="7">
                  <c:v>150</c:v>
                </c:pt>
                <c:pt idx="8">
                  <c:v>155</c:v>
                </c:pt>
                <c:pt idx="9">
                  <c:v>210</c:v>
                </c:pt>
                <c:pt idx="10">
                  <c:v>260</c:v>
                </c:pt>
                <c:pt idx="11">
                  <c:v>290</c:v>
                </c:pt>
                <c:pt idx="12">
                  <c:v>300</c:v>
                </c:pt>
                <c:pt idx="13">
                  <c:v>305</c:v>
                </c:pt>
                <c:pt idx="14">
                  <c:v>335</c:v>
                </c:pt>
                <c:pt idx="15">
                  <c:v>365</c:v>
                </c:pt>
                <c:pt idx="16">
                  <c:v>400</c:v>
                </c:pt>
                <c:pt idx="17">
                  <c:v>425</c:v>
                </c:pt>
                <c:pt idx="18">
                  <c:v>475</c:v>
                </c:pt>
              </c:numCache>
            </c:numRef>
          </c:xVal>
          <c:yVal>
            <c:numRef>
              <c:f>analysis!$GV$68:$GV$98</c:f>
              <c:numCache>
                <c:formatCode>0.0E+00</c:formatCode>
                <c:ptCount val="31"/>
                <c:pt idx="0">
                  <c:v>1.2516234777867701E-4</c:v>
                </c:pt>
                <c:pt idx="1">
                  <c:v>1.572166897860364E-4</c:v>
                </c:pt>
                <c:pt idx="2">
                  <c:v>1.8653264370647107E-4</c:v>
                </c:pt>
                <c:pt idx="3">
                  <c:v>2.5858873889975787E-4</c:v>
                </c:pt>
                <c:pt idx="4">
                  <c:v>2.9203990324609273E-4</c:v>
                </c:pt>
                <c:pt idx="5">
                  <c:v>3.4182462944337206E-4</c:v>
                </c:pt>
                <c:pt idx="6">
                  <c:v>4.9356814992329123E-4</c:v>
                </c:pt>
                <c:pt idx="7">
                  <c:v>9.2284783444861987E-4</c:v>
                </c:pt>
                <c:pt idx="8">
                  <c:v>1.0849458492109914E-3</c:v>
                </c:pt>
                <c:pt idx="9">
                  <c:v>2.3885456634948937E-3</c:v>
                </c:pt>
                <c:pt idx="10">
                  <c:v>3.7756032137798348E-3</c:v>
                </c:pt>
                <c:pt idx="11">
                  <c:v>4.0991233784158773E-3</c:v>
                </c:pt>
                <c:pt idx="12">
                  <c:v>4.0082241811482556E-3</c:v>
                </c:pt>
                <c:pt idx="13">
                  <c:v>4.7927168046544488E-3</c:v>
                </c:pt>
                <c:pt idx="14">
                  <c:v>6.355245440318855E-3</c:v>
                </c:pt>
                <c:pt idx="15">
                  <c:v>7.6323821202165373E-3</c:v>
                </c:pt>
                <c:pt idx="16">
                  <c:v>8.4159960790358233E-3</c:v>
                </c:pt>
                <c:pt idx="17">
                  <c:v>9.5394550855089355E-3</c:v>
                </c:pt>
                <c:pt idx="18">
                  <c:v>1.2947558399510888E-2</c:v>
                </c:pt>
              </c:numCache>
            </c:numRef>
          </c:yVal>
          <c:smooth val="0"/>
          <c:extLst>
            <c:ext xmlns:c16="http://schemas.microsoft.com/office/drawing/2014/chart" uri="{C3380CC4-5D6E-409C-BE32-E72D297353CC}">
              <c16:uniqueId val="{00000001-F395-3547-8F32-647061342EE2}"/>
            </c:ext>
          </c:extLst>
        </c:ser>
        <c:ser>
          <c:idx val="8"/>
          <c:order val="2"/>
          <c:tx>
            <c:strRef>
              <c:f>analysis!$GW$67</c:f>
              <c:strCache>
                <c:ptCount val="1"/>
                <c:pt idx="0">
                  <c:v>bposd</c:v>
                </c:pt>
              </c:strCache>
            </c:strRef>
          </c:tx>
          <c:spPr>
            <a:ln w="254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analysis!$GN$68:$GN$98</c:f>
              <c:numCache>
                <c:formatCode>General</c:formatCode>
                <c:ptCount val="31"/>
                <c:pt idx="0">
                  <c:v>5</c:v>
                </c:pt>
                <c:pt idx="1">
                  <c:v>20</c:v>
                </c:pt>
                <c:pt idx="2">
                  <c:v>35</c:v>
                </c:pt>
                <c:pt idx="3">
                  <c:v>50</c:v>
                </c:pt>
                <c:pt idx="4">
                  <c:v>65</c:v>
                </c:pt>
                <c:pt idx="5">
                  <c:v>80</c:v>
                </c:pt>
                <c:pt idx="6">
                  <c:v>105</c:v>
                </c:pt>
                <c:pt idx="7">
                  <c:v>150</c:v>
                </c:pt>
                <c:pt idx="8">
                  <c:v>155</c:v>
                </c:pt>
                <c:pt idx="9">
                  <c:v>210</c:v>
                </c:pt>
                <c:pt idx="10">
                  <c:v>260</c:v>
                </c:pt>
                <c:pt idx="11">
                  <c:v>290</c:v>
                </c:pt>
                <c:pt idx="12">
                  <c:v>300</c:v>
                </c:pt>
                <c:pt idx="13">
                  <c:v>305</c:v>
                </c:pt>
                <c:pt idx="14">
                  <c:v>335</c:v>
                </c:pt>
                <c:pt idx="15">
                  <c:v>365</c:v>
                </c:pt>
                <c:pt idx="16">
                  <c:v>400</c:v>
                </c:pt>
                <c:pt idx="17">
                  <c:v>425</c:v>
                </c:pt>
                <c:pt idx="18">
                  <c:v>475</c:v>
                </c:pt>
              </c:numCache>
            </c:numRef>
          </c:xVal>
          <c:yVal>
            <c:numRef>
              <c:f>analysis!$GW$68:$GW$98</c:f>
              <c:numCache>
                <c:formatCode>0.0E+00</c:formatCode>
                <c:ptCount val="31"/>
                <c:pt idx="0">
                  <c:v>5.1459344499744399E-4</c:v>
                </c:pt>
                <c:pt idx="1">
                  <c:v>1.4758960955014988E-3</c:v>
                </c:pt>
                <c:pt idx="2">
                  <c:v>7.3927306255087213E-3</c:v>
                </c:pt>
                <c:pt idx="3">
                  <c:v>6.5302449408906173E-3</c:v>
                </c:pt>
                <c:pt idx="4">
                  <c:v>6.0875352527084972E-3</c:v>
                </c:pt>
                <c:pt idx="5">
                  <c:v>1.4583429070809504E-2</c:v>
                </c:pt>
                <c:pt idx="6">
                  <c:v>2.136984133401261E-2</c:v>
                </c:pt>
                <c:pt idx="7">
                  <c:v>0.25397617809948403</c:v>
                </c:pt>
                <c:pt idx="8">
                  <c:v>0.23923135512431395</c:v>
                </c:pt>
                <c:pt idx="9">
                  <c:v>3.8824235652051469</c:v>
                </c:pt>
                <c:pt idx="10">
                  <c:v>25.989647950560421</c:v>
                </c:pt>
                <c:pt idx="11">
                  <c:v>29.504461937222583</c:v>
                </c:pt>
                <c:pt idx="12">
                  <c:v>20.277681545306837</c:v>
                </c:pt>
                <c:pt idx="13">
                  <c:v>38.765016877761269</c:v>
                </c:pt>
                <c:pt idx="14">
                  <c:v>70.556302971206591</c:v>
                </c:pt>
                <c:pt idx="15">
                  <c:v>87.800724707201127</c:v>
                </c:pt>
                <c:pt idx="16">
                  <c:v>119.10181310442017</c:v>
                </c:pt>
                <c:pt idx="17">
                  <c:v>194.55494901607233</c:v>
                </c:pt>
                <c:pt idx="18">
                  <c:v>175.55217852455999</c:v>
                </c:pt>
              </c:numCache>
            </c:numRef>
          </c:yVal>
          <c:smooth val="0"/>
          <c:extLst>
            <c:ext xmlns:c16="http://schemas.microsoft.com/office/drawing/2014/chart" uri="{C3380CC4-5D6E-409C-BE32-E72D297353CC}">
              <c16:uniqueId val="{00000002-F395-3547-8F32-647061342EE2}"/>
            </c:ext>
          </c:extLst>
        </c:ser>
        <c:ser>
          <c:idx val="9"/>
          <c:order val="3"/>
          <c:tx>
            <c:strRef>
              <c:f>analysis!$GX$67</c:f>
              <c:strCache>
                <c:ptCount val="1"/>
                <c:pt idx="0">
                  <c:v>GEStim</c:v>
                </c:pt>
              </c:strCache>
            </c:strRef>
          </c:tx>
          <c:spPr>
            <a:ln w="25400" cap="rnd">
              <a:noFill/>
              <a:round/>
            </a:ln>
            <a:effectLst/>
          </c:spPr>
          <c:marker>
            <c:symbol val="x"/>
            <c:size val="5"/>
            <c:spPr>
              <a:noFill/>
              <a:ln w="9525">
                <a:solidFill>
                  <a:schemeClr val="accent4">
                    <a:lumMod val="60000"/>
                  </a:schemeClr>
                </a:solidFill>
              </a:ln>
              <a:effectLst/>
            </c:spPr>
          </c:marker>
          <c:xVal>
            <c:numRef>
              <c:f>analysis!$GN$68:$GN$98</c:f>
              <c:numCache>
                <c:formatCode>General</c:formatCode>
                <c:ptCount val="31"/>
                <c:pt idx="0">
                  <c:v>5</c:v>
                </c:pt>
                <c:pt idx="1">
                  <c:v>20</c:v>
                </c:pt>
                <c:pt idx="2">
                  <c:v>35</c:v>
                </c:pt>
                <c:pt idx="3">
                  <c:v>50</c:v>
                </c:pt>
                <c:pt idx="4">
                  <c:v>65</c:v>
                </c:pt>
                <c:pt idx="5">
                  <c:v>80</c:v>
                </c:pt>
                <c:pt idx="6">
                  <c:v>105</c:v>
                </c:pt>
                <c:pt idx="7">
                  <c:v>150</c:v>
                </c:pt>
                <c:pt idx="8">
                  <c:v>155</c:v>
                </c:pt>
                <c:pt idx="9">
                  <c:v>210</c:v>
                </c:pt>
                <c:pt idx="10">
                  <c:v>260</c:v>
                </c:pt>
                <c:pt idx="11">
                  <c:v>290</c:v>
                </c:pt>
                <c:pt idx="12">
                  <c:v>300</c:v>
                </c:pt>
                <c:pt idx="13">
                  <c:v>305</c:v>
                </c:pt>
                <c:pt idx="14">
                  <c:v>335</c:v>
                </c:pt>
                <c:pt idx="15">
                  <c:v>365</c:v>
                </c:pt>
                <c:pt idx="16">
                  <c:v>400</c:v>
                </c:pt>
                <c:pt idx="17">
                  <c:v>425</c:v>
                </c:pt>
                <c:pt idx="18">
                  <c:v>475</c:v>
                </c:pt>
              </c:numCache>
            </c:numRef>
          </c:xVal>
          <c:yVal>
            <c:numRef>
              <c:f>analysis!$GX$68:$GX$98</c:f>
              <c:numCache>
                <c:formatCode>0.0E+00</c:formatCode>
                <c:ptCount val="31"/>
                <c:pt idx="0">
                  <c:v>3.1471187248826001E-3</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yVal>
          <c:smooth val="0"/>
          <c:extLst>
            <c:ext xmlns:c16="http://schemas.microsoft.com/office/drawing/2014/chart" uri="{C3380CC4-5D6E-409C-BE32-E72D297353CC}">
              <c16:uniqueId val="{00000003-F395-3547-8F32-647061342EE2}"/>
            </c:ext>
          </c:extLst>
        </c:ser>
        <c:ser>
          <c:idx val="10"/>
          <c:order val="4"/>
          <c:tx>
            <c:strRef>
              <c:f>analysis!$GY$67</c:f>
              <c:strCache>
                <c:ptCount val="1"/>
                <c:pt idx="0">
                  <c:v>CCStim</c:v>
                </c:pt>
              </c:strCache>
            </c:strRef>
          </c:tx>
          <c:spPr>
            <a:ln w="254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analysis!$GN$68:$GN$98</c:f>
              <c:numCache>
                <c:formatCode>General</c:formatCode>
                <c:ptCount val="31"/>
                <c:pt idx="0">
                  <c:v>5</c:v>
                </c:pt>
                <c:pt idx="1">
                  <c:v>20</c:v>
                </c:pt>
                <c:pt idx="2">
                  <c:v>35</c:v>
                </c:pt>
                <c:pt idx="3">
                  <c:v>50</c:v>
                </c:pt>
                <c:pt idx="4">
                  <c:v>65</c:v>
                </c:pt>
                <c:pt idx="5">
                  <c:v>80</c:v>
                </c:pt>
                <c:pt idx="6">
                  <c:v>105</c:v>
                </c:pt>
                <c:pt idx="7">
                  <c:v>150</c:v>
                </c:pt>
                <c:pt idx="8">
                  <c:v>155</c:v>
                </c:pt>
                <c:pt idx="9">
                  <c:v>210</c:v>
                </c:pt>
                <c:pt idx="10">
                  <c:v>260</c:v>
                </c:pt>
                <c:pt idx="11">
                  <c:v>290</c:v>
                </c:pt>
                <c:pt idx="12">
                  <c:v>300</c:v>
                </c:pt>
                <c:pt idx="13">
                  <c:v>305</c:v>
                </c:pt>
                <c:pt idx="14">
                  <c:v>335</c:v>
                </c:pt>
                <c:pt idx="15">
                  <c:v>365</c:v>
                </c:pt>
                <c:pt idx="16">
                  <c:v>400</c:v>
                </c:pt>
                <c:pt idx="17">
                  <c:v>425</c:v>
                </c:pt>
                <c:pt idx="18">
                  <c:v>475</c:v>
                </c:pt>
              </c:numCache>
            </c:numRef>
          </c:xVal>
          <c:yVal>
            <c:numRef>
              <c:f>analysis!$GY$68:$GY$98</c:f>
              <c:numCache>
                <c:formatCode>0.0E+00</c:formatCode>
                <c:ptCount val="31"/>
                <c:pt idx="0">
                  <c:v>2.6863859966397199E-3</c:v>
                </c:pt>
                <c:pt idx="1">
                  <c:v>3.9133531972765897E-3</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yVal>
          <c:smooth val="0"/>
          <c:extLst>
            <c:ext xmlns:c16="http://schemas.microsoft.com/office/drawing/2014/chart" uri="{C3380CC4-5D6E-409C-BE32-E72D297353CC}">
              <c16:uniqueId val="{00000004-F395-3547-8F32-647061342EE2}"/>
            </c:ext>
          </c:extLst>
        </c:ser>
        <c:ser>
          <c:idx val="11"/>
          <c:order val="5"/>
          <c:tx>
            <c:strRef>
              <c:f>analysis!$GZ$67</c:f>
              <c:strCache>
                <c:ptCount val="1"/>
                <c:pt idx="0">
                  <c:v>UEStim</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analysis!$GN$68:$GN$98</c:f>
              <c:numCache>
                <c:formatCode>General</c:formatCode>
                <c:ptCount val="31"/>
                <c:pt idx="0">
                  <c:v>5</c:v>
                </c:pt>
                <c:pt idx="1">
                  <c:v>20</c:v>
                </c:pt>
                <c:pt idx="2">
                  <c:v>35</c:v>
                </c:pt>
                <c:pt idx="3">
                  <c:v>50</c:v>
                </c:pt>
                <c:pt idx="4">
                  <c:v>65</c:v>
                </c:pt>
                <c:pt idx="5">
                  <c:v>80</c:v>
                </c:pt>
                <c:pt idx="6">
                  <c:v>105</c:v>
                </c:pt>
                <c:pt idx="7">
                  <c:v>150</c:v>
                </c:pt>
                <c:pt idx="8">
                  <c:v>155</c:v>
                </c:pt>
                <c:pt idx="9">
                  <c:v>210</c:v>
                </c:pt>
                <c:pt idx="10">
                  <c:v>260</c:v>
                </c:pt>
                <c:pt idx="11">
                  <c:v>290</c:v>
                </c:pt>
                <c:pt idx="12">
                  <c:v>300</c:v>
                </c:pt>
                <c:pt idx="13">
                  <c:v>305</c:v>
                </c:pt>
                <c:pt idx="14">
                  <c:v>335</c:v>
                </c:pt>
                <c:pt idx="15">
                  <c:v>365</c:v>
                </c:pt>
                <c:pt idx="16">
                  <c:v>400</c:v>
                </c:pt>
                <c:pt idx="17">
                  <c:v>425</c:v>
                </c:pt>
                <c:pt idx="18">
                  <c:v>475</c:v>
                </c:pt>
              </c:numCache>
            </c:numRef>
          </c:xVal>
          <c:yVal>
            <c:numRef>
              <c:f>analysis!$GZ$68:$GZ$98</c:f>
              <c:numCache>
                <c:formatCode>0.0E+00</c:formatCode>
                <c:ptCount val="31"/>
                <c:pt idx="0">
                  <c:v>1.375527586787935E-3</c:v>
                </c:pt>
                <c:pt idx="1">
                  <c:v>2.0801536738872502E-3</c:v>
                </c:pt>
                <c:pt idx="2">
                  <c:v>5.3682611323893001E-3</c:v>
                </c:pt>
                <c:pt idx="3">
                  <c:v>4.5777728315442801E-2</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yVal>
          <c:smooth val="0"/>
          <c:extLst>
            <c:ext xmlns:c16="http://schemas.microsoft.com/office/drawing/2014/chart" uri="{C3380CC4-5D6E-409C-BE32-E72D297353CC}">
              <c16:uniqueId val="{00000005-F395-3547-8F32-647061342EE2}"/>
            </c:ext>
          </c:extLst>
        </c:ser>
        <c:dLbls>
          <c:showLegendKey val="0"/>
          <c:showVal val="0"/>
          <c:showCatName val="0"/>
          <c:showSerName val="0"/>
          <c:showPercent val="0"/>
          <c:showBubbleSize val="0"/>
        </c:dLbls>
        <c:axId val="1782197904"/>
        <c:axId val="1782199616"/>
      </c:scatterChart>
      <c:valAx>
        <c:axId val="1782197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9616"/>
        <c:crossesAt val="1E-8"/>
        <c:crossBetween val="midCat"/>
      </c:valAx>
      <c:valAx>
        <c:axId val="178219961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a:t>
                </a:r>
                <a:r>
                  <a:rPr lang="en-GB" sz="1200" baseline="0"/>
                  <a:t> Time (sec)</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7904"/>
        <c:crossesAt val="0"/>
        <c:crossBetween val="midCat"/>
      </c:valAx>
      <c:spPr>
        <a:noFill/>
        <a:ln>
          <a:noFill/>
        </a:ln>
        <a:effectLst/>
      </c:spPr>
    </c:plotArea>
    <c:legend>
      <c:legendPos val="r"/>
      <c:layout>
        <c:manualLayout>
          <c:xMode val="edge"/>
          <c:yMode val="edge"/>
          <c:x val="0.24858814523184602"/>
          <c:y val="5.8375710848643916E-2"/>
          <c:w val="0.22290573053368329"/>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analysis!$HI$67</c:f>
              <c:strCache>
                <c:ptCount val="1"/>
                <c:pt idx="0">
                  <c:v>QDistRndMW</c:v>
                </c:pt>
              </c:strCache>
            </c:strRef>
          </c:tx>
          <c:spPr>
            <a:ln w="38100" cap="rnd">
              <a:noFill/>
              <a:round/>
            </a:ln>
            <a:effectLst/>
          </c:spPr>
          <c:marker>
            <c:symbol val="plus"/>
            <c:size val="5"/>
            <c:spPr>
              <a:noFill/>
              <a:ln w="9525">
                <a:solidFill>
                  <a:schemeClr val="accent1">
                    <a:lumMod val="60000"/>
                  </a:schemeClr>
                </a:solidFill>
              </a:ln>
              <a:effectLst/>
            </c:spPr>
          </c:marker>
          <c:xVal>
            <c:numRef>
              <c:f>analysis!$HB$68:$HB$98</c:f>
              <c:numCache>
                <c:formatCode>General</c:formatCode>
                <c:ptCount val="31"/>
                <c:pt idx="0">
                  <c:v>5</c:v>
                </c:pt>
                <c:pt idx="1">
                  <c:v>20</c:v>
                </c:pt>
                <c:pt idx="2">
                  <c:v>35</c:v>
                </c:pt>
                <c:pt idx="3">
                  <c:v>50</c:v>
                </c:pt>
                <c:pt idx="4">
                  <c:v>65</c:v>
                </c:pt>
                <c:pt idx="5">
                  <c:v>80</c:v>
                </c:pt>
                <c:pt idx="6">
                  <c:v>105</c:v>
                </c:pt>
                <c:pt idx="7">
                  <c:v>150</c:v>
                </c:pt>
                <c:pt idx="8">
                  <c:v>155</c:v>
                </c:pt>
                <c:pt idx="9">
                  <c:v>210</c:v>
                </c:pt>
                <c:pt idx="10">
                  <c:v>260</c:v>
                </c:pt>
                <c:pt idx="11">
                  <c:v>290</c:v>
                </c:pt>
                <c:pt idx="12">
                  <c:v>300</c:v>
                </c:pt>
                <c:pt idx="13">
                  <c:v>305</c:v>
                </c:pt>
                <c:pt idx="14">
                  <c:v>335</c:v>
                </c:pt>
                <c:pt idx="15">
                  <c:v>365</c:v>
                </c:pt>
                <c:pt idx="16">
                  <c:v>400</c:v>
                </c:pt>
                <c:pt idx="17">
                  <c:v>425</c:v>
                </c:pt>
                <c:pt idx="18">
                  <c:v>475</c:v>
                </c:pt>
              </c:numCache>
            </c:numRef>
          </c:xVal>
          <c:yVal>
            <c:numRef>
              <c:f>analysis!$HI$68:$HI$98</c:f>
              <c:numCache>
                <c:formatCode>0.0%</c:formatCode>
                <c:ptCount val="31"/>
                <c:pt idx="0">
                  <c:v>1</c:v>
                </c:pt>
                <c:pt idx="1">
                  <c:v>0.95730000000000004</c:v>
                </c:pt>
                <c:pt idx="2">
                  <c:v>0.60940000000000005</c:v>
                </c:pt>
                <c:pt idx="3">
                  <c:v>0.96730000000000005</c:v>
                </c:pt>
                <c:pt idx="4">
                  <c:v>0.64780000000000004</c:v>
                </c:pt>
                <c:pt idx="5">
                  <c:v>0.36270000000000002</c:v>
                </c:pt>
                <c:pt idx="6">
                  <c:v>0.4677</c:v>
                </c:pt>
                <c:pt idx="7">
                  <c:v>0.1162</c:v>
                </c:pt>
                <c:pt idx="8">
                  <c:v>0.1205</c:v>
                </c:pt>
                <c:pt idx="9">
                  <c:v>2.07E-2</c:v>
                </c:pt>
                <c:pt idx="10">
                  <c:v>7.0000000000000001E-3</c:v>
                </c:pt>
                <c:pt idx="11">
                  <c:v>1.2999999999999999E-2</c:v>
                </c:pt>
                <c:pt idx="12">
                  <c:v>2.5899999999999999E-2</c:v>
                </c:pt>
                <c:pt idx="13">
                  <c:v>9.7000000000000003E-3</c:v>
                </c:pt>
                <c:pt idx="14">
                  <c:v>9.7999999999999997E-3</c:v>
                </c:pt>
                <c:pt idx="15">
                  <c:v>1.0699999999999999E-2</c:v>
                </c:pt>
                <c:pt idx="16">
                  <c:v>1.3599999999999999E-2</c:v>
                </c:pt>
                <c:pt idx="17">
                  <c:v>1.41E-2</c:v>
                </c:pt>
                <c:pt idx="18">
                  <c:v>1.7000000000000001E-2</c:v>
                </c:pt>
              </c:numCache>
            </c:numRef>
          </c:yVal>
          <c:smooth val="0"/>
          <c:extLst>
            <c:ext xmlns:c16="http://schemas.microsoft.com/office/drawing/2014/chart" uri="{C3380CC4-5D6E-409C-BE32-E72D297353CC}">
              <c16:uniqueId val="{00000000-F671-EC41-B0EF-6F45E79F8882}"/>
            </c:ext>
          </c:extLst>
        </c:ser>
        <c:ser>
          <c:idx val="7"/>
          <c:order val="1"/>
          <c:tx>
            <c:strRef>
              <c:f>analysis!$HJ$67</c:f>
              <c:strCache>
                <c:ptCount val="1"/>
                <c:pt idx="0">
                  <c:v>QDistEvol</c:v>
                </c:pt>
              </c:strCache>
            </c:strRef>
          </c:tx>
          <c:spPr>
            <a:ln w="381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analysis!$HB$68:$HB$98</c:f>
              <c:numCache>
                <c:formatCode>General</c:formatCode>
                <c:ptCount val="31"/>
                <c:pt idx="0">
                  <c:v>5</c:v>
                </c:pt>
                <c:pt idx="1">
                  <c:v>20</c:v>
                </c:pt>
                <c:pt idx="2">
                  <c:v>35</c:v>
                </c:pt>
                <c:pt idx="3">
                  <c:v>50</c:v>
                </c:pt>
                <c:pt idx="4">
                  <c:v>65</c:v>
                </c:pt>
                <c:pt idx="5">
                  <c:v>80</c:v>
                </c:pt>
                <c:pt idx="6">
                  <c:v>105</c:v>
                </c:pt>
                <c:pt idx="7">
                  <c:v>150</c:v>
                </c:pt>
                <c:pt idx="8">
                  <c:v>155</c:v>
                </c:pt>
                <c:pt idx="9">
                  <c:v>210</c:v>
                </c:pt>
                <c:pt idx="10">
                  <c:v>260</c:v>
                </c:pt>
                <c:pt idx="11">
                  <c:v>290</c:v>
                </c:pt>
                <c:pt idx="12">
                  <c:v>300</c:v>
                </c:pt>
                <c:pt idx="13">
                  <c:v>305</c:v>
                </c:pt>
                <c:pt idx="14">
                  <c:v>335</c:v>
                </c:pt>
                <c:pt idx="15">
                  <c:v>365</c:v>
                </c:pt>
                <c:pt idx="16">
                  <c:v>400</c:v>
                </c:pt>
                <c:pt idx="17">
                  <c:v>425</c:v>
                </c:pt>
                <c:pt idx="18">
                  <c:v>475</c:v>
                </c:pt>
              </c:numCache>
            </c:numRef>
          </c:xVal>
          <c:yVal>
            <c:numRef>
              <c:f>analysis!$HJ$68:$HJ$98</c:f>
              <c:numCache>
                <c:formatCode>0.0%</c:formatCode>
                <c:ptCount val="31"/>
                <c:pt idx="0">
                  <c:v>1</c:v>
                </c:pt>
                <c:pt idx="1">
                  <c:v>0.99960000000000004</c:v>
                </c:pt>
                <c:pt idx="2">
                  <c:v>0.99180000000000001</c:v>
                </c:pt>
                <c:pt idx="3">
                  <c:v>0.99950000000000006</c:v>
                </c:pt>
                <c:pt idx="4">
                  <c:v>0.99019999999999997</c:v>
                </c:pt>
                <c:pt idx="5">
                  <c:v>0.92169999999999996</c:v>
                </c:pt>
                <c:pt idx="6">
                  <c:v>0.8881</c:v>
                </c:pt>
                <c:pt idx="7">
                  <c:v>0.77310000000000001</c:v>
                </c:pt>
                <c:pt idx="8">
                  <c:v>0.70509999999999995</c:v>
                </c:pt>
                <c:pt idx="9">
                  <c:v>0.54049999999999998</c:v>
                </c:pt>
                <c:pt idx="10">
                  <c:v>0.47260000000000002</c:v>
                </c:pt>
                <c:pt idx="11">
                  <c:v>0.55549999999999999</c:v>
                </c:pt>
                <c:pt idx="12">
                  <c:v>0.61339999999999995</c:v>
                </c:pt>
                <c:pt idx="13">
                  <c:v>0.5383</c:v>
                </c:pt>
                <c:pt idx="14">
                  <c:v>0.50490000000000002</c:v>
                </c:pt>
                <c:pt idx="15">
                  <c:v>0.51700000000000002</c:v>
                </c:pt>
                <c:pt idx="16">
                  <c:v>0.54349999999999998</c:v>
                </c:pt>
                <c:pt idx="17">
                  <c:v>0.55740000000000001</c:v>
                </c:pt>
                <c:pt idx="18">
                  <c:v>0.55110000000000003</c:v>
                </c:pt>
              </c:numCache>
            </c:numRef>
          </c:yVal>
          <c:smooth val="0"/>
          <c:extLst>
            <c:ext xmlns:c16="http://schemas.microsoft.com/office/drawing/2014/chart" uri="{C3380CC4-5D6E-409C-BE32-E72D297353CC}">
              <c16:uniqueId val="{00000001-F671-EC41-B0EF-6F45E79F8882}"/>
            </c:ext>
          </c:extLst>
        </c:ser>
        <c:ser>
          <c:idx val="8"/>
          <c:order val="2"/>
          <c:tx>
            <c:strRef>
              <c:f>analysis!$HK$67</c:f>
              <c:strCache>
                <c:ptCount val="1"/>
                <c:pt idx="0">
                  <c:v>bposd</c:v>
                </c:pt>
              </c:strCache>
            </c:strRef>
          </c:tx>
          <c:spPr>
            <a:ln w="381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analysis!$HB$68:$HB$98</c:f>
              <c:numCache>
                <c:formatCode>General</c:formatCode>
                <c:ptCount val="31"/>
                <c:pt idx="0">
                  <c:v>5</c:v>
                </c:pt>
                <c:pt idx="1">
                  <c:v>20</c:v>
                </c:pt>
                <c:pt idx="2">
                  <c:v>35</c:v>
                </c:pt>
                <c:pt idx="3">
                  <c:v>50</c:v>
                </c:pt>
                <c:pt idx="4">
                  <c:v>65</c:v>
                </c:pt>
                <c:pt idx="5">
                  <c:v>80</c:v>
                </c:pt>
                <c:pt idx="6">
                  <c:v>105</c:v>
                </c:pt>
                <c:pt idx="7">
                  <c:v>150</c:v>
                </c:pt>
                <c:pt idx="8">
                  <c:v>155</c:v>
                </c:pt>
                <c:pt idx="9">
                  <c:v>210</c:v>
                </c:pt>
                <c:pt idx="10">
                  <c:v>260</c:v>
                </c:pt>
                <c:pt idx="11">
                  <c:v>290</c:v>
                </c:pt>
                <c:pt idx="12">
                  <c:v>300</c:v>
                </c:pt>
                <c:pt idx="13">
                  <c:v>305</c:v>
                </c:pt>
                <c:pt idx="14">
                  <c:v>335</c:v>
                </c:pt>
                <c:pt idx="15">
                  <c:v>365</c:v>
                </c:pt>
                <c:pt idx="16">
                  <c:v>400</c:v>
                </c:pt>
                <c:pt idx="17">
                  <c:v>425</c:v>
                </c:pt>
                <c:pt idx="18">
                  <c:v>475</c:v>
                </c:pt>
              </c:numCache>
            </c:numRef>
          </c:xVal>
          <c:yVal>
            <c:numRef>
              <c:f>analysis!$HK$68:$HK$98</c:f>
              <c:numCache>
                <c:formatCode>0.0%</c:formatCode>
                <c:ptCount val="31"/>
                <c:pt idx="0">
                  <c:v>1</c:v>
                </c:pt>
                <c:pt idx="1">
                  <c:v>0.88070000000000004</c:v>
                </c:pt>
                <c:pt idx="2">
                  <c:v>0.3589</c:v>
                </c:pt>
                <c:pt idx="3">
                  <c:v>0.60219999999999996</c:v>
                </c:pt>
                <c:pt idx="4">
                  <c:v>0.4672</c:v>
                </c:pt>
                <c:pt idx="5">
                  <c:v>0.25990000000000002</c:v>
                </c:pt>
                <c:pt idx="6">
                  <c:v>0.27279999999999999</c:v>
                </c:pt>
                <c:pt idx="7">
                  <c:v>5.62E-2</c:v>
                </c:pt>
                <c:pt idx="8">
                  <c:v>7.7399999999999997E-2</c:v>
                </c:pt>
                <c:pt idx="9">
                  <c:v>1.1599999999999999E-2</c:v>
                </c:pt>
                <c:pt idx="10">
                  <c:v>3.8E-3</c:v>
                </c:pt>
                <c:pt idx="11">
                  <c:v>5.7999999999999996E-3</c:v>
                </c:pt>
                <c:pt idx="12">
                  <c:v>9.7999999999999997E-3</c:v>
                </c:pt>
                <c:pt idx="13">
                  <c:v>5.4999999999999997E-3</c:v>
                </c:pt>
                <c:pt idx="14">
                  <c:v>4.4000000000000003E-3</c:v>
                </c:pt>
                <c:pt idx="15">
                  <c:v>5.3E-3</c:v>
                </c:pt>
                <c:pt idx="16">
                  <c:v>5.7000000000000002E-3</c:v>
                </c:pt>
                <c:pt idx="17">
                  <c:v>4.7000000000000002E-3</c:v>
                </c:pt>
                <c:pt idx="18">
                  <c:v>8.5000000000000006E-3</c:v>
                </c:pt>
              </c:numCache>
            </c:numRef>
          </c:yVal>
          <c:smooth val="0"/>
          <c:extLst>
            <c:ext xmlns:c16="http://schemas.microsoft.com/office/drawing/2014/chart" uri="{C3380CC4-5D6E-409C-BE32-E72D297353CC}">
              <c16:uniqueId val="{00000002-F671-EC41-B0EF-6F45E79F8882}"/>
            </c:ext>
          </c:extLst>
        </c:ser>
        <c:ser>
          <c:idx val="9"/>
          <c:order val="3"/>
          <c:tx>
            <c:strRef>
              <c:f>analysis!$HL$67</c:f>
              <c:strCache>
                <c:ptCount val="1"/>
                <c:pt idx="0">
                  <c:v>GEStim</c:v>
                </c:pt>
              </c:strCache>
            </c:strRef>
          </c:tx>
          <c:spPr>
            <a:ln w="38100" cap="rnd">
              <a:noFill/>
              <a:round/>
            </a:ln>
            <a:effectLst/>
          </c:spPr>
          <c:marker>
            <c:symbol val="x"/>
            <c:size val="5"/>
            <c:spPr>
              <a:noFill/>
              <a:ln w="9525">
                <a:solidFill>
                  <a:schemeClr val="accent4">
                    <a:lumMod val="60000"/>
                  </a:schemeClr>
                </a:solidFill>
              </a:ln>
              <a:effectLst/>
            </c:spPr>
          </c:marker>
          <c:xVal>
            <c:numRef>
              <c:f>analysis!$HB$68:$HB$98</c:f>
              <c:numCache>
                <c:formatCode>General</c:formatCode>
                <c:ptCount val="31"/>
                <c:pt idx="0">
                  <c:v>5</c:v>
                </c:pt>
                <c:pt idx="1">
                  <c:v>20</c:v>
                </c:pt>
                <c:pt idx="2">
                  <c:v>35</c:v>
                </c:pt>
                <c:pt idx="3">
                  <c:v>50</c:v>
                </c:pt>
                <c:pt idx="4">
                  <c:v>65</c:v>
                </c:pt>
                <c:pt idx="5">
                  <c:v>80</c:v>
                </c:pt>
                <c:pt idx="6">
                  <c:v>105</c:v>
                </c:pt>
                <c:pt idx="7">
                  <c:v>150</c:v>
                </c:pt>
                <c:pt idx="8">
                  <c:v>155</c:v>
                </c:pt>
                <c:pt idx="9">
                  <c:v>210</c:v>
                </c:pt>
                <c:pt idx="10">
                  <c:v>260</c:v>
                </c:pt>
                <c:pt idx="11">
                  <c:v>290</c:v>
                </c:pt>
                <c:pt idx="12">
                  <c:v>300</c:v>
                </c:pt>
                <c:pt idx="13">
                  <c:v>305</c:v>
                </c:pt>
                <c:pt idx="14">
                  <c:v>335</c:v>
                </c:pt>
                <c:pt idx="15">
                  <c:v>365</c:v>
                </c:pt>
                <c:pt idx="16">
                  <c:v>400</c:v>
                </c:pt>
                <c:pt idx="17">
                  <c:v>425</c:v>
                </c:pt>
                <c:pt idx="18">
                  <c:v>475</c:v>
                </c:pt>
              </c:numCache>
            </c:numRef>
          </c:xVal>
          <c:yVal>
            <c:numRef>
              <c:f>analysis!$HL$68:$HL$98</c:f>
              <c:numCache>
                <c:formatCode>0.0%</c:formatCode>
                <c:ptCount val="31"/>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0"/>
          <c:extLst>
            <c:ext xmlns:c16="http://schemas.microsoft.com/office/drawing/2014/chart" uri="{C3380CC4-5D6E-409C-BE32-E72D297353CC}">
              <c16:uniqueId val="{00000003-F671-EC41-B0EF-6F45E79F8882}"/>
            </c:ext>
          </c:extLst>
        </c:ser>
        <c:ser>
          <c:idx val="10"/>
          <c:order val="4"/>
          <c:tx>
            <c:strRef>
              <c:f>analysis!$HM$67</c:f>
              <c:strCache>
                <c:ptCount val="1"/>
                <c:pt idx="0">
                  <c:v>CCStim</c:v>
                </c:pt>
              </c:strCache>
            </c:strRef>
          </c:tx>
          <c:spPr>
            <a:ln w="381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analysis!$HB$68:$HB$98</c:f>
              <c:numCache>
                <c:formatCode>General</c:formatCode>
                <c:ptCount val="31"/>
                <c:pt idx="0">
                  <c:v>5</c:v>
                </c:pt>
                <c:pt idx="1">
                  <c:v>20</c:v>
                </c:pt>
                <c:pt idx="2">
                  <c:v>35</c:v>
                </c:pt>
                <c:pt idx="3">
                  <c:v>50</c:v>
                </c:pt>
                <c:pt idx="4">
                  <c:v>65</c:v>
                </c:pt>
                <c:pt idx="5">
                  <c:v>80</c:v>
                </c:pt>
                <c:pt idx="6">
                  <c:v>105</c:v>
                </c:pt>
                <c:pt idx="7">
                  <c:v>150</c:v>
                </c:pt>
                <c:pt idx="8">
                  <c:v>155</c:v>
                </c:pt>
                <c:pt idx="9">
                  <c:v>210</c:v>
                </c:pt>
                <c:pt idx="10">
                  <c:v>260</c:v>
                </c:pt>
                <c:pt idx="11">
                  <c:v>290</c:v>
                </c:pt>
                <c:pt idx="12">
                  <c:v>300</c:v>
                </c:pt>
                <c:pt idx="13">
                  <c:v>305</c:v>
                </c:pt>
                <c:pt idx="14">
                  <c:v>335</c:v>
                </c:pt>
                <c:pt idx="15">
                  <c:v>365</c:v>
                </c:pt>
                <c:pt idx="16">
                  <c:v>400</c:v>
                </c:pt>
                <c:pt idx="17">
                  <c:v>425</c:v>
                </c:pt>
                <c:pt idx="18">
                  <c:v>475</c:v>
                </c:pt>
              </c:numCache>
            </c:numRef>
          </c:xVal>
          <c:yVal>
            <c:numRef>
              <c:f>analysis!$HM$68:$HM$98</c:f>
              <c:numCache>
                <c:formatCode>0.0%</c:formatCode>
                <c:ptCount val="31"/>
                <c:pt idx="0">
                  <c:v>1</c:v>
                </c:pt>
                <c:pt idx="1">
                  <c:v>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0"/>
          <c:extLst>
            <c:ext xmlns:c16="http://schemas.microsoft.com/office/drawing/2014/chart" uri="{C3380CC4-5D6E-409C-BE32-E72D297353CC}">
              <c16:uniqueId val="{00000004-F671-EC41-B0EF-6F45E79F8882}"/>
            </c:ext>
          </c:extLst>
        </c:ser>
        <c:ser>
          <c:idx val="11"/>
          <c:order val="5"/>
          <c:tx>
            <c:strRef>
              <c:f>analysis!$HN$67</c:f>
              <c:strCache>
                <c:ptCount val="1"/>
                <c:pt idx="0">
                  <c:v>UEStim</c:v>
                </c:pt>
              </c:strCache>
            </c:strRef>
          </c:tx>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analysis!$HB$68:$HB$98</c:f>
              <c:numCache>
                <c:formatCode>General</c:formatCode>
                <c:ptCount val="31"/>
                <c:pt idx="0">
                  <c:v>5</c:v>
                </c:pt>
                <c:pt idx="1">
                  <c:v>20</c:v>
                </c:pt>
                <c:pt idx="2">
                  <c:v>35</c:v>
                </c:pt>
                <c:pt idx="3">
                  <c:v>50</c:v>
                </c:pt>
                <c:pt idx="4">
                  <c:v>65</c:v>
                </c:pt>
                <c:pt idx="5">
                  <c:v>80</c:v>
                </c:pt>
                <c:pt idx="6">
                  <c:v>105</c:v>
                </c:pt>
                <c:pt idx="7">
                  <c:v>150</c:v>
                </c:pt>
                <c:pt idx="8">
                  <c:v>155</c:v>
                </c:pt>
                <c:pt idx="9">
                  <c:v>210</c:v>
                </c:pt>
                <c:pt idx="10">
                  <c:v>260</c:v>
                </c:pt>
                <c:pt idx="11">
                  <c:v>290</c:v>
                </c:pt>
                <c:pt idx="12">
                  <c:v>300</c:v>
                </c:pt>
                <c:pt idx="13">
                  <c:v>305</c:v>
                </c:pt>
                <c:pt idx="14">
                  <c:v>335</c:v>
                </c:pt>
                <c:pt idx="15">
                  <c:v>365</c:v>
                </c:pt>
                <c:pt idx="16">
                  <c:v>400</c:v>
                </c:pt>
                <c:pt idx="17">
                  <c:v>425</c:v>
                </c:pt>
                <c:pt idx="18">
                  <c:v>475</c:v>
                </c:pt>
              </c:numCache>
            </c:numRef>
          </c:xVal>
          <c:yVal>
            <c:numRef>
              <c:f>analysis!$HN$68:$HN$98</c:f>
              <c:numCache>
                <c:formatCode>0.0%</c:formatCode>
                <c:ptCount val="31"/>
                <c:pt idx="0">
                  <c:v>1</c:v>
                </c:pt>
                <c:pt idx="1">
                  <c:v>1</c:v>
                </c:pt>
                <c:pt idx="2">
                  <c:v>0.33333333333333331</c:v>
                </c:pt>
                <c:pt idx="3">
                  <c:v>0.22222222222222221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0"/>
          <c:extLst>
            <c:ext xmlns:c16="http://schemas.microsoft.com/office/drawing/2014/chart" uri="{C3380CC4-5D6E-409C-BE32-E72D297353CC}">
              <c16:uniqueId val="{00000005-F671-EC41-B0EF-6F45E79F8882}"/>
            </c:ext>
          </c:extLst>
        </c:ser>
        <c:dLbls>
          <c:showLegendKey val="0"/>
          <c:showVal val="0"/>
          <c:showCatName val="0"/>
          <c:showSerName val="0"/>
          <c:showPercent val="0"/>
          <c:showBubbleSize val="0"/>
        </c:dLbls>
        <c:axId val="924521264"/>
        <c:axId val="924522976"/>
      </c:scatterChart>
      <c:valAx>
        <c:axId val="9245212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i="0" u="none" strike="noStrike" kern="1200" baseline="0">
                    <a:solidFill>
                      <a:sysClr val="windowText" lastClr="000000">
                        <a:lumMod val="65000"/>
                        <a:lumOff val="35000"/>
                      </a:sysClr>
                    </a:solidFill>
                  </a:rPr>
                  <a:t>Code length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22976"/>
        <c:crosses val="autoZero"/>
        <c:crossBetween val="midCat"/>
      </c:valAx>
      <c:valAx>
        <c:axId val="924522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Success Rate per Trial</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21264"/>
        <c:crosses val="autoZero"/>
        <c:crossBetween val="midCat"/>
      </c:valAx>
      <c:spPr>
        <a:noFill/>
        <a:ln>
          <a:noFill/>
        </a:ln>
        <a:effectLst/>
      </c:spPr>
    </c:plotArea>
    <c:legend>
      <c:legendPos val="t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analysis!$GG$67</c:f>
              <c:strCache>
                <c:ptCount val="1"/>
                <c:pt idx="0">
                  <c:v>QDistRndMW</c:v>
                </c:pt>
              </c:strCache>
            </c:strRef>
          </c:tx>
          <c:spPr>
            <a:ln w="38100" cap="rnd">
              <a:noFill/>
              <a:round/>
            </a:ln>
            <a:effectLst/>
          </c:spPr>
          <c:marker>
            <c:symbol val="plus"/>
            <c:size val="5"/>
            <c:spPr>
              <a:noFill/>
              <a:ln w="9525">
                <a:solidFill>
                  <a:schemeClr val="accent1">
                    <a:lumMod val="60000"/>
                  </a:schemeClr>
                </a:solidFill>
              </a:ln>
              <a:effectLst/>
            </c:spPr>
          </c:marker>
          <c:xVal>
            <c:numRef>
              <c:f>analysis!$FZ$68:$FZ$98</c:f>
              <c:numCache>
                <c:formatCode>General</c:formatCode>
                <c:ptCount val="31"/>
                <c:pt idx="0">
                  <c:v>5</c:v>
                </c:pt>
                <c:pt idx="1">
                  <c:v>20</c:v>
                </c:pt>
                <c:pt idx="2">
                  <c:v>35</c:v>
                </c:pt>
                <c:pt idx="3">
                  <c:v>50</c:v>
                </c:pt>
                <c:pt idx="4">
                  <c:v>65</c:v>
                </c:pt>
                <c:pt idx="5">
                  <c:v>80</c:v>
                </c:pt>
                <c:pt idx="6">
                  <c:v>105</c:v>
                </c:pt>
                <c:pt idx="7">
                  <c:v>150</c:v>
                </c:pt>
                <c:pt idx="8">
                  <c:v>155</c:v>
                </c:pt>
                <c:pt idx="9">
                  <c:v>210</c:v>
                </c:pt>
                <c:pt idx="10">
                  <c:v>260</c:v>
                </c:pt>
                <c:pt idx="11">
                  <c:v>290</c:v>
                </c:pt>
                <c:pt idx="12">
                  <c:v>300</c:v>
                </c:pt>
                <c:pt idx="13">
                  <c:v>305</c:v>
                </c:pt>
                <c:pt idx="14">
                  <c:v>335</c:v>
                </c:pt>
                <c:pt idx="15">
                  <c:v>365</c:v>
                </c:pt>
                <c:pt idx="16">
                  <c:v>400</c:v>
                </c:pt>
                <c:pt idx="17">
                  <c:v>425</c:v>
                </c:pt>
                <c:pt idx="18">
                  <c:v>475</c:v>
                </c:pt>
              </c:numCache>
            </c:numRef>
          </c:xVal>
          <c:yVal>
            <c:numRef>
              <c:f>analysis!$GG$68:$GG$98</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0"/>
          <c:extLst>
            <c:ext xmlns:c16="http://schemas.microsoft.com/office/drawing/2014/chart" uri="{C3380CC4-5D6E-409C-BE32-E72D297353CC}">
              <c16:uniqueId val="{00000000-496B-0F45-B6FA-BF0FE17DDC9F}"/>
            </c:ext>
          </c:extLst>
        </c:ser>
        <c:ser>
          <c:idx val="7"/>
          <c:order val="1"/>
          <c:tx>
            <c:strRef>
              <c:f>analysis!$GH$67</c:f>
              <c:strCache>
                <c:ptCount val="1"/>
                <c:pt idx="0">
                  <c:v>QDistEvol</c:v>
                </c:pt>
              </c:strCache>
            </c:strRef>
          </c:tx>
          <c:spPr>
            <a:ln w="381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analysis!$FZ$68:$FZ$98</c:f>
              <c:numCache>
                <c:formatCode>General</c:formatCode>
                <c:ptCount val="31"/>
                <c:pt idx="0">
                  <c:v>5</c:v>
                </c:pt>
                <c:pt idx="1">
                  <c:v>20</c:v>
                </c:pt>
                <c:pt idx="2">
                  <c:v>35</c:v>
                </c:pt>
                <c:pt idx="3">
                  <c:v>50</c:v>
                </c:pt>
                <c:pt idx="4">
                  <c:v>65</c:v>
                </c:pt>
                <c:pt idx="5">
                  <c:v>80</c:v>
                </c:pt>
                <c:pt idx="6">
                  <c:v>105</c:v>
                </c:pt>
                <c:pt idx="7">
                  <c:v>150</c:v>
                </c:pt>
                <c:pt idx="8">
                  <c:v>155</c:v>
                </c:pt>
                <c:pt idx="9">
                  <c:v>210</c:v>
                </c:pt>
                <c:pt idx="10">
                  <c:v>260</c:v>
                </c:pt>
                <c:pt idx="11">
                  <c:v>290</c:v>
                </c:pt>
                <c:pt idx="12">
                  <c:v>300</c:v>
                </c:pt>
                <c:pt idx="13">
                  <c:v>305</c:v>
                </c:pt>
                <c:pt idx="14">
                  <c:v>335</c:v>
                </c:pt>
                <c:pt idx="15">
                  <c:v>365</c:v>
                </c:pt>
                <c:pt idx="16">
                  <c:v>400</c:v>
                </c:pt>
                <c:pt idx="17">
                  <c:v>425</c:v>
                </c:pt>
                <c:pt idx="18">
                  <c:v>475</c:v>
                </c:pt>
              </c:numCache>
            </c:numRef>
          </c:xVal>
          <c:yVal>
            <c:numRef>
              <c:f>analysis!$GH$68:$GH$98</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0"/>
          <c:extLst>
            <c:ext xmlns:c16="http://schemas.microsoft.com/office/drawing/2014/chart" uri="{C3380CC4-5D6E-409C-BE32-E72D297353CC}">
              <c16:uniqueId val="{00000001-496B-0F45-B6FA-BF0FE17DDC9F}"/>
            </c:ext>
          </c:extLst>
        </c:ser>
        <c:ser>
          <c:idx val="8"/>
          <c:order val="2"/>
          <c:tx>
            <c:strRef>
              <c:f>analysis!$GI$67</c:f>
              <c:strCache>
                <c:ptCount val="1"/>
                <c:pt idx="0">
                  <c:v>bposd</c:v>
                </c:pt>
              </c:strCache>
            </c:strRef>
          </c:tx>
          <c:spPr>
            <a:ln w="381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analysis!$FZ$68:$FZ$98</c:f>
              <c:numCache>
                <c:formatCode>General</c:formatCode>
                <c:ptCount val="31"/>
                <c:pt idx="0">
                  <c:v>5</c:v>
                </c:pt>
                <c:pt idx="1">
                  <c:v>20</c:v>
                </c:pt>
                <c:pt idx="2">
                  <c:v>35</c:v>
                </c:pt>
                <c:pt idx="3">
                  <c:v>50</c:v>
                </c:pt>
                <c:pt idx="4">
                  <c:v>65</c:v>
                </c:pt>
                <c:pt idx="5">
                  <c:v>80</c:v>
                </c:pt>
                <c:pt idx="6">
                  <c:v>105</c:v>
                </c:pt>
                <c:pt idx="7">
                  <c:v>150</c:v>
                </c:pt>
                <c:pt idx="8">
                  <c:v>155</c:v>
                </c:pt>
                <c:pt idx="9">
                  <c:v>210</c:v>
                </c:pt>
                <c:pt idx="10">
                  <c:v>260</c:v>
                </c:pt>
                <c:pt idx="11">
                  <c:v>290</c:v>
                </c:pt>
                <c:pt idx="12">
                  <c:v>300</c:v>
                </c:pt>
                <c:pt idx="13">
                  <c:v>305</c:v>
                </c:pt>
                <c:pt idx="14">
                  <c:v>335</c:v>
                </c:pt>
                <c:pt idx="15">
                  <c:v>365</c:v>
                </c:pt>
                <c:pt idx="16">
                  <c:v>400</c:v>
                </c:pt>
                <c:pt idx="17">
                  <c:v>425</c:v>
                </c:pt>
                <c:pt idx="18">
                  <c:v>475</c:v>
                </c:pt>
              </c:numCache>
            </c:numRef>
          </c:xVal>
          <c:yVal>
            <c:numRef>
              <c:f>analysis!$GI$68:$GI$98</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0"/>
          <c:extLst>
            <c:ext xmlns:c16="http://schemas.microsoft.com/office/drawing/2014/chart" uri="{C3380CC4-5D6E-409C-BE32-E72D297353CC}">
              <c16:uniqueId val="{00000002-496B-0F45-B6FA-BF0FE17DDC9F}"/>
            </c:ext>
          </c:extLst>
        </c:ser>
        <c:ser>
          <c:idx val="9"/>
          <c:order val="3"/>
          <c:tx>
            <c:strRef>
              <c:f>analysis!$GJ$67</c:f>
              <c:strCache>
                <c:ptCount val="1"/>
                <c:pt idx="0">
                  <c:v>GEStim</c:v>
                </c:pt>
              </c:strCache>
            </c:strRef>
          </c:tx>
          <c:spPr>
            <a:ln w="38100" cap="rnd">
              <a:noFill/>
              <a:round/>
            </a:ln>
            <a:effectLst/>
          </c:spPr>
          <c:marker>
            <c:symbol val="x"/>
            <c:size val="5"/>
            <c:spPr>
              <a:noFill/>
              <a:ln w="9525">
                <a:solidFill>
                  <a:schemeClr val="accent4">
                    <a:lumMod val="60000"/>
                  </a:schemeClr>
                </a:solidFill>
              </a:ln>
              <a:effectLst/>
            </c:spPr>
          </c:marker>
          <c:xVal>
            <c:numRef>
              <c:f>analysis!$FZ$68:$FZ$98</c:f>
              <c:numCache>
                <c:formatCode>General</c:formatCode>
                <c:ptCount val="31"/>
                <c:pt idx="0">
                  <c:v>5</c:v>
                </c:pt>
                <c:pt idx="1">
                  <c:v>20</c:v>
                </c:pt>
                <c:pt idx="2">
                  <c:v>35</c:v>
                </c:pt>
                <c:pt idx="3">
                  <c:v>50</c:v>
                </c:pt>
                <c:pt idx="4">
                  <c:v>65</c:v>
                </c:pt>
                <c:pt idx="5">
                  <c:v>80</c:v>
                </c:pt>
                <c:pt idx="6">
                  <c:v>105</c:v>
                </c:pt>
                <c:pt idx="7">
                  <c:v>150</c:v>
                </c:pt>
                <c:pt idx="8">
                  <c:v>155</c:v>
                </c:pt>
                <c:pt idx="9">
                  <c:v>210</c:v>
                </c:pt>
                <c:pt idx="10">
                  <c:v>260</c:v>
                </c:pt>
                <c:pt idx="11">
                  <c:v>290</c:v>
                </c:pt>
                <c:pt idx="12">
                  <c:v>300</c:v>
                </c:pt>
                <c:pt idx="13">
                  <c:v>305</c:v>
                </c:pt>
                <c:pt idx="14">
                  <c:v>335</c:v>
                </c:pt>
                <c:pt idx="15">
                  <c:v>365</c:v>
                </c:pt>
                <c:pt idx="16">
                  <c:v>400</c:v>
                </c:pt>
                <c:pt idx="17">
                  <c:v>425</c:v>
                </c:pt>
                <c:pt idx="18">
                  <c:v>475</c:v>
                </c:pt>
              </c:numCache>
            </c:numRef>
          </c:xVal>
          <c:yVal>
            <c:numRef>
              <c:f>analysis!$GJ$68:$GJ$98</c:f>
              <c:numCache>
                <c:formatCode>0.00</c:formatCode>
                <c:ptCount val="3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yVal>
          <c:smooth val="0"/>
          <c:extLst>
            <c:ext xmlns:c16="http://schemas.microsoft.com/office/drawing/2014/chart" uri="{C3380CC4-5D6E-409C-BE32-E72D297353CC}">
              <c16:uniqueId val="{00000003-496B-0F45-B6FA-BF0FE17DDC9F}"/>
            </c:ext>
          </c:extLst>
        </c:ser>
        <c:ser>
          <c:idx val="10"/>
          <c:order val="4"/>
          <c:tx>
            <c:strRef>
              <c:f>analysis!$GK$67</c:f>
              <c:strCache>
                <c:ptCount val="1"/>
                <c:pt idx="0">
                  <c:v>CCStim</c:v>
                </c:pt>
              </c:strCache>
            </c:strRef>
          </c:tx>
          <c:spPr>
            <a:ln w="381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analysis!$FZ$68:$FZ$98</c:f>
              <c:numCache>
                <c:formatCode>General</c:formatCode>
                <c:ptCount val="31"/>
                <c:pt idx="0">
                  <c:v>5</c:v>
                </c:pt>
                <c:pt idx="1">
                  <c:v>20</c:v>
                </c:pt>
                <c:pt idx="2">
                  <c:v>35</c:v>
                </c:pt>
                <c:pt idx="3">
                  <c:v>50</c:v>
                </c:pt>
                <c:pt idx="4">
                  <c:v>65</c:v>
                </c:pt>
                <c:pt idx="5">
                  <c:v>80</c:v>
                </c:pt>
                <c:pt idx="6">
                  <c:v>105</c:v>
                </c:pt>
                <c:pt idx="7">
                  <c:v>150</c:v>
                </c:pt>
                <c:pt idx="8">
                  <c:v>155</c:v>
                </c:pt>
                <c:pt idx="9">
                  <c:v>210</c:v>
                </c:pt>
                <c:pt idx="10">
                  <c:v>260</c:v>
                </c:pt>
                <c:pt idx="11">
                  <c:v>290</c:v>
                </c:pt>
                <c:pt idx="12">
                  <c:v>300</c:v>
                </c:pt>
                <c:pt idx="13">
                  <c:v>305</c:v>
                </c:pt>
                <c:pt idx="14">
                  <c:v>335</c:v>
                </c:pt>
                <c:pt idx="15">
                  <c:v>365</c:v>
                </c:pt>
                <c:pt idx="16">
                  <c:v>400</c:v>
                </c:pt>
                <c:pt idx="17">
                  <c:v>425</c:v>
                </c:pt>
                <c:pt idx="18">
                  <c:v>475</c:v>
                </c:pt>
              </c:numCache>
            </c:numRef>
          </c:xVal>
          <c:yVal>
            <c:numRef>
              <c:f>analysis!$GK$68:$GK$98</c:f>
              <c:numCache>
                <c:formatCode>0.00</c:formatCode>
                <c:ptCount val="31"/>
                <c:pt idx="0">
                  <c:v>0</c:v>
                </c:pt>
                <c:pt idx="1">
                  <c:v>0</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yVal>
          <c:smooth val="0"/>
          <c:extLst>
            <c:ext xmlns:c16="http://schemas.microsoft.com/office/drawing/2014/chart" uri="{C3380CC4-5D6E-409C-BE32-E72D297353CC}">
              <c16:uniqueId val="{00000004-496B-0F45-B6FA-BF0FE17DDC9F}"/>
            </c:ext>
          </c:extLst>
        </c:ser>
        <c:ser>
          <c:idx val="11"/>
          <c:order val="5"/>
          <c:tx>
            <c:strRef>
              <c:f>analysis!$GL$67</c:f>
              <c:strCache>
                <c:ptCount val="1"/>
                <c:pt idx="0">
                  <c:v>UEStim</c:v>
                </c:pt>
              </c:strCache>
            </c:strRef>
          </c:tx>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analysis!$FZ$68:$FZ$98</c:f>
              <c:numCache>
                <c:formatCode>General</c:formatCode>
                <c:ptCount val="31"/>
                <c:pt idx="0">
                  <c:v>5</c:v>
                </c:pt>
                <c:pt idx="1">
                  <c:v>20</c:v>
                </c:pt>
                <c:pt idx="2">
                  <c:v>35</c:v>
                </c:pt>
                <c:pt idx="3">
                  <c:v>50</c:v>
                </c:pt>
                <c:pt idx="4">
                  <c:v>65</c:v>
                </c:pt>
                <c:pt idx="5">
                  <c:v>80</c:v>
                </c:pt>
                <c:pt idx="6">
                  <c:v>105</c:v>
                </c:pt>
                <c:pt idx="7">
                  <c:v>150</c:v>
                </c:pt>
                <c:pt idx="8">
                  <c:v>155</c:v>
                </c:pt>
                <c:pt idx="9">
                  <c:v>210</c:v>
                </c:pt>
                <c:pt idx="10">
                  <c:v>260</c:v>
                </c:pt>
                <c:pt idx="11">
                  <c:v>290</c:v>
                </c:pt>
                <c:pt idx="12">
                  <c:v>300</c:v>
                </c:pt>
                <c:pt idx="13">
                  <c:v>305</c:v>
                </c:pt>
                <c:pt idx="14">
                  <c:v>335</c:v>
                </c:pt>
                <c:pt idx="15">
                  <c:v>365</c:v>
                </c:pt>
                <c:pt idx="16">
                  <c:v>400</c:v>
                </c:pt>
                <c:pt idx="17">
                  <c:v>425</c:v>
                </c:pt>
                <c:pt idx="18">
                  <c:v>475</c:v>
                </c:pt>
              </c:numCache>
            </c:numRef>
          </c:xVal>
          <c:yVal>
            <c:numRef>
              <c:f>analysis!$GL$68:$GL$98</c:f>
              <c:numCache>
                <c:formatCode>0.00</c:formatCode>
                <c:ptCount val="31"/>
                <c:pt idx="0">
                  <c:v>0</c:v>
                </c:pt>
                <c:pt idx="1">
                  <c:v>0</c:v>
                </c:pt>
                <c:pt idx="2">
                  <c:v>0</c:v>
                </c:pt>
                <c:pt idx="3">
                  <c:v>0</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yVal>
          <c:smooth val="0"/>
          <c:extLst>
            <c:ext xmlns:c16="http://schemas.microsoft.com/office/drawing/2014/chart" uri="{C3380CC4-5D6E-409C-BE32-E72D297353CC}">
              <c16:uniqueId val="{00000005-496B-0F45-B6FA-BF0FE17DDC9F}"/>
            </c:ext>
          </c:extLst>
        </c:ser>
        <c:dLbls>
          <c:showLegendKey val="0"/>
          <c:showVal val="0"/>
          <c:showCatName val="0"/>
          <c:showSerName val="0"/>
          <c:showPercent val="0"/>
          <c:showBubbleSize val="0"/>
        </c:dLbls>
        <c:axId val="923162368"/>
        <c:axId val="923164080"/>
      </c:scatterChart>
      <c:valAx>
        <c:axId val="923162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i="0" u="none" strike="noStrike" kern="1200" baseline="0">
                    <a:solidFill>
                      <a:sysClr val="windowText" lastClr="000000">
                        <a:lumMod val="65000"/>
                        <a:lumOff val="35000"/>
                      </a:sysClr>
                    </a:solidFill>
                  </a:rPr>
                  <a:t>Code length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64080"/>
        <c:crosses val="autoZero"/>
        <c:crossBetween val="midCat"/>
      </c:valAx>
      <c:valAx>
        <c:axId val="923164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Delta</a:t>
                </a:r>
                <a:r>
                  <a:rPr lang="en-GB" sz="1200" baseline="0"/>
                  <a:t> d / d</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62368"/>
        <c:crosses val="autoZero"/>
        <c:crossBetween val="midCat"/>
      </c:valAx>
      <c:spPr>
        <a:noFill/>
        <a:ln>
          <a:noFill/>
        </a:ln>
        <a:effectLst/>
      </c:spPr>
    </c:plotArea>
    <c:legend>
      <c:legendPos val="l"/>
      <c:layout>
        <c:manualLayout>
          <c:xMode val="edge"/>
          <c:yMode val="edge"/>
          <c:x val="0.3576388888888889"/>
          <c:y val="3.2550853018372711E-2"/>
          <c:w val="0.22845854232633733"/>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12700</xdr:colOff>
      <xdr:row>21</xdr:row>
      <xdr:rowOff>50800</xdr:rowOff>
    </xdr:from>
    <xdr:to>
      <xdr:col>2</xdr:col>
      <xdr:colOff>825500</xdr:colOff>
      <xdr:row>39</xdr:row>
      <xdr:rowOff>50800</xdr:rowOff>
    </xdr:to>
    <xdr:graphicFrame macro="">
      <xdr:nvGraphicFramePr>
        <xdr:cNvPr id="2" name="Chart 1">
          <a:extLst>
            <a:ext uri="{FF2B5EF4-FFF2-40B4-BE49-F238E27FC236}">
              <a16:creationId xmlns:a16="http://schemas.microsoft.com/office/drawing/2014/main" id="{75776FEE-1E66-604A-B1C4-14044DDC06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21</xdr:row>
      <xdr:rowOff>0</xdr:rowOff>
    </xdr:from>
    <xdr:to>
      <xdr:col>8</xdr:col>
      <xdr:colOff>228600</xdr:colOff>
      <xdr:row>39</xdr:row>
      <xdr:rowOff>0</xdr:rowOff>
    </xdr:to>
    <xdr:graphicFrame macro="">
      <xdr:nvGraphicFramePr>
        <xdr:cNvPr id="3" name="Chart 2">
          <a:extLst>
            <a:ext uri="{FF2B5EF4-FFF2-40B4-BE49-F238E27FC236}">
              <a16:creationId xmlns:a16="http://schemas.microsoft.com/office/drawing/2014/main" id="{4FC423A6-3BEA-AB49-868A-1E7A60E1F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21</xdr:row>
      <xdr:rowOff>0</xdr:rowOff>
    </xdr:from>
    <xdr:to>
      <xdr:col>13</xdr:col>
      <xdr:colOff>609600</xdr:colOff>
      <xdr:row>39</xdr:row>
      <xdr:rowOff>0</xdr:rowOff>
    </xdr:to>
    <xdr:graphicFrame macro="">
      <xdr:nvGraphicFramePr>
        <xdr:cNvPr id="4" name="Chart 3">
          <a:extLst>
            <a:ext uri="{FF2B5EF4-FFF2-40B4-BE49-F238E27FC236}">
              <a16:creationId xmlns:a16="http://schemas.microsoft.com/office/drawing/2014/main" id="{4549B13C-E642-F546-B6AB-23E2AA3CA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21</xdr:row>
      <xdr:rowOff>0</xdr:rowOff>
    </xdr:from>
    <xdr:to>
      <xdr:col>19</xdr:col>
      <xdr:colOff>203200</xdr:colOff>
      <xdr:row>39</xdr:row>
      <xdr:rowOff>0</xdr:rowOff>
    </xdr:to>
    <xdr:graphicFrame macro="">
      <xdr:nvGraphicFramePr>
        <xdr:cNvPr id="5" name="Chart 4">
          <a:extLst>
            <a:ext uri="{FF2B5EF4-FFF2-40B4-BE49-F238E27FC236}">
              <a16:creationId xmlns:a16="http://schemas.microsoft.com/office/drawing/2014/main" id="{6E4ED5D1-F97C-3344-AE06-BD9D3152B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FEE50-03D2-144F-94BE-3266FBE7C201}">
  <dimension ref="A1:HN88"/>
  <sheetViews>
    <sheetView tabSelected="1" topLeftCell="A4" zoomScaleNormal="100" workbookViewId="0">
      <selection activeCell="B4" sqref="B4"/>
    </sheetView>
  </sheetViews>
  <sheetFormatPr baseColWidth="10" defaultColWidth="11" defaultRowHeight="16" x14ac:dyDescent="0.2"/>
  <cols>
    <col min="1" max="1" width="27.1640625" bestFit="1" customWidth="1"/>
    <col min="2" max="2" width="10.1640625" bestFit="1" customWidth="1"/>
    <col min="3" max="3" width="12.33203125" bestFit="1" customWidth="1"/>
    <col min="4" max="4" width="9.33203125" bestFit="1" customWidth="1"/>
    <col min="5" max="5" width="14" bestFit="1" customWidth="1"/>
    <col min="6" max="6" width="9" bestFit="1" customWidth="1"/>
    <col min="7" max="7" width="8.6640625" bestFit="1" customWidth="1"/>
    <col min="8" max="8" width="13.33203125" bestFit="1" customWidth="1"/>
    <col min="9" max="9" width="20" customWidth="1"/>
    <col min="10" max="10" width="8.6640625" bestFit="1" customWidth="1"/>
    <col min="11" max="11" width="6.1640625" customWidth="1"/>
    <col min="12" max="12" width="13" bestFit="1" customWidth="1"/>
    <col min="13" max="15" width="12.1640625" bestFit="1" customWidth="1"/>
    <col min="16" max="16" width="11.1640625" bestFit="1" customWidth="1"/>
    <col min="17" max="17" width="11" bestFit="1" customWidth="1"/>
    <col min="18" max="20" width="11" customWidth="1"/>
    <col min="21" max="21" width="9.83203125" customWidth="1"/>
    <col min="22" max="22" width="7" bestFit="1" customWidth="1"/>
    <col min="23" max="23" width="7.6640625" bestFit="1" customWidth="1"/>
    <col min="24" max="24" width="6.1640625" bestFit="1" customWidth="1"/>
    <col min="25" max="25" width="8.5" bestFit="1" customWidth="1"/>
    <col min="26" max="26" width="8.6640625" bestFit="1" customWidth="1"/>
    <col min="27" max="27" width="7.33203125" bestFit="1" customWidth="1"/>
    <col min="28" max="28" width="6.6640625" bestFit="1" customWidth="1"/>
    <col min="29" max="29" width="9" bestFit="1" customWidth="1"/>
    <col min="30" max="30" width="9.33203125" bestFit="1" customWidth="1"/>
    <col min="31" max="31" width="12.33203125" bestFit="1" customWidth="1"/>
    <col min="32" max="32" width="7.1640625" bestFit="1" customWidth="1"/>
    <col min="33" max="34" width="11.5" bestFit="1" customWidth="1"/>
    <col min="35" max="37" width="11.5" customWidth="1"/>
    <col min="39" max="50" width="7.83203125" customWidth="1"/>
    <col min="51" max="51" width="11.5" bestFit="1" customWidth="1"/>
    <col min="52" max="54" width="11.5" customWidth="1"/>
    <col min="55" max="55" width="7.83203125" customWidth="1"/>
    <col min="56" max="56" width="22.1640625" bestFit="1" customWidth="1"/>
    <col min="57" max="57" width="7.6640625" bestFit="1" customWidth="1"/>
    <col min="58" max="58" width="6.1640625" bestFit="1" customWidth="1"/>
    <col min="59" max="59" width="8.5" bestFit="1" customWidth="1"/>
    <col min="60" max="60" width="8.6640625" bestFit="1" customWidth="1"/>
    <col min="61" max="61" width="7.33203125" bestFit="1" customWidth="1"/>
    <col min="62" max="62" width="6.6640625" bestFit="1" customWidth="1"/>
    <col min="63" max="63" width="9" bestFit="1" customWidth="1"/>
    <col min="64" max="64" width="9.33203125" bestFit="1" customWidth="1"/>
    <col min="65" max="65" width="12.33203125" bestFit="1" customWidth="1"/>
    <col min="66" max="66" width="7.1640625" bestFit="1" customWidth="1"/>
    <col min="67" max="68" width="11.5" bestFit="1" customWidth="1"/>
    <col min="69" max="71" width="11.5" customWidth="1"/>
    <col min="73" max="73" width="7" bestFit="1" customWidth="1"/>
    <col min="74" max="74" width="7.6640625" bestFit="1" customWidth="1"/>
    <col min="75" max="75" width="6.1640625" bestFit="1" customWidth="1"/>
    <col min="76" max="76" width="8.5" bestFit="1" customWidth="1"/>
    <col min="77" max="77" width="8.6640625" bestFit="1" customWidth="1"/>
    <col min="78" max="78" width="7.33203125" bestFit="1" customWidth="1"/>
    <col min="79" max="79" width="6.6640625" bestFit="1" customWidth="1"/>
    <col min="80" max="80" width="9" bestFit="1" customWidth="1"/>
    <col min="81" max="81" width="9.33203125" bestFit="1" customWidth="1"/>
    <col min="82" max="82" width="12.33203125" bestFit="1" customWidth="1"/>
    <col min="83" max="83" width="7.1640625" bestFit="1" customWidth="1"/>
    <col min="84" max="85" width="11.5" bestFit="1" customWidth="1"/>
    <col min="86" max="88" width="11.5" customWidth="1"/>
    <col min="90" max="90" width="8.5" bestFit="1" customWidth="1"/>
    <col min="91" max="91" width="7.6640625" bestFit="1" customWidth="1"/>
    <col min="92" max="92" width="6.1640625" bestFit="1" customWidth="1"/>
    <col min="93" max="93" width="8.5" bestFit="1" customWidth="1"/>
    <col min="94" max="94" width="8.6640625" bestFit="1" customWidth="1"/>
    <col min="95" max="95" width="7.33203125" bestFit="1" customWidth="1"/>
    <col min="96" max="96" width="6.6640625" bestFit="1" customWidth="1"/>
    <col min="97" max="97" width="9" bestFit="1" customWidth="1"/>
    <col min="98" max="98" width="9.33203125" bestFit="1" customWidth="1"/>
    <col min="99" max="99" width="12.33203125" bestFit="1" customWidth="1"/>
    <col min="100" max="100" width="7.1640625" bestFit="1" customWidth="1"/>
    <col min="101" max="102" width="11.5" bestFit="1" customWidth="1"/>
    <col min="103" max="105" width="11.5" customWidth="1"/>
    <col min="107" max="107" width="20.6640625" bestFit="1" customWidth="1"/>
    <col min="108" max="108" width="7.6640625" bestFit="1" customWidth="1"/>
    <col min="109" max="111" width="12.1640625" bestFit="1" customWidth="1"/>
    <col min="112" max="112" width="7.33203125" bestFit="1" customWidth="1"/>
    <col min="113" max="115" width="12.1640625" bestFit="1" customWidth="1"/>
    <col min="116" max="116" width="12.33203125" bestFit="1" customWidth="1"/>
    <col min="117" max="119" width="12.1640625" bestFit="1" customWidth="1"/>
    <col min="120" max="122" width="12.1640625" customWidth="1"/>
    <col min="124" max="124" width="20.6640625" bestFit="1" customWidth="1"/>
    <col min="125" max="125" width="7.6640625" bestFit="1" customWidth="1"/>
    <col min="126" max="128" width="12.1640625" bestFit="1" customWidth="1"/>
    <col min="129" max="129" width="7.33203125" bestFit="1" customWidth="1"/>
    <col min="130" max="132" width="12.1640625" bestFit="1" customWidth="1"/>
    <col min="133" max="133" width="12.33203125" bestFit="1" customWidth="1"/>
    <col min="134" max="136" width="12.1640625" bestFit="1" customWidth="1"/>
    <col min="137" max="139" width="12.1640625" customWidth="1"/>
    <col min="141" max="141" width="7" bestFit="1" customWidth="1"/>
    <col min="142" max="142" width="7.6640625" bestFit="1" customWidth="1"/>
    <col min="143" max="143" width="6.1640625" bestFit="1" customWidth="1"/>
    <col min="144" max="144" width="8.5" bestFit="1" customWidth="1"/>
    <col min="145" max="145" width="8.6640625" bestFit="1" customWidth="1"/>
    <col min="146" max="146" width="7.33203125" bestFit="1" customWidth="1"/>
    <col min="147" max="147" width="6.6640625" bestFit="1" customWidth="1"/>
    <col min="148" max="148" width="9" bestFit="1" customWidth="1"/>
    <col min="149" max="149" width="9.33203125" bestFit="1" customWidth="1"/>
    <col min="150" max="150" width="12.33203125" bestFit="1" customWidth="1"/>
    <col min="151" max="151" width="7.1640625" bestFit="1" customWidth="1"/>
    <col min="152" max="153" width="11.5" bestFit="1" customWidth="1"/>
    <col min="154" max="156" width="11.5" customWidth="1"/>
    <col min="158" max="158" width="7" bestFit="1" customWidth="1"/>
    <col min="159" max="159" width="7.6640625" bestFit="1" customWidth="1"/>
    <col min="160" max="160" width="6.1640625" bestFit="1" customWidth="1"/>
    <col min="161" max="161" width="8.5" bestFit="1" customWidth="1"/>
    <col min="162" max="162" width="8.6640625" bestFit="1" customWidth="1"/>
    <col min="163" max="163" width="7.33203125" bestFit="1" customWidth="1"/>
    <col min="164" max="164" width="6.6640625" bestFit="1" customWidth="1"/>
    <col min="165" max="165" width="9" bestFit="1" customWidth="1"/>
    <col min="166" max="166" width="9.33203125" bestFit="1" customWidth="1"/>
    <col min="167" max="167" width="12.33203125" bestFit="1" customWidth="1"/>
    <col min="168" max="168" width="7.1640625" bestFit="1" customWidth="1"/>
    <col min="169" max="170" width="11.5" bestFit="1" customWidth="1"/>
    <col min="171" max="173" width="11.5" customWidth="1"/>
    <col min="176" max="176" width="12.1640625" bestFit="1" customWidth="1"/>
    <col min="182" max="182" width="4.1640625" bestFit="1" customWidth="1"/>
    <col min="183" max="183" width="6.6640625" bestFit="1" customWidth="1"/>
    <col min="184" max="184" width="9" bestFit="1" customWidth="1"/>
    <col min="185" max="185" width="7" bestFit="1" customWidth="1"/>
    <col min="186" max="186" width="8.5" bestFit="1" customWidth="1"/>
    <col min="187" max="187" width="7.5" bestFit="1" customWidth="1"/>
    <col min="188" max="188" width="8.6640625" bestFit="1" customWidth="1"/>
    <col min="189" max="189" width="12.33203125" bestFit="1" customWidth="1"/>
    <col min="190" max="190" width="9.33203125" bestFit="1" customWidth="1"/>
    <col min="191" max="191" width="6.1640625" bestFit="1" customWidth="1"/>
    <col min="192" max="192" width="7.33203125" bestFit="1" customWidth="1"/>
    <col min="193" max="193" width="7.6640625" bestFit="1" customWidth="1"/>
    <col min="194" max="194" width="7.1640625" bestFit="1" customWidth="1"/>
    <col min="195" max="195" width="7.1640625" customWidth="1"/>
    <col min="196" max="196" width="6.6640625" customWidth="1"/>
    <col min="197" max="197" width="7.6640625" bestFit="1" customWidth="1"/>
    <col min="198" max="198" width="9" bestFit="1" customWidth="1"/>
    <col min="199" max="199" width="7.6640625" bestFit="1" customWidth="1"/>
    <col min="200" max="200" width="8.5" bestFit="1" customWidth="1"/>
    <col min="201" max="201" width="7.6640625" bestFit="1" customWidth="1"/>
    <col min="202" max="202" width="8.6640625" bestFit="1" customWidth="1"/>
    <col min="203" max="203" width="12.33203125" bestFit="1" customWidth="1"/>
    <col min="204" max="204" width="9.33203125" bestFit="1" customWidth="1"/>
    <col min="205" max="208" width="7.6640625" bestFit="1" customWidth="1"/>
    <col min="210" max="210" width="4.1640625" bestFit="1" customWidth="1"/>
    <col min="211" max="211" width="7.1640625" bestFit="1" customWidth="1"/>
    <col min="212" max="212" width="9" bestFit="1" customWidth="1"/>
    <col min="213" max="213" width="7.1640625" bestFit="1" customWidth="1"/>
    <col min="214" max="214" width="8.5" bestFit="1" customWidth="1"/>
    <col min="215" max="215" width="7.5" bestFit="1" customWidth="1"/>
    <col min="216" max="216" width="8.6640625" bestFit="1" customWidth="1"/>
    <col min="217" max="217" width="12.33203125" bestFit="1" customWidth="1"/>
    <col min="218" max="218" width="9.33203125" bestFit="1" customWidth="1"/>
    <col min="219" max="219" width="6.1640625" bestFit="1" customWidth="1"/>
    <col min="220" max="220" width="7.33203125" bestFit="1" customWidth="1"/>
    <col min="221" max="221" width="7.6640625" bestFit="1" customWidth="1"/>
    <col min="222" max="222" width="7.1640625" bestFit="1" customWidth="1"/>
  </cols>
  <sheetData>
    <row r="1" spans="1:26" ht="22" x14ac:dyDescent="0.3">
      <c r="A1" s="2" t="str" cm="1">
        <f t="array" aca="1" ref="A1" ca="1">MID(CELL("filename"),SEARCH("[",CELL("filename"))+1,SEARCH("]",CELL("filename"))-SEARCH("[",CELL("filename"))-1)</f>
        <v>02 lifted_product_GF2.xlsx</v>
      </c>
      <c r="B1" s="2"/>
      <c r="U1" s="3"/>
      <c r="V1" s="3"/>
    </row>
    <row r="2" spans="1:26" x14ac:dyDescent="0.2">
      <c r="Y2" s="4"/>
      <c r="Z2" s="5"/>
    </row>
    <row r="3" spans="1:26" x14ac:dyDescent="0.2">
      <c r="A3" s="3" t="s">
        <v>247</v>
      </c>
      <c r="B3" s="18">
        <f ca="1">COUNT(AB:AB)</f>
        <v>19</v>
      </c>
      <c r="C3" s="3" t="s">
        <v>279</v>
      </c>
      <c r="D3" s="18">
        <f ca="1">MAX(B68:B198)</f>
        <v>475</v>
      </c>
      <c r="E3" s="3" t="s">
        <v>280</v>
      </c>
      <c r="F3" s="18">
        <f ca="1">MIN(B68:B198)</f>
        <v>5</v>
      </c>
      <c r="G3" s="6" t="s">
        <v>372</v>
      </c>
      <c r="H3">
        <f ca="1">SUM(C68:C198)</f>
        <v>320</v>
      </c>
      <c r="M3" s="6" t="s">
        <v>248</v>
      </c>
      <c r="N3">
        <f>8*60*60</f>
        <v>28800</v>
      </c>
      <c r="Y3" s="4"/>
      <c r="Z3" s="5"/>
    </row>
    <row r="4" spans="1:26" x14ac:dyDescent="0.2">
      <c r="M4" t="s">
        <v>300</v>
      </c>
      <c r="N4">
        <f ca="1">D3</f>
        <v>475</v>
      </c>
      <c r="O4" t="s">
        <v>301</v>
      </c>
      <c r="P4">
        <f ca="1">COUNTIFS(B68:B93,"&lt;="&amp;$N$4)</f>
        <v>19</v>
      </c>
      <c r="Y4" s="4"/>
      <c r="Z4" s="5"/>
    </row>
    <row r="5" spans="1:26" x14ac:dyDescent="0.2">
      <c r="A5" s="11" t="s">
        <v>249</v>
      </c>
      <c r="M5" s="11" t="s">
        <v>250</v>
      </c>
      <c r="Y5" s="4"/>
      <c r="Z5" s="5"/>
    </row>
    <row r="6" spans="1:26" x14ac:dyDescent="0.2">
      <c r="B6" s="6" t="s">
        <v>272</v>
      </c>
      <c r="C6" s="6" t="s">
        <v>54</v>
      </c>
      <c r="D6" s="6" t="s">
        <v>78</v>
      </c>
      <c r="E6" s="6" t="s">
        <v>273</v>
      </c>
      <c r="F6" s="6" t="s">
        <v>75</v>
      </c>
      <c r="G6" s="6" t="s">
        <v>71</v>
      </c>
      <c r="H6" s="6" t="s">
        <v>79</v>
      </c>
      <c r="I6" s="6"/>
      <c r="N6" s="6" t="s">
        <v>76</v>
      </c>
      <c r="O6" s="6" t="s">
        <v>77</v>
      </c>
      <c r="P6" s="6" t="s">
        <v>70</v>
      </c>
      <c r="Q6" s="6" t="s">
        <v>274</v>
      </c>
      <c r="R6" s="6" t="s">
        <v>275</v>
      </c>
      <c r="S6" s="6"/>
      <c r="T6" s="6"/>
      <c r="U6" s="6"/>
      <c r="Y6" s="4"/>
      <c r="Z6" s="5"/>
    </row>
    <row r="7" spans="1:26" x14ac:dyDescent="0.2">
      <c r="A7" s="6" t="s">
        <v>302</v>
      </c>
      <c r="B7" s="12">
        <f t="shared" ref="B7:H7" ca="1" si="0">SUM(BI:BI)</f>
        <v>19</v>
      </c>
      <c r="C7" s="12">
        <f t="shared" ca="1" si="0"/>
        <v>19</v>
      </c>
      <c r="D7" s="12">
        <f t="shared" ca="1" si="0"/>
        <v>19</v>
      </c>
      <c r="E7" s="12">
        <f t="shared" ca="1" si="0"/>
        <v>19</v>
      </c>
      <c r="F7" s="12">
        <f t="shared" ca="1" si="0"/>
        <v>1</v>
      </c>
      <c r="G7" s="12">
        <f t="shared" ca="1" si="0"/>
        <v>2</v>
      </c>
      <c r="H7" s="12">
        <f t="shared" ca="1" si="0"/>
        <v>4</v>
      </c>
      <c r="I7" s="12"/>
      <c r="J7" s="14" t="s">
        <v>252</v>
      </c>
      <c r="K7" s="13"/>
      <c r="M7" s="6" t="s">
        <v>302</v>
      </c>
      <c r="N7">
        <f ca="1">SUMIFS(BD:BD,$B:$B,"&lt;="&amp;$N$4)</f>
        <v>19</v>
      </c>
      <c r="O7">
        <f ca="1">SUMIFS(BE:BE,$B:$B,"&lt;="&amp;$N$4)</f>
        <v>19</v>
      </c>
      <c r="P7">
        <f ca="1">SUMIFS(BF:BF,$B:$B,"&lt;="&amp;$N$4)</f>
        <v>17</v>
      </c>
      <c r="Q7">
        <f ca="1">SUMIFS(BG:BG,$B:$B,"&lt;="&amp;$N$4)</f>
        <v>5</v>
      </c>
      <c r="R7">
        <f ca="1">SUMIFS(BH:BH,$B:$B,"&lt;="&amp;$N$4)</f>
        <v>19</v>
      </c>
      <c r="S7" s="14" t="s">
        <v>252</v>
      </c>
      <c r="Y7" s="4"/>
      <c r="Z7" s="5"/>
    </row>
    <row r="8" spans="1:26" x14ac:dyDescent="0.2">
      <c r="A8" s="6" t="s">
        <v>251</v>
      </c>
      <c r="B8" s="19">
        <f ca="1">$B$3-B7</f>
        <v>0</v>
      </c>
      <c r="C8" s="19">
        <f t="shared" ref="C8:H8" ca="1" si="1">$B$3-C7</f>
        <v>0</v>
      </c>
      <c r="D8" s="19">
        <f t="shared" ca="1" si="1"/>
        <v>0</v>
      </c>
      <c r="E8" s="19">
        <f t="shared" ca="1" si="1"/>
        <v>0</v>
      </c>
      <c r="F8" s="19">
        <f t="shared" ca="1" si="1"/>
        <v>18</v>
      </c>
      <c r="G8" s="19">
        <f t="shared" ca="1" si="1"/>
        <v>17</v>
      </c>
      <c r="H8" s="19">
        <f t="shared" ca="1" si="1"/>
        <v>15</v>
      </c>
      <c r="I8" s="19"/>
      <c r="J8" s="14" t="s">
        <v>252</v>
      </c>
      <c r="M8" s="6" t="s">
        <v>253</v>
      </c>
      <c r="N8">
        <f ca="1">SUMIFS(AM:AM,$B:$B,"&lt;="&amp;$N$4)</f>
        <v>6</v>
      </c>
      <c r="O8">
        <f ca="1">SUMIFS(AN:AN,$B:$B,"&lt;="&amp;$N$4)</f>
        <v>6</v>
      </c>
      <c r="P8">
        <f ca="1">SUMIFS(AO:AO,$B:$B,"&lt;="&amp;$N$4)</f>
        <v>6</v>
      </c>
      <c r="Q8">
        <f ca="1">SUMIFS(AP:AP,$B:$B,"&lt;="&amp;$N$4)</f>
        <v>5</v>
      </c>
      <c r="R8">
        <f ca="1">SUMIFS(AQ:AQ,$B:$B,"&lt;="&amp;$N$4)</f>
        <v>9</v>
      </c>
      <c r="S8" s="14" t="s">
        <v>252</v>
      </c>
      <c r="Y8" s="4"/>
      <c r="Z8" s="5"/>
    </row>
    <row r="9" spans="1:26" x14ac:dyDescent="0.2">
      <c r="A9" s="6" t="s">
        <v>52</v>
      </c>
      <c r="B9" s="7">
        <f t="shared" ref="B9:H9" ca="1" si="2">SUM(CQ:CQ)</f>
        <v>19</v>
      </c>
      <c r="C9" s="7">
        <f t="shared" ca="1" si="2"/>
        <v>19</v>
      </c>
      <c r="D9" s="7">
        <f t="shared" ca="1" si="2"/>
        <v>19</v>
      </c>
      <c r="E9" s="7">
        <f t="shared" ca="1" si="2"/>
        <v>19</v>
      </c>
      <c r="F9" s="7">
        <f t="shared" ca="1" si="2"/>
        <v>1</v>
      </c>
      <c r="G9" s="7">
        <f t="shared" ca="1" si="2"/>
        <v>2</v>
      </c>
      <c r="H9" s="7">
        <f t="shared" ca="1" si="2"/>
        <v>4</v>
      </c>
      <c r="I9" s="7"/>
      <c r="J9" s="14" t="s">
        <v>276</v>
      </c>
      <c r="M9" s="6" t="s">
        <v>303</v>
      </c>
      <c r="N9">
        <f ca="1">N7-N8</f>
        <v>13</v>
      </c>
      <c r="O9">
        <f t="shared" ref="O9:R9" ca="1" si="3">O7-O8</f>
        <v>13</v>
      </c>
      <c r="P9">
        <f t="shared" ca="1" si="3"/>
        <v>11</v>
      </c>
      <c r="Q9">
        <f t="shared" ca="1" si="3"/>
        <v>0</v>
      </c>
      <c r="R9">
        <f t="shared" ca="1" si="3"/>
        <v>10</v>
      </c>
      <c r="S9" s="14" t="s">
        <v>252</v>
      </c>
      <c r="Y9" s="4"/>
      <c r="Z9" s="5"/>
    </row>
    <row r="10" spans="1:26" x14ac:dyDescent="0.2">
      <c r="A10" s="6" t="s">
        <v>304</v>
      </c>
      <c r="B10" s="4">
        <f ca="1">B9/$B$3</f>
        <v>1</v>
      </c>
      <c r="C10" s="4">
        <f t="shared" ref="C10:H10" ca="1" si="4">C9/$B$3</f>
        <v>1</v>
      </c>
      <c r="D10" s="4">
        <f t="shared" ca="1" si="4"/>
        <v>1</v>
      </c>
      <c r="E10" s="4">
        <f t="shared" ca="1" si="4"/>
        <v>1</v>
      </c>
      <c r="F10" s="4">
        <f t="shared" ca="1" si="4"/>
        <v>5.2631578947368418E-2</v>
      </c>
      <c r="G10" s="4">
        <f t="shared" ca="1" si="4"/>
        <v>0.10526315789473684</v>
      </c>
      <c r="H10" s="4">
        <f t="shared" ca="1" si="4"/>
        <v>0.21052631578947367</v>
      </c>
      <c r="I10" s="4"/>
      <c r="J10" s="14" t="s">
        <v>278</v>
      </c>
      <c r="M10" s="16" t="s">
        <v>251</v>
      </c>
      <c r="N10" s="19">
        <f ca="1">$P$4-N7</f>
        <v>0</v>
      </c>
      <c r="O10" s="19">
        <f t="shared" ref="O10:R10" ca="1" si="5">$P$4-O7</f>
        <v>0</v>
      </c>
      <c r="P10" s="19">
        <f t="shared" ca="1" si="5"/>
        <v>2</v>
      </c>
      <c r="Q10" s="19">
        <f t="shared" ca="1" si="5"/>
        <v>14</v>
      </c>
      <c r="R10" s="19">
        <f t="shared" ca="1" si="5"/>
        <v>0</v>
      </c>
      <c r="S10" s="14" t="s">
        <v>252</v>
      </c>
      <c r="T10" s="5"/>
      <c r="U10" s="5"/>
      <c r="Y10" s="4"/>
      <c r="Z10" s="5"/>
    </row>
    <row r="11" spans="1:26" x14ac:dyDescent="0.2">
      <c r="A11" s="6" t="s">
        <v>305</v>
      </c>
      <c r="B11" s="5">
        <f t="shared" ref="B11:H11" ca="1" si="6">SUM(DH:DH)</f>
        <v>31.26808894565324</v>
      </c>
      <c r="C11" s="5">
        <f t="shared" ca="1" si="6"/>
        <v>382.08427493832966</v>
      </c>
      <c r="D11" s="5">
        <f t="shared" ca="1" si="6"/>
        <v>378.19279959518428</v>
      </c>
      <c r="E11" s="5">
        <f t="shared" ca="1" si="6"/>
        <v>46417.793834855693</v>
      </c>
      <c r="F11" s="5">
        <f t="shared" ca="1" si="6"/>
        <v>1.2207579407840932</v>
      </c>
      <c r="G11" s="5">
        <f t="shared" ca="1" si="6"/>
        <v>1.4248624760657504</v>
      </c>
      <c r="H11" s="5">
        <f t="shared" ca="1" si="6"/>
        <v>4.1671125553548283</v>
      </c>
      <c r="I11" s="5"/>
      <c r="J11" s="15" t="s">
        <v>277</v>
      </c>
      <c r="M11" s="17" t="s">
        <v>52</v>
      </c>
      <c r="N11">
        <f ca="1">SUMIFS(CL:CL,$B:$B,"&lt;="&amp;$N$4)</f>
        <v>16</v>
      </c>
      <c r="O11">
        <f ca="1">SUMIFS(CM:CM,$B:$B,"&lt;="&amp;$N$4)</f>
        <v>19</v>
      </c>
      <c r="P11">
        <f ca="1">SUMIFS(CN:CN,$B:$B,"&lt;="&amp;$N$4)</f>
        <v>7</v>
      </c>
      <c r="Q11">
        <f ca="1">SUMIFS(CO:CO,$B:$B,"&lt;="&amp;$N$4)</f>
        <v>5</v>
      </c>
      <c r="R11">
        <f ca="1">SUMIFS(CP:CP,$B:$B,"&lt;="&amp;$N$4)</f>
        <v>19</v>
      </c>
      <c r="S11" s="14" t="s">
        <v>252</v>
      </c>
      <c r="T11" s="5"/>
      <c r="U11" s="5"/>
      <c r="Y11" s="4"/>
      <c r="Z11" s="5"/>
    </row>
    <row r="12" spans="1:26" x14ac:dyDescent="0.2">
      <c r="A12" s="6" t="s">
        <v>50</v>
      </c>
      <c r="B12" s="7"/>
      <c r="C12" s="7">
        <f t="shared" ref="C12:H12" ca="1" si="7">SUM(FH:FH)</f>
        <v>190000</v>
      </c>
      <c r="D12" s="7">
        <f t="shared" ca="1" si="7"/>
        <v>190000</v>
      </c>
      <c r="E12" s="7">
        <f t="shared" ca="1" si="7"/>
        <v>190000</v>
      </c>
      <c r="F12" s="7">
        <f t="shared" ca="1" si="7"/>
        <v>19</v>
      </c>
      <c r="G12" s="7">
        <f t="shared" ca="1" si="7"/>
        <v>19</v>
      </c>
      <c r="H12" s="7">
        <f t="shared" ca="1" si="7"/>
        <v>154</v>
      </c>
      <c r="I12" s="7"/>
      <c r="J12" s="14" t="s">
        <v>252</v>
      </c>
      <c r="M12" s="6" t="s">
        <v>306</v>
      </c>
      <c r="N12" s="4">
        <f ca="1">N11/$P$4</f>
        <v>0.84210526315789469</v>
      </c>
      <c r="O12" s="4">
        <f t="shared" ref="O12:R12" ca="1" si="8">O11/$P$4</f>
        <v>1</v>
      </c>
      <c r="P12" s="4">
        <f t="shared" ca="1" si="8"/>
        <v>0.36842105263157893</v>
      </c>
      <c r="Q12" s="4">
        <f t="shared" ca="1" si="8"/>
        <v>0.26315789473684209</v>
      </c>
      <c r="R12" s="4">
        <f t="shared" ca="1" si="8"/>
        <v>1</v>
      </c>
      <c r="S12" s="14" t="s">
        <v>278</v>
      </c>
      <c r="Y12" s="4"/>
      <c r="Z12" s="5"/>
    </row>
    <row r="13" spans="1:26" x14ac:dyDescent="0.2">
      <c r="A13" s="6" t="s">
        <v>307</v>
      </c>
      <c r="C13">
        <f t="shared" ref="C13:H13" ca="1" si="9">SUM(DZ:DZ)</f>
        <v>53904</v>
      </c>
      <c r="D13">
        <f t="shared" ca="1" si="9"/>
        <v>136633</v>
      </c>
      <c r="E13">
        <f t="shared" ca="1" si="9"/>
        <v>40404</v>
      </c>
      <c r="F13">
        <f t="shared" ca="1" si="9"/>
        <v>1</v>
      </c>
      <c r="G13">
        <f t="shared" ca="1" si="9"/>
        <v>2</v>
      </c>
      <c r="H13">
        <f t="shared" ca="1" si="9"/>
        <v>8</v>
      </c>
      <c r="J13" s="14" t="s">
        <v>276</v>
      </c>
      <c r="M13" s="6" t="s">
        <v>308</v>
      </c>
      <c r="N13" s="5">
        <f ca="1">SUMIFS(DC:DC,$B:$B,"&lt;="&amp;$N$4)+N16*$N$3</f>
        <v>375588.17864590714</v>
      </c>
      <c r="O13" s="5">
        <f ca="1">SUMIFS(DD:DD,$B:$B,"&lt;="&amp;$N$4)+O16*$N$3</f>
        <v>375037.80360654445</v>
      </c>
      <c r="P13" s="5">
        <f ca="1">SUMIFS(DE:DE,$B:$B,"&lt;="&amp;$N$4)+P16*$N$3</f>
        <v>375494.81774157897</v>
      </c>
      <c r="Q13" s="5">
        <f ca="1">SUMIFS(DF:DF,$B:$B,"&lt;="&amp;$N$4)+Q16*$N$3</f>
        <v>403701.39696193102</v>
      </c>
      <c r="R13" s="5">
        <f ca="1">SUMIFS(DG:DG,$B:$B,"&lt;="&amp;$N$4)+R16*$N$3</f>
        <v>288095.50305466459</v>
      </c>
      <c r="S13" s="15" t="s">
        <v>277</v>
      </c>
      <c r="Y13" s="4"/>
      <c r="Z13" s="5"/>
    </row>
    <row r="14" spans="1:26" x14ac:dyDescent="0.2">
      <c r="A14" s="6" t="s">
        <v>309</v>
      </c>
      <c r="B14" s="4"/>
      <c r="C14" s="4">
        <f t="shared" ref="C14:H14" ca="1" si="10">C13/C12</f>
        <v>0.28370526315789474</v>
      </c>
      <c r="D14" s="4">
        <f t="shared" ca="1" si="10"/>
        <v>0.71912105263157899</v>
      </c>
      <c r="E14" s="4">
        <f t="shared" ca="1" si="10"/>
        <v>0.21265263157894737</v>
      </c>
      <c r="F14" s="4">
        <f t="shared" ca="1" si="10"/>
        <v>5.2631578947368418E-2</v>
      </c>
      <c r="G14" s="4">
        <f t="shared" ca="1" si="10"/>
        <v>0.10526315789473684</v>
      </c>
      <c r="H14" s="4">
        <f t="shared" ca="1" si="10"/>
        <v>5.1948051948051951E-2</v>
      </c>
      <c r="I14" s="4"/>
      <c r="J14" s="14" t="s">
        <v>278</v>
      </c>
      <c r="M14" s="6" t="s">
        <v>51</v>
      </c>
      <c r="N14" s="5">
        <f ca="1">N13/$P$4</f>
        <v>19767.798876100376</v>
      </c>
      <c r="O14" s="5">
        <f t="shared" ref="O14:R14" ca="1" si="11">O13/$P$4</f>
        <v>19738.831768765496</v>
      </c>
      <c r="P14" s="5">
        <f t="shared" ca="1" si="11"/>
        <v>19762.885144293628</v>
      </c>
      <c r="Q14" s="5">
        <f t="shared" ca="1" si="11"/>
        <v>21247.44194536479</v>
      </c>
      <c r="R14" s="5">
        <f t="shared" ca="1" si="11"/>
        <v>15162.921213403399</v>
      </c>
      <c r="S14" s="15" t="s">
        <v>277</v>
      </c>
      <c r="T14" s="7"/>
      <c r="U14" s="7"/>
      <c r="Y14" s="4"/>
      <c r="Z14" s="5"/>
    </row>
    <row r="15" spans="1:26" x14ac:dyDescent="0.2">
      <c r="A15" s="6" t="s">
        <v>51</v>
      </c>
      <c r="B15" s="20"/>
      <c r="C15" s="20">
        <f t="shared" ref="C15:H15" ca="1" si="12">IF(C12,C11/C12,"")</f>
        <v>2.0109698680964719E-3</v>
      </c>
      <c r="D15" s="20">
        <f t="shared" ca="1" si="12"/>
        <v>1.9904884189220224E-3</v>
      </c>
      <c r="E15" s="20">
        <f t="shared" ca="1" si="12"/>
        <v>0.24430417807818786</v>
      </c>
      <c r="F15" s="20">
        <f t="shared" ca="1" si="12"/>
        <v>6.4250417936004903E-2</v>
      </c>
      <c r="G15" s="20">
        <f t="shared" ca="1" si="12"/>
        <v>7.4992761898197396E-2</v>
      </c>
      <c r="H15" s="20">
        <f t="shared" ca="1" si="12"/>
        <v>2.7059172437369015E-2</v>
      </c>
      <c r="I15" s="20"/>
      <c r="J15" s="15" t="s">
        <v>277</v>
      </c>
      <c r="M15" s="17" t="s">
        <v>56</v>
      </c>
      <c r="N15" s="5">
        <f ca="1">IF(N11,N13/N11,"")</f>
        <v>23474.261165369197</v>
      </c>
      <c r="O15" s="5">
        <f t="shared" ref="O15:R15" ca="1" si="13">IF(O11,O13/O11,"")</f>
        <v>19738.831768765496</v>
      </c>
      <c r="P15" s="5">
        <f t="shared" ca="1" si="13"/>
        <v>53642.116820225565</v>
      </c>
      <c r="Q15" s="5">
        <f t="shared" ca="1" si="13"/>
        <v>80740.279392386205</v>
      </c>
      <c r="R15" s="5">
        <f t="shared" ca="1" si="13"/>
        <v>15162.921213403399</v>
      </c>
      <c r="S15" s="15" t="s">
        <v>277</v>
      </c>
      <c r="T15" s="4"/>
      <c r="U15" s="4" t="str">
        <f t="shared" ref="U15" si="14">IF(U12,U14/U12,"")</f>
        <v/>
      </c>
      <c r="Y15" s="4"/>
      <c r="Z15" s="5"/>
    </row>
    <row r="16" spans="1:26" x14ac:dyDescent="0.2">
      <c r="A16" s="6" t="s">
        <v>56</v>
      </c>
      <c r="B16" s="5"/>
      <c r="C16" s="5">
        <f t="shared" ref="C16:H16" ca="1" si="15">IF(C13,C11/C13,"")</f>
        <v>7.0882360295772048E-3</v>
      </c>
      <c r="D16" s="5">
        <f t="shared" ca="1" si="15"/>
        <v>2.7679462472110271E-3</v>
      </c>
      <c r="E16" s="5">
        <f t="shared" ca="1" si="15"/>
        <v>1.1488415462542247</v>
      </c>
      <c r="F16" s="5">
        <f t="shared" ca="1" si="15"/>
        <v>1.2207579407840932</v>
      </c>
      <c r="G16" s="5">
        <f t="shared" ca="1" si="15"/>
        <v>0.71243123803287522</v>
      </c>
      <c r="H16" s="5">
        <f t="shared" ca="1" si="15"/>
        <v>0.52088906941935353</v>
      </c>
      <c r="I16" s="5"/>
      <c r="J16" s="15" t="s">
        <v>277</v>
      </c>
      <c r="M16" s="6" t="s">
        <v>311</v>
      </c>
      <c r="N16">
        <f ca="1">COUNTIFS(DC:DC,"=0",$B:$B,"&lt;="&amp;$N$4)</f>
        <v>0</v>
      </c>
      <c r="O16">
        <f ca="1">COUNTIFS(DD:DD,"=0",$B:$B,"&lt;="&amp;$N$4)</f>
        <v>0</v>
      </c>
      <c r="P16">
        <f ca="1">COUNTIFS(DE:DE,"=0",$B:$B,"&lt;="&amp;$N$4)</f>
        <v>0</v>
      </c>
      <c r="Q16">
        <f ca="1">COUNTIFS(DF:DF,"=0",$B:$B,"&lt;="&amp;$N$4)</f>
        <v>0</v>
      </c>
      <c r="R16">
        <f ca="1">COUNTIFS(DG:DG,"=0",$B:$B,"&lt;="&amp;$N$4)</f>
        <v>0</v>
      </c>
      <c r="Y16" s="4"/>
      <c r="Z16" s="5"/>
    </row>
    <row r="17" spans="1:180" x14ac:dyDescent="0.2">
      <c r="A17" s="6" t="s">
        <v>311</v>
      </c>
      <c r="B17">
        <f t="shared" ref="B17:H17" ca="1" si="16">COUNTIFS(DH:DH,"=0")</f>
        <v>0</v>
      </c>
      <c r="C17">
        <f t="shared" ca="1" si="16"/>
        <v>0</v>
      </c>
      <c r="D17">
        <f t="shared" ca="1" si="16"/>
        <v>0</v>
      </c>
      <c r="E17">
        <f t="shared" ca="1" si="16"/>
        <v>0</v>
      </c>
      <c r="F17">
        <f t="shared" ca="1" si="16"/>
        <v>0</v>
      </c>
      <c r="G17">
        <f t="shared" ca="1" si="16"/>
        <v>0</v>
      </c>
      <c r="H17">
        <f t="shared" ca="1" si="16"/>
        <v>0</v>
      </c>
      <c r="J17" s="14"/>
      <c r="M17" s="6" t="s">
        <v>320</v>
      </c>
      <c r="N17">
        <f ca="1">_xlfn.MAXIFS($B67:$B165,DC67:DC165,"&lt;&gt;0",$B67:$B165,"&lt;="&amp;$N$4)</f>
        <v>475</v>
      </c>
      <c r="O17">
        <f ca="1">_xlfn.MAXIFS($B67:$B165,DD67:DD165,"&lt;&gt;0",$B67:$B165,"&lt;="&amp;$N$4)</f>
        <v>475</v>
      </c>
      <c r="P17">
        <f ca="1">_xlfn.MAXIFS($B67:$B165,DE67:DE165,"&lt;&gt;0",$B67:$B165,"&lt;="&amp;$N$4)</f>
        <v>475</v>
      </c>
      <c r="Q17">
        <f ca="1">_xlfn.MAXIFS($B67:$B165,DF67:DF165,"&lt;&gt;0",$B67:$B165,"&lt;="&amp;$N$4)</f>
        <v>475</v>
      </c>
      <c r="R17">
        <f ca="1">_xlfn.MAXIFS($B67:$B165,DG67:DG165,"&lt;&gt;0",$B67:$B165,"&lt;="&amp;$N$4)</f>
        <v>475</v>
      </c>
      <c r="Y17" s="4"/>
      <c r="Z17" s="5"/>
    </row>
    <row r="18" spans="1:180" x14ac:dyDescent="0.2">
      <c r="A18" s="6" t="s">
        <v>373</v>
      </c>
      <c r="B18" s="23">
        <f t="shared" ref="B18:H18" ca="1" si="17">(SUM(BZ68:BZ198)-$H$3)/$H$3</f>
        <v>0</v>
      </c>
      <c r="C18" s="23">
        <f t="shared" ca="1" si="17"/>
        <v>0</v>
      </c>
      <c r="D18" s="23">
        <f t="shared" ca="1" si="17"/>
        <v>0</v>
      </c>
      <c r="E18" s="23">
        <f t="shared" ca="1" si="17"/>
        <v>0</v>
      </c>
      <c r="F18" s="23">
        <f t="shared" ca="1" si="17"/>
        <v>11.584375</v>
      </c>
      <c r="G18" s="23">
        <f t="shared" ca="1" si="17"/>
        <v>11.534375000000001</v>
      </c>
      <c r="H18" s="23">
        <f t="shared" ca="1" si="17"/>
        <v>11.3125</v>
      </c>
      <c r="L18" s="5"/>
      <c r="M18" s="5"/>
      <c r="N18" s="5"/>
      <c r="O18" s="5"/>
      <c r="P18" s="5"/>
      <c r="Y18" s="4"/>
      <c r="Z18" s="5"/>
    </row>
    <row r="19" spans="1:180" x14ac:dyDescent="0.2">
      <c r="A19" s="6" t="s">
        <v>53</v>
      </c>
      <c r="B19" s="6" t="s">
        <v>54</v>
      </c>
      <c r="O19" s="5"/>
      <c r="P19" s="5"/>
      <c r="Y19" s="4"/>
      <c r="Z19" s="5"/>
    </row>
    <row r="20" spans="1:180" x14ac:dyDescent="0.2">
      <c r="O20" s="5"/>
      <c r="P20" s="5"/>
      <c r="Y20" s="4"/>
      <c r="Z20" s="5"/>
      <c r="FW20" s="4"/>
      <c r="FX20" s="5"/>
    </row>
    <row r="21" spans="1:180" ht="19" x14ac:dyDescent="0.25">
      <c r="A21" s="8" t="s">
        <v>374</v>
      </c>
      <c r="B21" s="8"/>
      <c r="C21" s="8"/>
      <c r="D21" s="8"/>
      <c r="E21" s="8" t="s">
        <v>375</v>
      </c>
      <c r="F21" s="8"/>
      <c r="G21" s="8"/>
      <c r="H21" s="8"/>
      <c r="I21" s="8"/>
      <c r="J21" s="8" t="s">
        <v>376</v>
      </c>
      <c r="K21" s="8"/>
      <c r="L21" s="8"/>
      <c r="M21" s="8"/>
      <c r="N21" s="8"/>
      <c r="P21" s="8" t="s">
        <v>377</v>
      </c>
      <c r="Q21" s="5"/>
      <c r="Y21" s="4"/>
      <c r="Z21" s="5"/>
      <c r="FW21" s="4"/>
      <c r="FX21" s="5"/>
    </row>
    <row r="22" spans="1:180" x14ac:dyDescent="0.2">
      <c r="P22" s="5"/>
      <c r="Q22" s="5"/>
      <c r="Y22" s="4"/>
      <c r="Z22" s="5"/>
      <c r="FW22" s="4"/>
      <c r="FX22" s="5"/>
    </row>
    <row r="23" spans="1:180" x14ac:dyDescent="0.2">
      <c r="P23" s="5"/>
      <c r="Q23" s="5"/>
      <c r="Y23" s="4"/>
      <c r="Z23" s="5"/>
      <c r="FW23" s="4"/>
      <c r="FX23" s="5"/>
    </row>
    <row r="24" spans="1:180" x14ac:dyDescent="0.2">
      <c r="P24" s="5"/>
      <c r="Q24" s="5"/>
      <c r="Y24" s="4"/>
      <c r="Z24" s="5"/>
      <c r="FW24" s="4"/>
      <c r="FX24" s="5"/>
    </row>
    <row r="25" spans="1:180" x14ac:dyDescent="0.2">
      <c r="P25" s="5"/>
      <c r="Q25" s="5"/>
      <c r="Y25" s="4"/>
      <c r="Z25" s="5"/>
      <c r="FW25" s="4"/>
      <c r="FX25" s="5"/>
    </row>
    <row r="26" spans="1:180" x14ac:dyDescent="0.2">
      <c r="P26" s="5"/>
      <c r="Q26" s="5"/>
      <c r="Y26" s="4"/>
      <c r="Z26" s="5"/>
      <c r="FW26" s="4"/>
      <c r="FX26" s="5"/>
    </row>
    <row r="27" spans="1:180" x14ac:dyDescent="0.2">
      <c r="P27" s="5"/>
      <c r="Q27" s="5"/>
      <c r="Y27" s="4"/>
      <c r="Z27" s="5"/>
      <c r="FW27" s="4"/>
      <c r="FX27" s="5"/>
    </row>
    <row r="28" spans="1:180" x14ac:dyDescent="0.2">
      <c r="P28" s="5"/>
      <c r="Q28" s="5"/>
      <c r="Y28" s="4"/>
      <c r="Z28" s="5"/>
      <c r="FW28" s="4"/>
      <c r="FX28" s="5"/>
    </row>
    <row r="29" spans="1:180" x14ac:dyDescent="0.2">
      <c r="P29" s="5"/>
      <c r="Q29" s="5"/>
      <c r="Y29" s="4"/>
      <c r="Z29" s="5"/>
      <c r="FW29" s="4"/>
      <c r="FX29" s="5"/>
    </row>
    <row r="30" spans="1:180" x14ac:dyDescent="0.2">
      <c r="Y30" s="4"/>
      <c r="Z30" s="5"/>
      <c r="FW30" s="4"/>
      <c r="FX30" s="5"/>
    </row>
    <row r="31" spans="1:180" x14ac:dyDescent="0.2">
      <c r="Y31" s="4"/>
      <c r="Z31" s="5"/>
      <c r="FW31" s="4"/>
      <c r="FX31" s="5"/>
    </row>
    <row r="32" spans="1:180" x14ac:dyDescent="0.2">
      <c r="Y32" s="4"/>
      <c r="Z32" s="5"/>
      <c r="FW32" s="4"/>
      <c r="FX32" s="5"/>
    </row>
    <row r="33" spans="1:180" x14ac:dyDescent="0.2">
      <c r="Y33" s="4"/>
      <c r="Z33" s="5"/>
      <c r="FW33" s="4"/>
      <c r="FX33" s="5"/>
    </row>
    <row r="34" spans="1:180" x14ac:dyDescent="0.2">
      <c r="Y34" s="4"/>
      <c r="Z34" s="5"/>
      <c r="FW34" s="4"/>
      <c r="FX34" s="5" t="str">
        <f t="shared" ref="FX34:FX38" si="18">IF(FU34,FT34/FU34,"")</f>
        <v/>
      </c>
    </row>
    <row r="35" spans="1:180" x14ac:dyDescent="0.2">
      <c r="Y35" s="4"/>
      <c r="Z35" s="5"/>
      <c r="FW35" s="4"/>
      <c r="FX35" s="5" t="str">
        <f t="shared" si="18"/>
        <v/>
      </c>
    </row>
    <row r="36" spans="1:180" x14ac:dyDescent="0.2">
      <c r="Y36" s="4"/>
      <c r="Z36" s="5"/>
      <c r="FW36" s="4"/>
      <c r="FX36" s="5" t="str">
        <f t="shared" si="18"/>
        <v/>
      </c>
    </row>
    <row r="37" spans="1:180" x14ac:dyDescent="0.2">
      <c r="Y37" s="4"/>
      <c r="Z37" s="5"/>
      <c r="FW37" s="4"/>
      <c r="FX37" s="5" t="str">
        <f t="shared" si="18"/>
        <v/>
      </c>
    </row>
    <row r="38" spans="1:180" x14ac:dyDescent="0.2">
      <c r="Y38" s="4"/>
      <c r="Z38" s="5"/>
      <c r="FW38" s="4"/>
      <c r="FX38" s="5" t="str">
        <f t="shared" si="18"/>
        <v/>
      </c>
    </row>
    <row r="39" spans="1:180" x14ac:dyDescent="0.2">
      <c r="Y39" s="4"/>
      <c r="Z39" s="5"/>
      <c r="FW39" s="4"/>
      <c r="FX39" s="5"/>
    </row>
    <row r="40" spans="1:180" x14ac:dyDescent="0.2">
      <c r="Y40" s="4"/>
      <c r="Z40" s="5"/>
      <c r="FW40" s="4"/>
      <c r="FX40" s="5"/>
    </row>
    <row r="41" spans="1:180" x14ac:dyDescent="0.2">
      <c r="Y41" s="4"/>
      <c r="Z41" s="5"/>
      <c r="FW41" s="4"/>
      <c r="FX41" s="5"/>
    </row>
    <row r="43" spans="1:180" x14ac:dyDescent="0.2">
      <c r="A43" t="s">
        <v>57</v>
      </c>
      <c r="M43" t="s">
        <v>57</v>
      </c>
    </row>
    <row r="44" spans="1:180" x14ac:dyDescent="0.2">
      <c r="A44" t="s">
        <v>254</v>
      </c>
      <c r="B44" t="s">
        <v>58</v>
      </c>
      <c r="C44" t="s">
        <v>58</v>
      </c>
      <c r="D44" t="s">
        <v>58</v>
      </c>
      <c r="E44" t="s">
        <v>58</v>
      </c>
      <c r="F44" t="s">
        <v>58</v>
      </c>
      <c r="G44" t="s">
        <v>58</v>
      </c>
      <c r="H44" t="s">
        <v>58</v>
      </c>
      <c r="I44" t="s">
        <v>59</v>
      </c>
      <c r="J44" t="s">
        <v>60</v>
      </c>
      <c r="M44" t="s">
        <v>254</v>
      </c>
      <c r="N44" t="s">
        <v>58</v>
      </c>
      <c r="O44" t="s">
        <v>58</v>
      </c>
      <c r="P44" t="s">
        <v>58</v>
      </c>
      <c r="Q44" t="s">
        <v>58</v>
      </c>
      <c r="R44" t="s">
        <v>58</v>
      </c>
      <c r="S44" t="s">
        <v>59</v>
      </c>
      <c r="T44" t="s">
        <v>60</v>
      </c>
    </row>
    <row r="45" spans="1:180" x14ac:dyDescent="0.2">
      <c r="A45" t="str">
        <f>A2&amp;" &amp;"</f>
        <v xml:space="preserve"> &amp;</v>
      </c>
      <c r="B45" t="str">
        <f>"\textbf{"&amp;B6&amp;"}"&amp;IF(C45="\\",""," &amp;")</f>
        <v>\textbf{m4riRW} &amp;</v>
      </c>
      <c r="C45" t="str">
        <f t="shared" ref="C45:H45" si="19">"\textbf{"&amp;C6&amp;"}"&amp;IF(D45="\\",""," &amp;")</f>
        <v>\textbf{QDistRndMW} &amp;</v>
      </c>
      <c r="D45" t="str">
        <f t="shared" si="19"/>
        <v>\textbf{QDistEvol} &amp;</v>
      </c>
      <c r="E45" t="str">
        <f t="shared" si="19"/>
        <v>\textbf{BP-OSD} &amp;</v>
      </c>
      <c r="F45" t="str">
        <f t="shared" si="19"/>
        <v>\textbf{GEStim} &amp;</v>
      </c>
      <c r="G45" t="str">
        <f t="shared" si="19"/>
        <v>\textbf{CCStim} &amp;</v>
      </c>
      <c r="H45" t="str">
        <f t="shared" si="19"/>
        <v>\textbf{UEStim}</v>
      </c>
      <c r="I45" s="9" t="s">
        <v>61</v>
      </c>
      <c r="J45" t="s">
        <v>60</v>
      </c>
      <c r="M45" t="str">
        <f>M2&amp;" &amp;"</f>
        <v xml:space="preserve"> &amp;</v>
      </c>
      <c r="N45" t="str">
        <f>"\textbf{"&amp;N6&amp;"}"&amp;IF(O45="\\",""," &amp;")</f>
        <v>\textbf{Gurobi} &amp;</v>
      </c>
      <c r="O45" t="str">
        <f t="shared" ref="O45:P45" si="20">"\textbf{"&amp;O6&amp;"}"&amp;IF(P45="\\",""," &amp;")</f>
        <v>\textbf{MIP-SCIP} &amp;</v>
      </c>
      <c r="P45" t="str">
        <f t="shared" si="20"/>
        <v>\textbf{CLISAT} &amp;</v>
      </c>
      <c r="Q45" t="str">
        <f>"\textbf{"&amp;Q6&amp;"}"&amp;IF(R45="\\",""," &amp;")</f>
        <v>\textbf{m4riCC} &amp;</v>
      </c>
      <c r="R45" t="str">
        <f>"\textbf{"&amp;R6&amp;"}"&amp;IF(S45="\\",""," &amp;")</f>
        <v>\textbf{Magma}</v>
      </c>
      <c r="S45" s="9" t="s">
        <v>61</v>
      </c>
      <c r="T45" t="s">
        <v>60</v>
      </c>
      <c r="V45" s="9"/>
    </row>
    <row r="46" spans="1:180" x14ac:dyDescent="0.2">
      <c r="A46" t="str">
        <f t="shared" ref="A46:A55" si="21">"\textbf{"&amp;A7&amp;"} &amp;"</f>
        <v>\textbf{Result Returned} &amp;</v>
      </c>
      <c r="B46" t="str">
        <f t="shared" ref="B46:H55" ca="1" si="22">SUBSTITUTE(TEXT(B7,$J7)&amp;IF(C46="\\",""," &amp;"),"%","\%")</f>
        <v>19 &amp;</v>
      </c>
      <c r="C46" t="str">
        <f t="shared" ca="1" si="22"/>
        <v>19 &amp;</v>
      </c>
      <c r="D46" t="str">
        <f t="shared" ca="1" si="22"/>
        <v>19 &amp;</v>
      </c>
      <c r="E46" t="str">
        <f t="shared" ca="1" si="22"/>
        <v>19 &amp;</v>
      </c>
      <c r="F46" t="str">
        <f t="shared" ca="1" si="22"/>
        <v>1 &amp;</v>
      </c>
      <c r="G46" t="str">
        <f t="shared" ca="1" si="22"/>
        <v>2 &amp;</v>
      </c>
      <c r="H46" t="str">
        <f t="shared" ca="1" si="22"/>
        <v>4</v>
      </c>
      <c r="I46" s="9" t="s">
        <v>61</v>
      </c>
      <c r="M46" t="str">
        <f>"\textbf{"&amp;M7&amp;"} &amp;"</f>
        <v>\textbf{Result Returned} &amp;</v>
      </c>
      <c r="N46" t="str">
        <f t="shared" ref="N46:R54" ca="1" si="23">SUBSTITUTE(TEXT(N7,$S7)&amp;IF(O46="\\",""," &amp;"),"%","\%")</f>
        <v>19 &amp;</v>
      </c>
      <c r="O46" t="str">
        <f t="shared" ca="1" si="23"/>
        <v>19 &amp;</v>
      </c>
      <c r="P46" t="str">
        <f t="shared" ca="1" si="23"/>
        <v>17 &amp;</v>
      </c>
      <c r="Q46" t="str">
        <f t="shared" ca="1" si="23"/>
        <v>5 &amp;</v>
      </c>
      <c r="R46" t="str">
        <f t="shared" ca="1" si="23"/>
        <v>19</v>
      </c>
      <c r="S46" s="9" t="s">
        <v>61</v>
      </c>
      <c r="V46" s="9"/>
    </row>
    <row r="47" spans="1:180" x14ac:dyDescent="0.2">
      <c r="A47" t="str">
        <f t="shared" si="21"/>
        <v>\textbf{No Result} &amp;</v>
      </c>
      <c r="B47" t="str">
        <f t="shared" ca="1" si="22"/>
        <v>0 &amp;</v>
      </c>
      <c r="C47" t="str">
        <f t="shared" ca="1" si="22"/>
        <v>0 &amp;</v>
      </c>
      <c r="D47" t="str">
        <f t="shared" ca="1" si="22"/>
        <v>0 &amp;</v>
      </c>
      <c r="E47" t="str">
        <f t="shared" ca="1" si="22"/>
        <v>0 &amp;</v>
      </c>
      <c r="F47" t="str">
        <f t="shared" ca="1" si="22"/>
        <v>18 &amp;</v>
      </c>
      <c r="G47" t="str">
        <f t="shared" ca="1" si="22"/>
        <v>17 &amp;</v>
      </c>
      <c r="H47" t="str">
        <f t="shared" ca="1" si="22"/>
        <v>15</v>
      </c>
      <c r="I47" s="9" t="s">
        <v>61</v>
      </c>
      <c r="M47" t="str">
        <f t="shared" ref="M47:M54" si="24">"\textbf{"&amp;M8&amp;"} &amp;"</f>
        <v>\textbf{Completed &lt; MaxTime} &amp;</v>
      </c>
      <c r="N47" t="str">
        <f t="shared" ca="1" si="23"/>
        <v>6 &amp;</v>
      </c>
      <c r="O47" t="str">
        <f t="shared" ca="1" si="23"/>
        <v>6 &amp;</v>
      </c>
      <c r="P47" t="str">
        <f t="shared" ca="1" si="23"/>
        <v>6 &amp;</v>
      </c>
      <c r="Q47" t="str">
        <f t="shared" ca="1" si="23"/>
        <v>5 &amp;</v>
      </c>
      <c r="R47" t="str">
        <f t="shared" ca="1" si="23"/>
        <v>9</v>
      </c>
      <c r="S47" s="9" t="s">
        <v>61</v>
      </c>
      <c r="V47" s="9"/>
    </row>
    <row r="48" spans="1:180" x14ac:dyDescent="0.2">
      <c r="A48" t="str">
        <f t="shared" si="21"/>
        <v>\textbf{At lowest distance} &amp;</v>
      </c>
      <c r="B48" t="str">
        <f t="shared" ca="1" si="22"/>
        <v>19 &amp;</v>
      </c>
      <c r="C48" t="str">
        <f t="shared" ca="1" si="22"/>
        <v>19 &amp;</v>
      </c>
      <c r="D48" t="str">
        <f t="shared" ca="1" si="22"/>
        <v>19 &amp;</v>
      </c>
      <c r="E48" t="str">
        <f t="shared" ca="1" si="22"/>
        <v>19 &amp;</v>
      </c>
      <c r="F48" t="str">
        <f t="shared" ca="1" si="22"/>
        <v>1 &amp;</v>
      </c>
      <c r="G48" t="str">
        <f t="shared" ca="1" si="22"/>
        <v>2 &amp;</v>
      </c>
      <c r="H48" t="str">
        <f t="shared" ca="1" si="22"/>
        <v>4</v>
      </c>
      <c r="I48" s="9" t="s">
        <v>61</v>
      </c>
      <c r="M48" t="str">
        <f t="shared" si="24"/>
        <v>\textbf{Completed &gt; MaxTime} &amp;</v>
      </c>
      <c r="N48" t="str">
        <f t="shared" ca="1" si="23"/>
        <v>13 &amp;</v>
      </c>
      <c r="O48" t="str">
        <f t="shared" ca="1" si="23"/>
        <v>13 &amp;</v>
      </c>
      <c r="P48" t="str">
        <f t="shared" ca="1" si="23"/>
        <v>11 &amp;</v>
      </c>
      <c r="Q48" t="str">
        <f t="shared" ca="1" si="23"/>
        <v>0 &amp;</v>
      </c>
      <c r="R48" t="str">
        <f t="shared" ca="1" si="23"/>
        <v>10</v>
      </c>
      <c r="S48" s="9" t="s">
        <v>61</v>
      </c>
      <c r="V48" s="9"/>
    </row>
    <row r="49" spans="1:180" x14ac:dyDescent="0.2">
      <c r="A49" t="str">
        <f t="shared" si="21"/>
        <v>\textbf{Overall Success Rate} &amp;</v>
      </c>
      <c r="B49" t="str">
        <f t="shared" ca="1" si="22"/>
        <v>100.0\% &amp;</v>
      </c>
      <c r="C49" t="str">
        <f t="shared" ca="1" si="22"/>
        <v>100.0\% &amp;</v>
      </c>
      <c r="D49" t="str">
        <f t="shared" ca="1" si="22"/>
        <v>100.0\% &amp;</v>
      </c>
      <c r="E49" t="str">
        <f t="shared" ca="1" si="22"/>
        <v>100.0\% &amp;</v>
      </c>
      <c r="F49" t="str">
        <f t="shared" ca="1" si="22"/>
        <v>5.3\% &amp;</v>
      </c>
      <c r="G49" t="str">
        <f t="shared" ca="1" si="22"/>
        <v>10.5\% &amp;</v>
      </c>
      <c r="H49" t="str">
        <f t="shared" ca="1" si="22"/>
        <v>21.1\%</v>
      </c>
      <c r="I49" s="9" t="s">
        <v>61</v>
      </c>
      <c r="J49" t="s">
        <v>60</v>
      </c>
      <c r="M49" t="str">
        <f t="shared" si="24"/>
        <v>\textbf{No Result} &amp;</v>
      </c>
      <c r="N49" t="str">
        <f t="shared" ca="1" si="23"/>
        <v>0 &amp;</v>
      </c>
      <c r="O49" t="str">
        <f t="shared" ca="1" si="23"/>
        <v>0 &amp;</v>
      </c>
      <c r="P49" t="str">
        <f t="shared" ca="1" si="23"/>
        <v>2 &amp;</v>
      </c>
      <c r="Q49" t="str">
        <f t="shared" ca="1" si="23"/>
        <v>14 &amp;</v>
      </c>
      <c r="R49" t="str">
        <f t="shared" ca="1" si="23"/>
        <v>0</v>
      </c>
      <c r="S49" s="9" t="s">
        <v>61</v>
      </c>
      <c r="V49" s="9"/>
    </row>
    <row r="50" spans="1:180" x14ac:dyDescent="0.2">
      <c r="A50" t="str">
        <f t="shared" si="21"/>
        <v>\textbf{Total Time (s)} &amp;</v>
      </c>
      <c r="B50" t="str">
        <f t="shared" ca="1" si="22"/>
        <v>3.1E+01 &amp;</v>
      </c>
      <c r="C50" t="str">
        <f t="shared" ca="1" si="22"/>
        <v>3.8E+02 &amp;</v>
      </c>
      <c r="D50" t="str">
        <f t="shared" ca="1" si="22"/>
        <v>3.8E+02 &amp;</v>
      </c>
      <c r="E50" t="str">
        <f t="shared" ca="1" si="22"/>
        <v>4.6E+04 &amp;</v>
      </c>
      <c r="F50" t="str">
        <f t="shared" ca="1" si="22"/>
        <v>1.2E+00 &amp;</v>
      </c>
      <c r="G50" t="str">
        <f t="shared" ca="1" si="22"/>
        <v>1.4E+00 &amp;</v>
      </c>
      <c r="H50" t="str">
        <f t="shared" ca="1" si="22"/>
        <v>4.2E+00</v>
      </c>
      <c r="I50" s="9" t="s">
        <v>61</v>
      </c>
      <c r="M50" t="str">
        <f t="shared" si="24"/>
        <v>\textbf{At lowest distance} &amp;</v>
      </c>
      <c r="N50" t="str">
        <f t="shared" ca="1" si="23"/>
        <v>16 &amp;</v>
      </c>
      <c r="O50" t="str">
        <f t="shared" ca="1" si="23"/>
        <v>19 &amp;</v>
      </c>
      <c r="P50" t="str">
        <f t="shared" ca="1" si="23"/>
        <v>7 &amp;</v>
      </c>
      <c r="Q50" t="str">
        <f t="shared" ca="1" si="23"/>
        <v>5 &amp;</v>
      </c>
      <c r="R50" t="str">
        <f t="shared" ca="1" si="23"/>
        <v>19</v>
      </c>
      <c r="S50" s="9" t="s">
        <v>61</v>
      </c>
      <c r="V50" s="9"/>
    </row>
    <row r="51" spans="1:180" x14ac:dyDescent="0.2">
      <c r="A51" t="str">
        <f t="shared" si="21"/>
        <v>\textbf{Trials} &amp;</v>
      </c>
      <c r="B51" t="str">
        <f t="shared" ca="1" si="22"/>
        <v>0 &amp;</v>
      </c>
      <c r="C51" t="str">
        <f t="shared" ca="1" si="22"/>
        <v>190,000 &amp;</v>
      </c>
      <c r="D51" t="str">
        <f t="shared" ca="1" si="22"/>
        <v>190,000 &amp;</v>
      </c>
      <c r="E51" t="str">
        <f t="shared" ca="1" si="22"/>
        <v>190,000 &amp;</v>
      </c>
      <c r="F51" t="str">
        <f t="shared" ca="1" si="22"/>
        <v>19 &amp;</v>
      </c>
      <c r="G51" t="str">
        <f t="shared" ca="1" si="22"/>
        <v>19 &amp;</v>
      </c>
      <c r="H51" t="str">
        <f t="shared" ca="1" si="22"/>
        <v>154</v>
      </c>
      <c r="I51" s="9" t="s">
        <v>61</v>
      </c>
      <c r="M51" t="str">
        <f t="shared" si="24"/>
        <v>\textbf{Overall success rate} &amp;</v>
      </c>
      <c r="N51" t="str">
        <f t="shared" ca="1" si="23"/>
        <v>84.2\% &amp;</v>
      </c>
      <c r="O51" t="str">
        <f t="shared" ca="1" si="23"/>
        <v>100.0\% &amp;</v>
      </c>
      <c r="P51" t="str">
        <f t="shared" ca="1" si="23"/>
        <v>36.8\% &amp;</v>
      </c>
      <c r="Q51" t="str">
        <f t="shared" ca="1" si="23"/>
        <v>26.3\% &amp;</v>
      </c>
      <c r="R51" t="str">
        <f t="shared" ca="1" si="23"/>
        <v>100.0\%</v>
      </c>
      <c r="S51" s="9" t="s">
        <v>61</v>
      </c>
      <c r="T51" t="s">
        <v>60</v>
      </c>
      <c r="V51" s="9"/>
    </row>
    <row r="52" spans="1:180" x14ac:dyDescent="0.2">
      <c r="A52" t="str">
        <f t="shared" si="21"/>
        <v>\textbf{Trials at lowest distance} &amp;</v>
      </c>
      <c r="B52" t="str">
        <f t="shared" ca="1" si="22"/>
        <v xml:space="preserve"> &amp;</v>
      </c>
      <c r="C52" t="str">
        <f t="shared" ca="1" si="22"/>
        <v>53,904 &amp;</v>
      </c>
      <c r="D52" t="str">
        <f t="shared" ca="1" si="22"/>
        <v>136,633 &amp;</v>
      </c>
      <c r="E52" t="str">
        <f t="shared" ca="1" si="22"/>
        <v>40,404 &amp;</v>
      </c>
      <c r="F52" t="str">
        <f t="shared" ca="1" si="22"/>
        <v>1 &amp;</v>
      </c>
      <c r="G52" t="str">
        <f t="shared" ca="1" si="22"/>
        <v>2 &amp;</v>
      </c>
      <c r="H52" t="str">
        <f t="shared" ca="1" si="22"/>
        <v>8</v>
      </c>
      <c r="I52" s="9" t="s">
        <v>61</v>
      </c>
      <c r="M52" t="str">
        <f t="shared" si="24"/>
        <v>\textbf{Total Time} &amp;</v>
      </c>
      <c r="N52" t="str">
        <f t="shared" ca="1" si="23"/>
        <v>3.8E+05 &amp;</v>
      </c>
      <c r="O52" t="str">
        <f t="shared" ca="1" si="23"/>
        <v>3.8E+05 &amp;</v>
      </c>
      <c r="P52" t="str">
        <f t="shared" ca="1" si="23"/>
        <v>3.8E+05 &amp;</v>
      </c>
      <c r="Q52" t="str">
        <f t="shared" ca="1" si="23"/>
        <v>4.0E+05 &amp;</v>
      </c>
      <c r="R52" t="str">
        <f t="shared" ca="1" si="23"/>
        <v>2.9E+05</v>
      </c>
      <c r="S52" s="9" t="s">
        <v>61</v>
      </c>
      <c r="V52" s="9"/>
    </row>
    <row r="53" spans="1:180" x14ac:dyDescent="0.2">
      <c r="A53" t="str">
        <f t="shared" si="21"/>
        <v>\textbf{Trial Success Rate} &amp;</v>
      </c>
      <c r="B53" t="str">
        <f t="shared" ca="1" si="22"/>
        <v xml:space="preserve"> &amp;</v>
      </c>
      <c r="C53" t="str">
        <f t="shared" ca="1" si="22"/>
        <v>28.4\% &amp;</v>
      </c>
      <c r="D53" t="str">
        <f t="shared" ca="1" si="22"/>
        <v>71.9\% &amp;</v>
      </c>
      <c r="E53" t="str">
        <f t="shared" ca="1" si="22"/>
        <v>21.3\% &amp;</v>
      </c>
      <c r="F53" t="str">
        <f t="shared" ca="1" si="22"/>
        <v>5.3\% &amp;</v>
      </c>
      <c r="G53" t="str">
        <f t="shared" ca="1" si="22"/>
        <v>10.5\% &amp;</v>
      </c>
      <c r="H53" t="str">
        <f t="shared" ca="1" si="22"/>
        <v>5.2\%</v>
      </c>
      <c r="I53" s="9" t="s">
        <v>61</v>
      </c>
      <c r="M53" t="str">
        <f t="shared" si="24"/>
        <v>\textbf{Time/Trial} &amp;</v>
      </c>
      <c r="N53" t="str">
        <f t="shared" ca="1" si="23"/>
        <v>2.0E+04 &amp;</v>
      </c>
      <c r="O53" t="str">
        <f t="shared" ca="1" si="23"/>
        <v>2.0E+04 &amp;</v>
      </c>
      <c r="P53" t="str">
        <f t="shared" ca="1" si="23"/>
        <v>2.0E+04 &amp;</v>
      </c>
      <c r="Q53" t="str">
        <f t="shared" ca="1" si="23"/>
        <v>2.1E+04 &amp;</v>
      </c>
      <c r="R53" t="str">
        <f t="shared" ca="1" si="23"/>
        <v>1.5E+04</v>
      </c>
      <c r="S53" s="9" t="s">
        <v>61</v>
      </c>
      <c r="V53" s="9"/>
    </row>
    <row r="54" spans="1:180" x14ac:dyDescent="0.2">
      <c r="A54" t="str">
        <f t="shared" si="21"/>
        <v>\textbf{Time/Trial} &amp;</v>
      </c>
      <c r="B54" t="str">
        <f t="shared" ca="1" si="22"/>
        <v xml:space="preserve"> &amp;</v>
      </c>
      <c r="C54" t="str">
        <f t="shared" ca="1" si="22"/>
        <v>2.0E-03 &amp;</v>
      </c>
      <c r="D54" t="str">
        <f t="shared" ca="1" si="22"/>
        <v>2.0E-03 &amp;</v>
      </c>
      <c r="E54" t="str">
        <f t="shared" ca="1" si="22"/>
        <v>2.4E-01 &amp;</v>
      </c>
      <c r="F54" t="str">
        <f t="shared" ca="1" si="22"/>
        <v>6.4E-02 &amp;</v>
      </c>
      <c r="G54" t="str">
        <f t="shared" ca="1" si="22"/>
        <v>7.5E-02 &amp;</v>
      </c>
      <c r="H54" t="str">
        <f t="shared" ca="1" si="22"/>
        <v>2.7E-02</v>
      </c>
      <c r="I54" s="9" t="s">
        <v>61</v>
      </c>
      <c r="M54" t="str">
        <f t="shared" si="24"/>
        <v>\textbf{Time/Successful Trial} &amp;</v>
      </c>
      <c r="N54" t="str">
        <f ca="1">SUBSTITUTE(TEXT(N15,$S15)&amp;IF(O54="\\",""," &amp;"),"%","\%")</f>
        <v>2.3E+04 &amp;</v>
      </c>
      <c r="O54" t="str">
        <f t="shared" ca="1" si="23"/>
        <v>2.0E+04 &amp;</v>
      </c>
      <c r="P54" t="str">
        <f t="shared" ca="1" si="23"/>
        <v>5.4E+04 &amp;</v>
      </c>
      <c r="Q54" t="str">
        <f t="shared" ca="1" si="23"/>
        <v>8.1E+04 &amp;</v>
      </c>
      <c r="R54" t="str">
        <f t="shared" ca="1" si="23"/>
        <v>1.5E+04</v>
      </c>
      <c r="S54" s="9" t="s">
        <v>61</v>
      </c>
      <c r="T54" t="s">
        <v>60</v>
      </c>
      <c r="V54" s="9"/>
    </row>
    <row r="55" spans="1:180" x14ac:dyDescent="0.2">
      <c r="A55" t="str">
        <f t="shared" si="21"/>
        <v>\textbf{Time/Successful Trial} &amp;</v>
      </c>
      <c r="B55" t="str">
        <f t="shared" ca="1" si="22"/>
        <v xml:space="preserve"> &amp;</v>
      </c>
      <c r="C55" t="str">
        <f t="shared" ca="1" si="22"/>
        <v>7.1E-03 &amp;</v>
      </c>
      <c r="D55" t="str">
        <f t="shared" ca="1" si="22"/>
        <v>2.8E-03 &amp;</v>
      </c>
      <c r="E55" t="str">
        <f t="shared" ca="1" si="22"/>
        <v>1.1E+00 &amp;</v>
      </c>
      <c r="F55" t="str">
        <f t="shared" ca="1" si="22"/>
        <v>1.2E+00 &amp;</v>
      </c>
      <c r="G55" t="str">
        <f t="shared" ca="1" si="22"/>
        <v>7.1E-01 &amp;</v>
      </c>
      <c r="H55" t="str">
        <f t="shared" ca="1" si="22"/>
        <v>5.2E-01</v>
      </c>
      <c r="I55" s="9" t="s">
        <v>61</v>
      </c>
      <c r="J55" t="s">
        <v>60</v>
      </c>
      <c r="M55" t="s">
        <v>62</v>
      </c>
      <c r="V55" s="9"/>
    </row>
    <row r="56" spans="1:180" x14ac:dyDescent="0.2">
      <c r="A56" t="s">
        <v>62</v>
      </c>
      <c r="J56" s="9"/>
      <c r="M56" t="s">
        <v>63</v>
      </c>
      <c r="V56" s="9"/>
    </row>
    <row r="57" spans="1:180" x14ac:dyDescent="0.2">
      <c r="A57" t="s">
        <v>63</v>
      </c>
      <c r="V57" s="9"/>
    </row>
    <row r="59" spans="1:180" x14ac:dyDescent="0.2">
      <c r="V59" s="4"/>
      <c r="W59" s="5"/>
    </row>
    <row r="60" spans="1:180" x14ac:dyDescent="0.2">
      <c r="M60" s="6"/>
      <c r="N60" s="6"/>
      <c r="O60" s="6"/>
      <c r="V60" s="4"/>
      <c r="W60" s="5"/>
    </row>
    <row r="61" spans="1:180" x14ac:dyDescent="0.2">
      <c r="V61" s="4"/>
      <c r="W61" s="5"/>
    </row>
    <row r="62" spans="1:180" x14ac:dyDescent="0.2">
      <c r="E62" s="6"/>
      <c r="F62" s="6"/>
      <c r="G62" s="6"/>
      <c r="H62" s="6"/>
      <c r="I62" s="6"/>
      <c r="J62" s="6"/>
      <c r="K62" s="6"/>
      <c r="L62" s="6"/>
      <c r="M62" s="6"/>
      <c r="N62" s="6"/>
      <c r="O62" s="6"/>
      <c r="Y62" s="4"/>
      <c r="Z62" s="5"/>
      <c r="FW62" s="4"/>
      <c r="FX62" s="5"/>
    </row>
    <row r="63" spans="1:180" x14ac:dyDescent="0.2">
      <c r="Y63" s="4"/>
      <c r="Z63" s="5"/>
      <c r="FW63" s="4"/>
      <c r="FX63" s="5"/>
    </row>
    <row r="64" spans="1:180" x14ac:dyDescent="0.2">
      <c r="A64" t="s">
        <v>255</v>
      </c>
      <c r="B64">
        <f ca="1">MATCH("name",INDIRECT($A$67&amp;"!a:a"),)</f>
        <v>24</v>
      </c>
      <c r="Y64" s="4"/>
      <c r="Z64" s="5"/>
      <c r="FW64" s="4"/>
      <c r="FX64" s="5"/>
    </row>
    <row r="65" spans="1:222" x14ac:dyDescent="0.2">
      <c r="Y65" s="4"/>
      <c r="Z65" s="5"/>
      <c r="FS65" t="s">
        <v>256</v>
      </c>
      <c r="FT65" t="str">
        <f>B19</f>
        <v>QDistRndMW</v>
      </c>
      <c r="FW65" s="4"/>
      <c r="FX65" s="5"/>
    </row>
    <row r="66" spans="1:222" s="6" customFormat="1" x14ac:dyDescent="0.2">
      <c r="E66" s="6" t="s">
        <v>64</v>
      </c>
      <c r="V66" s="6" t="s">
        <v>65</v>
      </c>
      <c r="AM66" s="6" t="s">
        <v>257</v>
      </c>
      <c r="AV66" s="6" t="s">
        <v>324</v>
      </c>
      <c r="BD66" s="6" t="s">
        <v>66</v>
      </c>
      <c r="BU66" s="6" t="s">
        <v>67</v>
      </c>
      <c r="CL66" s="6" t="s">
        <v>68</v>
      </c>
      <c r="DC66" s="6" t="s">
        <v>55</v>
      </c>
      <c r="DT66" s="6" t="s">
        <v>310</v>
      </c>
      <c r="EK66" s="6" t="s">
        <v>26</v>
      </c>
      <c r="FB66" s="6" t="s">
        <v>27</v>
      </c>
      <c r="FS66" s="6" t="s">
        <v>255</v>
      </c>
      <c r="FT66">
        <f>MATCH(B19,E67:Q67,)</f>
        <v>7</v>
      </c>
      <c r="FU66"/>
      <c r="FV66"/>
      <c r="FW66" s="4"/>
      <c r="FX66" s="5"/>
      <c r="FZ66" s="6" t="s">
        <v>373</v>
      </c>
      <c r="GN66" s="6" t="s">
        <v>378</v>
      </c>
      <c r="HB66" s="6" t="s">
        <v>379</v>
      </c>
    </row>
    <row r="67" spans="1:222" s="6" customFormat="1" x14ac:dyDescent="0.2">
      <c r="A67" s="6" t="s">
        <v>312</v>
      </c>
      <c r="B67" s="6" t="s">
        <v>21</v>
      </c>
      <c r="C67" s="6" t="s">
        <v>69</v>
      </c>
      <c r="E67" s="6" t="s">
        <v>76</v>
      </c>
      <c r="F67" s="6" t="s">
        <v>77</v>
      </c>
      <c r="G67" s="6" t="s">
        <v>70</v>
      </c>
      <c r="H67" s="6" t="s">
        <v>73</v>
      </c>
      <c r="I67" s="6" t="s">
        <v>258</v>
      </c>
      <c r="J67" s="6" t="s">
        <v>74</v>
      </c>
      <c r="K67" s="6" t="s">
        <v>54</v>
      </c>
      <c r="L67" s="6" t="s">
        <v>78</v>
      </c>
      <c r="M67" s="6" t="s">
        <v>72</v>
      </c>
      <c r="N67" s="6" t="s">
        <v>75</v>
      </c>
      <c r="O67" s="6" t="s">
        <v>71</v>
      </c>
      <c r="P67" s="6" t="s">
        <v>79</v>
      </c>
      <c r="V67" s="6" t="str">
        <f t="shared" ref="V67:AG67" si="25">E67</f>
        <v>Gurobi</v>
      </c>
      <c r="W67" s="6" t="str">
        <f t="shared" si="25"/>
        <v>MIP-SCIP</v>
      </c>
      <c r="X67" s="6" t="str">
        <f t="shared" si="25"/>
        <v>CLISAT</v>
      </c>
      <c r="Y67" s="6" t="str">
        <f t="shared" si="25"/>
        <v>m4ri_CC</v>
      </c>
      <c r="Z67" s="6" t="str">
        <f t="shared" si="25"/>
        <v>magma</v>
      </c>
      <c r="AA67" s="6" t="str">
        <f t="shared" si="25"/>
        <v>m4ri_RW</v>
      </c>
      <c r="AB67" s="6" t="str">
        <f t="shared" si="25"/>
        <v>QDistRndMW</v>
      </c>
      <c r="AC67" s="6" t="str">
        <f t="shared" si="25"/>
        <v>QDistEvol</v>
      </c>
      <c r="AD67" s="6" t="str">
        <f t="shared" si="25"/>
        <v>bposd</v>
      </c>
      <c r="AE67" s="6" t="str">
        <f t="shared" si="25"/>
        <v>GEStim</v>
      </c>
      <c r="AF67" s="6" t="str">
        <f t="shared" si="25"/>
        <v>CCStim</v>
      </c>
      <c r="AG67" s="6" t="str">
        <f t="shared" si="25"/>
        <v>UEStim</v>
      </c>
      <c r="AM67" s="6" t="str">
        <f t="shared" ref="AM67:AQ67" si="26">E67</f>
        <v>Gurobi</v>
      </c>
      <c r="AN67" s="6" t="str">
        <f t="shared" si="26"/>
        <v>MIP-SCIP</v>
      </c>
      <c r="AO67" s="6" t="str">
        <f t="shared" si="26"/>
        <v>CLISAT</v>
      </c>
      <c r="AP67" s="6" t="str">
        <f t="shared" si="26"/>
        <v>m4ri_CC</v>
      </c>
      <c r="AQ67" s="6" t="str">
        <f t="shared" si="26"/>
        <v>magma</v>
      </c>
      <c r="AV67" s="6" t="str">
        <f>AM67</f>
        <v>Gurobi</v>
      </c>
      <c r="AW67" s="6" t="str">
        <f t="shared" ref="AW67:AZ67" si="27">AN67</f>
        <v>MIP-SCIP</v>
      </c>
      <c r="AX67" s="6" t="str">
        <f t="shared" si="27"/>
        <v>CLISAT</v>
      </c>
      <c r="AY67" s="6" t="str">
        <f t="shared" si="27"/>
        <v>m4ri_CC</v>
      </c>
      <c r="AZ67" s="6" t="str">
        <f t="shared" si="27"/>
        <v>magma</v>
      </c>
      <c r="BD67" s="6" t="str">
        <f t="shared" ref="BD67:BO67" si="28">V67</f>
        <v>Gurobi</v>
      </c>
      <c r="BE67" s="6" t="str">
        <f t="shared" si="28"/>
        <v>MIP-SCIP</v>
      </c>
      <c r="BF67" s="6" t="str">
        <f t="shared" si="28"/>
        <v>CLISAT</v>
      </c>
      <c r="BG67" s="6" t="str">
        <f t="shared" si="28"/>
        <v>m4ri_CC</v>
      </c>
      <c r="BH67" s="6" t="str">
        <f t="shared" si="28"/>
        <v>magma</v>
      </c>
      <c r="BI67" s="6" t="str">
        <f t="shared" si="28"/>
        <v>m4ri_RW</v>
      </c>
      <c r="BJ67" s="6" t="str">
        <f t="shared" si="28"/>
        <v>QDistRndMW</v>
      </c>
      <c r="BK67" s="6" t="str">
        <f t="shared" si="28"/>
        <v>QDistEvol</v>
      </c>
      <c r="BL67" s="6" t="str">
        <f t="shared" si="28"/>
        <v>bposd</v>
      </c>
      <c r="BM67" s="6" t="str">
        <f t="shared" si="28"/>
        <v>GEStim</v>
      </c>
      <c r="BN67" s="6" t="str">
        <f t="shared" si="28"/>
        <v>CCStim</v>
      </c>
      <c r="BO67" s="6" t="str">
        <f t="shared" si="28"/>
        <v>UEStim</v>
      </c>
      <c r="BU67" s="6" t="str">
        <f t="shared" ref="BU67:CF67" si="29">BD67</f>
        <v>Gurobi</v>
      </c>
      <c r="BV67" s="6" t="str">
        <f t="shared" si="29"/>
        <v>MIP-SCIP</v>
      </c>
      <c r="BW67" s="6" t="str">
        <f t="shared" si="29"/>
        <v>CLISAT</v>
      </c>
      <c r="BX67" s="6" t="str">
        <f t="shared" si="29"/>
        <v>m4ri_CC</v>
      </c>
      <c r="BY67" s="6" t="str">
        <f t="shared" si="29"/>
        <v>magma</v>
      </c>
      <c r="BZ67" s="6" t="str">
        <f t="shared" si="29"/>
        <v>m4ri_RW</v>
      </c>
      <c r="CA67" s="6" t="str">
        <f t="shared" si="29"/>
        <v>QDistRndMW</v>
      </c>
      <c r="CB67" s="6" t="str">
        <f t="shared" si="29"/>
        <v>QDistEvol</v>
      </c>
      <c r="CC67" s="6" t="str">
        <f t="shared" si="29"/>
        <v>bposd</v>
      </c>
      <c r="CD67" s="6" t="str">
        <f t="shared" si="29"/>
        <v>GEStim</v>
      </c>
      <c r="CE67" s="6" t="str">
        <f t="shared" si="29"/>
        <v>CCStim</v>
      </c>
      <c r="CF67" s="6" t="str">
        <f t="shared" si="29"/>
        <v>UEStim</v>
      </c>
      <c r="CL67" s="6" t="str">
        <f t="shared" ref="CL67:CW67" si="30">BU67</f>
        <v>Gurobi</v>
      </c>
      <c r="CM67" s="6" t="str">
        <f t="shared" si="30"/>
        <v>MIP-SCIP</v>
      </c>
      <c r="CN67" s="6" t="str">
        <f t="shared" si="30"/>
        <v>CLISAT</v>
      </c>
      <c r="CO67" s="6" t="str">
        <f t="shared" si="30"/>
        <v>m4ri_CC</v>
      </c>
      <c r="CP67" s="6" t="str">
        <f t="shared" si="30"/>
        <v>magma</v>
      </c>
      <c r="CQ67" s="6" t="str">
        <f t="shared" si="30"/>
        <v>m4ri_RW</v>
      </c>
      <c r="CR67" s="6" t="str">
        <f t="shared" si="30"/>
        <v>QDistRndMW</v>
      </c>
      <c r="CS67" s="6" t="str">
        <f t="shared" si="30"/>
        <v>QDistEvol</v>
      </c>
      <c r="CT67" s="6" t="str">
        <f t="shared" si="30"/>
        <v>bposd</v>
      </c>
      <c r="CU67" s="6" t="str">
        <f t="shared" si="30"/>
        <v>GEStim</v>
      </c>
      <c r="CV67" s="6" t="str">
        <f t="shared" si="30"/>
        <v>CCStim</v>
      </c>
      <c r="CW67" s="6" t="str">
        <f t="shared" si="30"/>
        <v>UEStim</v>
      </c>
      <c r="DC67" s="6" t="str">
        <f t="shared" ref="DC67:DN67" si="31">CL67</f>
        <v>Gurobi</v>
      </c>
      <c r="DD67" s="6" t="str">
        <f t="shared" si="31"/>
        <v>MIP-SCIP</v>
      </c>
      <c r="DE67" s="6" t="str">
        <f t="shared" si="31"/>
        <v>CLISAT</v>
      </c>
      <c r="DF67" s="6" t="str">
        <f t="shared" si="31"/>
        <v>m4ri_CC</v>
      </c>
      <c r="DG67" s="6" t="str">
        <f t="shared" si="31"/>
        <v>magma</v>
      </c>
      <c r="DH67" s="6" t="str">
        <f t="shared" si="31"/>
        <v>m4ri_RW</v>
      </c>
      <c r="DI67" s="6" t="str">
        <f t="shared" si="31"/>
        <v>QDistRndMW</v>
      </c>
      <c r="DJ67" s="6" t="str">
        <f t="shared" si="31"/>
        <v>QDistEvol</v>
      </c>
      <c r="DK67" s="6" t="str">
        <f t="shared" si="31"/>
        <v>bposd</v>
      </c>
      <c r="DL67" s="6" t="str">
        <f t="shared" si="31"/>
        <v>GEStim</v>
      </c>
      <c r="DM67" s="6" t="str">
        <f t="shared" si="31"/>
        <v>CCStim</v>
      </c>
      <c r="DN67" s="6" t="str">
        <f t="shared" si="31"/>
        <v>UEStim</v>
      </c>
      <c r="DT67" s="6" t="str">
        <f t="shared" ref="DT67:EE67" si="32">DC67</f>
        <v>Gurobi</v>
      </c>
      <c r="DU67" s="6" t="str">
        <f t="shared" si="32"/>
        <v>MIP-SCIP</v>
      </c>
      <c r="DV67" s="6" t="str">
        <f t="shared" si="32"/>
        <v>CLISAT</v>
      </c>
      <c r="DW67" s="6" t="str">
        <f t="shared" si="32"/>
        <v>m4ri_CC</v>
      </c>
      <c r="DX67" s="6" t="str">
        <f t="shared" si="32"/>
        <v>magma</v>
      </c>
      <c r="DY67" s="6" t="str">
        <f t="shared" si="32"/>
        <v>m4ri_RW</v>
      </c>
      <c r="DZ67" s="6" t="str">
        <f t="shared" si="32"/>
        <v>QDistRndMW</v>
      </c>
      <c r="EA67" s="6" t="str">
        <f t="shared" si="32"/>
        <v>QDistEvol</v>
      </c>
      <c r="EB67" s="6" t="str">
        <f t="shared" si="32"/>
        <v>bposd</v>
      </c>
      <c r="EC67" s="6" t="str">
        <f t="shared" si="32"/>
        <v>GEStim</v>
      </c>
      <c r="ED67" s="6" t="str">
        <f t="shared" si="32"/>
        <v>CCStim</v>
      </c>
      <c r="EE67" s="6" t="str">
        <f t="shared" si="32"/>
        <v>UEStim</v>
      </c>
      <c r="EK67" s="6" t="str">
        <f t="shared" ref="EK67:EV67" si="33">DT67</f>
        <v>Gurobi</v>
      </c>
      <c r="EL67" s="6" t="str">
        <f t="shared" si="33"/>
        <v>MIP-SCIP</v>
      </c>
      <c r="EM67" s="6" t="str">
        <f t="shared" si="33"/>
        <v>CLISAT</v>
      </c>
      <c r="EN67" s="6" t="str">
        <f t="shared" si="33"/>
        <v>m4ri_CC</v>
      </c>
      <c r="EO67" s="6" t="str">
        <f t="shared" si="33"/>
        <v>magma</v>
      </c>
      <c r="EP67" s="6" t="str">
        <f t="shared" si="33"/>
        <v>m4ri_RW</v>
      </c>
      <c r="EQ67" s="6" t="str">
        <f t="shared" si="33"/>
        <v>QDistRndMW</v>
      </c>
      <c r="ER67" s="6" t="str">
        <f t="shared" si="33"/>
        <v>QDistEvol</v>
      </c>
      <c r="ES67" s="6" t="str">
        <f t="shared" si="33"/>
        <v>bposd</v>
      </c>
      <c r="ET67" s="6" t="str">
        <f t="shared" si="33"/>
        <v>GEStim</v>
      </c>
      <c r="EU67" s="6" t="str">
        <f t="shared" si="33"/>
        <v>CCStim</v>
      </c>
      <c r="EV67" s="6" t="str">
        <f t="shared" si="33"/>
        <v>UEStim</v>
      </c>
      <c r="FB67" s="6" t="str">
        <f t="shared" ref="FB67:FM67" si="34">EK67</f>
        <v>Gurobi</v>
      </c>
      <c r="FC67" s="6" t="str">
        <f t="shared" si="34"/>
        <v>MIP-SCIP</v>
      </c>
      <c r="FD67" s="6" t="str">
        <f t="shared" si="34"/>
        <v>CLISAT</v>
      </c>
      <c r="FE67" s="6" t="str">
        <f t="shared" si="34"/>
        <v>m4ri_CC</v>
      </c>
      <c r="FF67" s="6" t="str">
        <f t="shared" si="34"/>
        <v>magma</v>
      </c>
      <c r="FG67" s="6" t="str">
        <f t="shared" si="34"/>
        <v>m4ri_RW</v>
      </c>
      <c r="FH67" s="6" t="str">
        <f t="shared" si="34"/>
        <v>QDistRndMW</v>
      </c>
      <c r="FI67" s="6" t="str">
        <f t="shared" si="34"/>
        <v>QDistEvol</v>
      </c>
      <c r="FJ67" s="6" t="str">
        <f t="shared" si="34"/>
        <v>bposd</v>
      </c>
      <c r="FK67" s="6" t="str">
        <f t="shared" si="34"/>
        <v>GEStim</v>
      </c>
      <c r="FL67" s="6" t="str">
        <f t="shared" si="34"/>
        <v>CCStim</v>
      </c>
      <c r="FM67" s="6" t="str">
        <f t="shared" si="34"/>
        <v>UEStim</v>
      </c>
      <c r="FS67" s="3" t="s">
        <v>21</v>
      </c>
      <c r="FT67" s="3" t="s">
        <v>47</v>
      </c>
      <c r="FU67" t="s">
        <v>26</v>
      </c>
      <c r="FV67" t="s">
        <v>27</v>
      </c>
      <c r="FW67" t="s">
        <v>48</v>
      </c>
      <c r="FX67" t="s">
        <v>49</v>
      </c>
      <c r="FZ67" s="6" t="str">
        <f>GN67</f>
        <v>n</v>
      </c>
      <c r="GA67" s="6" t="s">
        <v>76</v>
      </c>
      <c r="GB67" s="6" t="s">
        <v>77</v>
      </c>
      <c r="GC67" s="6" t="s">
        <v>70</v>
      </c>
      <c r="GD67" s="6" t="s">
        <v>73</v>
      </c>
      <c r="GE67" s="6" t="s">
        <v>258</v>
      </c>
      <c r="GF67" s="6" t="s">
        <v>74</v>
      </c>
      <c r="GG67" s="6" t="s">
        <v>54</v>
      </c>
      <c r="GH67" s="6" t="s">
        <v>78</v>
      </c>
      <c r="GI67" s="6" t="s">
        <v>72</v>
      </c>
      <c r="GJ67" s="6" t="s">
        <v>75</v>
      </c>
      <c r="GK67" s="6" t="s">
        <v>71</v>
      </c>
      <c r="GL67" s="6" t="s">
        <v>79</v>
      </c>
      <c r="GN67" s="6" t="s">
        <v>21</v>
      </c>
      <c r="GO67" s="6" t="str">
        <f>GA67</f>
        <v>Gurobi</v>
      </c>
      <c r="GP67" s="6" t="str">
        <f t="shared" ref="GP67:GZ67" si="35">GB67</f>
        <v>MIP-SCIP</v>
      </c>
      <c r="GQ67" s="6" t="str">
        <f t="shared" si="35"/>
        <v>CLISAT</v>
      </c>
      <c r="GR67" s="6" t="str">
        <f t="shared" si="35"/>
        <v>m4ri_CC</v>
      </c>
      <c r="GS67" s="6" t="str">
        <f t="shared" si="35"/>
        <v>magma</v>
      </c>
      <c r="GT67" s="6" t="str">
        <f t="shared" si="35"/>
        <v>m4ri_RW</v>
      </c>
      <c r="GU67" s="6" t="str">
        <f t="shared" si="35"/>
        <v>QDistRndMW</v>
      </c>
      <c r="GV67" s="6" t="str">
        <f t="shared" si="35"/>
        <v>QDistEvol</v>
      </c>
      <c r="GW67" s="6" t="str">
        <f t="shared" si="35"/>
        <v>bposd</v>
      </c>
      <c r="GX67" s="6" t="str">
        <f t="shared" si="35"/>
        <v>GEStim</v>
      </c>
      <c r="GY67" s="6" t="str">
        <f t="shared" si="35"/>
        <v>CCStim</v>
      </c>
      <c r="GZ67" s="6" t="str">
        <f t="shared" si="35"/>
        <v>UEStim</v>
      </c>
      <c r="HB67" s="6" t="str">
        <f>GN67</f>
        <v>n</v>
      </c>
      <c r="HC67" s="6" t="str">
        <f>GO67</f>
        <v>Gurobi</v>
      </c>
      <c r="HD67" s="6" t="str">
        <f t="shared" ref="HD67:HN67" si="36">GP67</f>
        <v>MIP-SCIP</v>
      </c>
      <c r="HE67" s="6" t="str">
        <f t="shared" si="36"/>
        <v>CLISAT</v>
      </c>
      <c r="HF67" s="6" t="str">
        <f t="shared" si="36"/>
        <v>m4ri_CC</v>
      </c>
      <c r="HG67" s="6" t="str">
        <f t="shared" si="36"/>
        <v>magma</v>
      </c>
      <c r="HH67" s="6" t="str">
        <f t="shared" si="36"/>
        <v>m4ri_RW</v>
      </c>
      <c r="HI67" s="6" t="str">
        <f t="shared" si="36"/>
        <v>QDistRndMW</v>
      </c>
      <c r="HJ67" s="6" t="str">
        <f t="shared" si="36"/>
        <v>QDistEvol</v>
      </c>
      <c r="HK67" s="6" t="str">
        <f t="shared" si="36"/>
        <v>bposd</v>
      </c>
      <c r="HL67" s="6" t="str">
        <f t="shared" si="36"/>
        <v>GEStim</v>
      </c>
      <c r="HM67" s="6" t="str">
        <f t="shared" si="36"/>
        <v>CCStim</v>
      </c>
      <c r="HN67" s="6" t="str">
        <f t="shared" si="36"/>
        <v>UEStim</v>
      </c>
    </row>
    <row r="68" spans="1:222" x14ac:dyDescent="0.2">
      <c r="A68" t="str" cm="1">
        <f t="array" aca="1" ref="A68" ca="1">INDIRECT($A$67&amp;"!A"&amp;ROW(C1)+$B$64)</f>
        <v>[[5,4,2]]</v>
      </c>
      <c r="B68" cm="1">
        <f t="array" aca="1" ref="B68" ca="1">INDIRECT($A$67&amp;"!b"&amp;ROW(D1)+$B$64)</f>
        <v>5</v>
      </c>
      <c r="C68">
        <f ca="1">MIN(INDIRECT($A$67&amp;"!d"&amp;ROW(E1)+$B$64),BU68:CG68)</f>
        <v>2</v>
      </c>
      <c r="E68">
        <f t="shared" ref="E68:P83" ca="1" si="37">MATCH($A68,INDIRECT("'"&amp;E$67&amp;"'!A:A"),)</f>
        <v>25</v>
      </c>
      <c r="F68">
        <f t="shared" ca="1" si="37"/>
        <v>26</v>
      </c>
      <c r="G68">
        <f t="shared" ca="1" si="37"/>
        <v>25</v>
      </c>
      <c r="H68">
        <f t="shared" ca="1" si="37"/>
        <v>25</v>
      </c>
      <c r="I68">
        <f t="shared" ca="1" si="37"/>
        <v>28</v>
      </c>
      <c r="J68">
        <f t="shared" ca="1" si="37"/>
        <v>25</v>
      </c>
      <c r="K68">
        <f t="shared" ca="1" si="37"/>
        <v>32</v>
      </c>
      <c r="L68">
        <f t="shared" ca="1" si="37"/>
        <v>34</v>
      </c>
      <c r="M68">
        <f t="shared" ca="1" si="37"/>
        <v>31</v>
      </c>
      <c r="N68">
        <f t="shared" ca="1" si="37"/>
        <v>29</v>
      </c>
      <c r="O68">
        <f t="shared" ca="1" si="37"/>
        <v>29</v>
      </c>
      <c r="P68">
        <f t="shared" ca="1" si="37"/>
        <v>29</v>
      </c>
      <c r="V68" cm="1">
        <f t="array" aca="1" ref="V68" ca="1">IF(ISNA(E68),$B68,OFFSET(INDIRECT("'"&amp;V$67&amp;"'!d1"),E68-1,))</f>
        <v>2</v>
      </c>
      <c r="W68" cm="1">
        <f t="array" aca="1" ref="W68" ca="1">IF(ISNA(F68),,OFFSET(INDIRECT("'"&amp;W$67&amp;"'!d1"),F68-1,))</f>
        <v>2</v>
      </c>
      <c r="X68" cm="1">
        <f t="array" aca="1" ref="X68" ca="1">IF(ISNA(G68),,OFFSET(INDIRECT("'"&amp;X$67&amp;"'!d1"),G68-1,))</f>
        <v>2</v>
      </c>
      <c r="Y68" cm="1">
        <f t="array" aca="1" ref="Y68" ca="1">IF(ISNA(H68),,OFFSET(INDIRECT("'"&amp;Y$67&amp;"'!d1"),H68-1,))</f>
        <v>2</v>
      </c>
      <c r="Z68" cm="1">
        <f t="array" aca="1" ref="Z68" ca="1">IF(ISNA(I68),,OFFSET(INDIRECT("'"&amp;Z$67&amp;"'!d1"),I68-1,))</f>
        <v>2</v>
      </c>
      <c r="AA68" cm="1">
        <f t="array" aca="1" ref="AA68" ca="1">IF(ISNA(J68),,OFFSET(INDIRECT("'"&amp;AA$67&amp;"'!d1"),J68-1,))</f>
        <v>2</v>
      </c>
      <c r="AB68" cm="1">
        <f t="array" aca="1" ref="AB68" ca="1">IF(ISNA(K68),,OFFSET(INDIRECT("'"&amp;AB$67&amp;"'!d1"),K68-1,))</f>
        <v>2</v>
      </c>
      <c r="AC68" cm="1">
        <f t="array" aca="1" ref="AC68" ca="1">IF(ISNA(L68),,OFFSET(INDIRECT("'"&amp;AC$67&amp;"'!d1"),L68-1,))</f>
        <v>2</v>
      </c>
      <c r="AD68" cm="1">
        <f t="array" aca="1" ref="AD68" ca="1">IF(ISNA(M68),,OFFSET(INDIRECT("'"&amp;AD$67&amp;"'!d1"),M68-1,))</f>
        <v>2</v>
      </c>
      <c r="AE68" cm="1">
        <f t="array" aca="1" ref="AE68" ca="1">IF(ISNA(N68),,OFFSET(INDIRECT("'"&amp;AE$67&amp;"'!d1"),N68-1,))</f>
        <v>2</v>
      </c>
      <c r="AF68" cm="1">
        <f t="array" aca="1" ref="AF68" ca="1">IF(ISNA(O68),,OFFSET(INDIRECT("'"&amp;AF$67&amp;"'!d1"),O68-1,))</f>
        <v>2</v>
      </c>
      <c r="AG68" cm="1">
        <f t="array" aca="1" ref="AG68" ca="1">IF(ISNA(P68),,OFFSET(INDIRECT("'"&amp;AG$67&amp;"'!d1"),P68-1,))</f>
        <v>2</v>
      </c>
      <c r="AM68">
        <f ca="1">IF(DC68&gt;= $N$3,0,BD68)</f>
        <v>1</v>
      </c>
      <c r="AN68">
        <f t="shared" ref="AN68:AP83" ca="1" si="38">IF(DD68&gt;= $N$3,0,BE68)</f>
        <v>1</v>
      </c>
      <c r="AO68">
        <f t="shared" ca="1" si="38"/>
        <v>1</v>
      </c>
      <c r="AP68">
        <f t="shared" ca="1" si="38"/>
        <v>1</v>
      </c>
      <c r="AQ68">
        <f ca="1">IF(DG68*1&gt;= $N$3,0,BH68)</f>
        <v>1</v>
      </c>
      <c r="AV68" t="b">
        <f ca="1">IF(AM68=1,CL68=1,"")</f>
        <v>1</v>
      </c>
      <c r="AW68" t="b">
        <f t="shared" ref="AW68:AZ86" ca="1" si="39">IF(AN68=1,CM68=1,"")</f>
        <v>1</v>
      </c>
      <c r="AX68" t="b">
        <f t="shared" ca="1" si="39"/>
        <v>1</v>
      </c>
      <c r="AY68" t="b">
        <f t="shared" ca="1" si="39"/>
        <v>1</v>
      </c>
      <c r="AZ68" t="b">
        <f t="shared" ca="1" si="39"/>
        <v>1</v>
      </c>
      <c r="BD68">
        <f t="shared" ref="BD68:BO86" ca="1" si="40">IF(AND(V68&gt;0,V68&lt;$B68),1,0)</f>
        <v>1</v>
      </c>
      <c r="BE68">
        <f t="shared" ca="1" si="40"/>
        <v>1</v>
      </c>
      <c r="BF68">
        <f t="shared" ca="1" si="40"/>
        <v>1</v>
      </c>
      <c r="BG68">
        <f t="shared" ca="1" si="40"/>
        <v>1</v>
      </c>
      <c r="BH68">
        <f t="shared" ca="1" si="40"/>
        <v>1</v>
      </c>
      <c r="BI68">
        <f t="shared" ca="1" si="40"/>
        <v>1</v>
      </c>
      <c r="BJ68">
        <f t="shared" ca="1" si="40"/>
        <v>1</v>
      </c>
      <c r="BK68">
        <f t="shared" ca="1" si="40"/>
        <v>1</v>
      </c>
      <c r="BL68">
        <f t="shared" ca="1" si="40"/>
        <v>1</v>
      </c>
      <c r="BM68">
        <f t="shared" ca="1" si="40"/>
        <v>1</v>
      </c>
      <c r="BN68">
        <f t="shared" ca="1" si="40"/>
        <v>1</v>
      </c>
      <c r="BO68">
        <f t="shared" ca="1" si="40"/>
        <v>1</v>
      </c>
      <c r="BU68">
        <f t="shared" ref="BU68:CF86" ca="1" si="41">IF(BD68,V68,$B68)</f>
        <v>2</v>
      </c>
      <c r="BV68">
        <f t="shared" ca="1" si="41"/>
        <v>2</v>
      </c>
      <c r="BW68">
        <f t="shared" ca="1" si="41"/>
        <v>2</v>
      </c>
      <c r="BX68">
        <f t="shared" ca="1" si="41"/>
        <v>2</v>
      </c>
      <c r="BY68">
        <f t="shared" ca="1" si="41"/>
        <v>2</v>
      </c>
      <c r="BZ68">
        <f t="shared" ca="1" si="41"/>
        <v>2</v>
      </c>
      <c r="CA68">
        <f t="shared" ca="1" si="41"/>
        <v>2</v>
      </c>
      <c r="CB68">
        <f t="shared" ca="1" si="41"/>
        <v>2</v>
      </c>
      <c r="CC68">
        <f t="shared" ca="1" si="41"/>
        <v>2</v>
      </c>
      <c r="CD68">
        <f t="shared" ca="1" si="41"/>
        <v>2</v>
      </c>
      <c r="CE68">
        <f t="shared" ca="1" si="41"/>
        <v>2</v>
      </c>
      <c r="CF68">
        <f t="shared" ca="1" si="41"/>
        <v>2</v>
      </c>
      <c r="CL68">
        <f t="shared" ref="CL68:CW86" ca="1" si="42">IF(BU68=$C68,1,0)</f>
        <v>1</v>
      </c>
      <c r="CM68">
        <f t="shared" ca="1" si="42"/>
        <v>1</v>
      </c>
      <c r="CN68">
        <f t="shared" ca="1" si="42"/>
        <v>1</v>
      </c>
      <c r="CO68">
        <f t="shared" ca="1" si="42"/>
        <v>1</v>
      </c>
      <c r="CP68">
        <f t="shared" ca="1" si="42"/>
        <v>1</v>
      </c>
      <c r="CQ68">
        <f t="shared" ca="1" si="42"/>
        <v>1</v>
      </c>
      <c r="CR68">
        <f t="shared" ca="1" si="42"/>
        <v>1</v>
      </c>
      <c r="CS68">
        <f t="shared" ca="1" si="42"/>
        <v>1</v>
      </c>
      <c r="CT68">
        <f t="shared" ca="1" si="42"/>
        <v>1</v>
      </c>
      <c r="CU68">
        <f t="shared" ca="1" si="42"/>
        <v>1</v>
      </c>
      <c r="CV68">
        <f t="shared" ca="1" si="42"/>
        <v>1</v>
      </c>
      <c r="CW68">
        <f t="shared" ca="1" si="42"/>
        <v>1</v>
      </c>
      <c r="DC68" cm="1">
        <f t="array" aca="1" ref="DC68" ca="1">IF(ISNA(E68),,OFFSET(INDIRECT("'"&amp;DT$67&amp;"'!f1"),E68-1,))*1</f>
        <v>2.4174784310162001E-2</v>
      </c>
      <c r="DD68" cm="1">
        <f t="array" aca="1" ref="DD68" ca="1">IF(ISNA(F68),,OFFSET(INDIRECT("'"&amp;DU$67&amp;"'!f1"),F68-1,))*1</f>
        <v>1.0282602161169E-2</v>
      </c>
      <c r="DE68" cm="1">
        <f t="array" aca="1" ref="DE68" ca="1">IF(ISNA(G68),,OFFSET(INDIRECT("'"&amp;DV$67&amp;"'!f1"),G68-1,))*1</f>
        <v>1.05291618965566E-2</v>
      </c>
      <c r="DF68" cm="1">
        <f t="array" aca="1" ref="DF68" ca="1">IF(ISNA(H68),,OFFSET(INDIRECT("'"&amp;DW$67&amp;"'!f1"),H68-1,))*1</f>
        <v>8.0840795000000298E-2</v>
      </c>
      <c r="DG68" cm="1">
        <f t="array" aca="1" ref="DG68" ca="1">IF(ISNA(I68),,OFFSET(INDIRECT("'"&amp;DX$67&amp;"'!f1"),I68-1,))*1</f>
        <v>0.15086995800083899</v>
      </c>
      <c r="DH68" cm="1">
        <f t="array" aca="1" ref="DH68" ca="1">IF(ISNA(J68),,OFFSET(INDIRECT("'"&amp;DY$67&amp;"'!f1"),J68-1,))*1</f>
        <v>1.7751207109540701E-2</v>
      </c>
      <c r="DI68" cm="1">
        <f t="array" aca="1" ref="DI68" ca="1">IF(ISNA(K68),,OFFSET(INDIRECT("'"&amp;DZ$67&amp;"'!f1"),K68-1,))*1</f>
        <v>0.72811784781515598</v>
      </c>
      <c r="DJ68" cm="1">
        <f t="array" aca="1" ref="DJ68" ca="1">IF(ISNA(L68),,OFFSET(INDIRECT("'"&amp;EA$67&amp;"'!f1"),L68-1,))*1</f>
        <v>1.2516234777867701</v>
      </c>
      <c r="DK68" cm="1">
        <f t="array" aca="1" ref="DK68" ca="1">IF(ISNA(M68),,OFFSET(INDIRECT("'"&amp;EB$67&amp;"'!f1"),M68-1,))*1</f>
        <v>5.1459344499744404</v>
      </c>
      <c r="DL68" cm="1">
        <f t="array" aca="1" ref="DL68" ca="1">IF(ISNA(N68),,OFFSET(INDIRECT("'"&amp;EC$67&amp;"'!f1"),N68-1,))*1</f>
        <v>3.1471187248826001E-3</v>
      </c>
      <c r="DM68" cm="1">
        <f t="array" aca="1" ref="DM68" ca="1">IF(ISNA(O68),,OFFSET(INDIRECT("'"&amp;ED$67&amp;"'!f1"),O68-1,))*1</f>
        <v>2.6863859966397199E-3</v>
      </c>
      <c r="DN68" cm="1">
        <f t="array" aca="1" ref="DN68" ca="1">IF(ISNA(P68),,OFFSET(INDIRECT("'"&amp;EE$67&amp;"'!f1"),P68-1,))*1</f>
        <v>2.7510551735758699E-3</v>
      </c>
      <c r="DT68">
        <f ca="1">IF(CL68,EK68,)</f>
        <v>1</v>
      </c>
      <c r="DU68">
        <f t="shared" ref="DU68:EE83" ca="1" si="43">IF(CM68,EL68,)</f>
        <v>1</v>
      </c>
      <c r="DV68">
        <f t="shared" ca="1" si="43"/>
        <v>1</v>
      </c>
      <c r="DW68">
        <f t="shared" ca="1" si="43"/>
        <v>1</v>
      </c>
      <c r="DX68">
        <f t="shared" ca="1" si="43"/>
        <v>1</v>
      </c>
      <c r="DY68">
        <f t="shared" ca="1" si="43"/>
        <v>1</v>
      </c>
      <c r="DZ68">
        <f t="shared" ca="1" si="43"/>
        <v>10000</v>
      </c>
      <c r="EA68">
        <f t="shared" ca="1" si="43"/>
        <v>10000</v>
      </c>
      <c r="EB68">
        <f t="shared" ca="1" si="43"/>
        <v>10000</v>
      </c>
      <c r="EC68">
        <f t="shared" ca="1" si="43"/>
        <v>1</v>
      </c>
      <c r="ED68">
        <f t="shared" ca="1" si="43"/>
        <v>1</v>
      </c>
      <c r="EE68">
        <f t="shared" ca="1" si="43"/>
        <v>2</v>
      </c>
      <c r="EK68" cm="1">
        <f t="array" aca="1" ref="EK68" ca="1">IF(ISNA(E68),0,OFFSET(INDIRECT("'"&amp;EK$67&amp;"'!g1"),E68-1,)*CL68)</f>
        <v>1</v>
      </c>
      <c r="EL68" cm="1">
        <f t="array" aca="1" ref="EL68" ca="1">IF(ISNA(F68),0,OFFSET(INDIRECT("'"&amp;EL$67&amp;"'!g1"),F68-1,)*CM68)</f>
        <v>1</v>
      </c>
      <c r="EM68" cm="1">
        <f t="array" aca="1" ref="EM68" ca="1">IF(ISNA(G68),0,OFFSET(INDIRECT("'"&amp;EM$67&amp;"'!g1"),G68-1,)*CN68)</f>
        <v>1</v>
      </c>
      <c r="EN68" cm="1">
        <f t="array" aca="1" ref="EN68" ca="1">IF(ISNA(H68),0,OFFSET(INDIRECT("'"&amp;EN$67&amp;"'!g1"),H68-1,)*CO68)</f>
        <v>1</v>
      </c>
      <c r="EO68" cm="1">
        <f t="array" aca="1" ref="EO68" ca="1">IF(ISNA(I68),0,OFFSET(INDIRECT("'"&amp;EO$67&amp;"'!g1"),I68-1,)*CP68)</f>
        <v>1</v>
      </c>
      <c r="EP68" cm="1">
        <f t="array" aca="1" ref="EP68" ca="1">IF(ISNA(J68),0,OFFSET(INDIRECT("'"&amp;EP$67&amp;"'!g1"),J68-1,)*CQ68)</f>
        <v>1</v>
      </c>
      <c r="EQ68" cm="1">
        <f t="array" aca="1" ref="EQ68" ca="1">IF(ISNA(K68),0,OFFSET(INDIRECT("'"&amp;EQ$67&amp;"'!g1"),K68-1,)*CR68)</f>
        <v>10000</v>
      </c>
      <c r="ER68" cm="1">
        <f t="array" aca="1" ref="ER68" ca="1">IF(ISNA(L68),0,OFFSET(INDIRECT("'"&amp;ER$67&amp;"'!g1"),L68-1,)*CS68)</f>
        <v>10000</v>
      </c>
      <c r="ES68" cm="1">
        <f t="array" aca="1" ref="ES68" ca="1">IF(ISNA(M68),0,OFFSET(INDIRECT("'"&amp;ES$67&amp;"'!g1"),M68-1,)*CT68)</f>
        <v>10000</v>
      </c>
      <c r="ET68" cm="1">
        <f t="array" aca="1" ref="ET68" ca="1">IF(ISNA(N68),0,OFFSET(INDIRECT("'"&amp;ET$67&amp;"'!g1"),N68-1,)*CU68)</f>
        <v>1</v>
      </c>
      <c r="EU68" cm="1">
        <f t="array" aca="1" ref="EU68" ca="1">IF(ISNA(O68),0,OFFSET(INDIRECT("'"&amp;EU$67&amp;"'!g1"),O68-1,)*CV68)</f>
        <v>1</v>
      </c>
      <c r="EV68" cm="1">
        <f t="array" aca="1" ref="EV68" ca="1">IF(ISNA(P68),0,OFFSET(INDIRECT("'"&amp;EV$67&amp;"'!g1"),P68-1,)*CW68)</f>
        <v>2</v>
      </c>
      <c r="FB68" s="10" cm="1">
        <f t="array" aca="1" ref="FB68" ca="1">IF(ISNA(E68),0,OFFSET(INDIRECT("'"&amp;EK$67&amp;"'!h1"),E68-1,))</f>
        <v>1</v>
      </c>
      <c r="FC68" s="10" cm="1">
        <f t="array" aca="1" ref="FC68" ca="1">IF(ISNA(F68),0,OFFSET(INDIRECT("'"&amp;EL$67&amp;"'!h1"),F68-1,))</f>
        <v>1</v>
      </c>
      <c r="FD68" s="10" cm="1">
        <f t="array" aca="1" ref="FD68" ca="1">IF(ISNA(G68),0,OFFSET(INDIRECT("'"&amp;EM$67&amp;"'!h1"),G68-1,))</f>
        <v>1</v>
      </c>
      <c r="FE68" s="10" cm="1">
        <f t="array" aca="1" ref="FE68" ca="1">IF(ISNA(H68),0,OFFSET(INDIRECT("'"&amp;EN$67&amp;"'!h1"),H68-1,))</f>
        <v>1</v>
      </c>
      <c r="FF68" s="10" cm="1">
        <f t="array" aca="1" ref="FF68" ca="1">IF(ISNA(I68),0,OFFSET(INDIRECT("'"&amp;EO$67&amp;"'!h1"),I68-1,))</f>
        <v>1</v>
      </c>
      <c r="FG68" s="10" cm="1">
        <f t="array" aca="1" ref="FG68" ca="1">IF(ISNA(J68),0,OFFSET(INDIRECT("'"&amp;EP$67&amp;"'!h1"),J68-1,))</f>
        <v>1</v>
      </c>
      <c r="FH68" s="10" cm="1">
        <f t="array" aca="1" ref="FH68" ca="1">IF(ISNA(K68),0,OFFSET(INDIRECT("'"&amp;EQ$67&amp;"'!h1"),K68-1,))</f>
        <v>10000</v>
      </c>
      <c r="FI68" s="10" cm="1">
        <f t="array" aca="1" ref="FI68" ca="1">IF(ISNA(L68),0,OFFSET(INDIRECT("'"&amp;ER$67&amp;"'!h1"),L68-1,))</f>
        <v>10000</v>
      </c>
      <c r="FJ68" s="10" cm="1">
        <f t="array" aca="1" ref="FJ68" ca="1">IF(ISNA(M68),0,OFFSET(INDIRECT("'"&amp;ES$67&amp;"'!h1"),M68-1,))</f>
        <v>10000</v>
      </c>
      <c r="FK68" s="10" cm="1">
        <f t="array" aca="1" ref="FK68" ca="1">IF(ISNA(N68),0,OFFSET(INDIRECT("'"&amp;ET$67&amp;"'!h1"),N68-1,))</f>
        <v>1</v>
      </c>
      <c r="FL68" s="10" cm="1">
        <f t="array" aca="1" ref="FL68" ca="1">IF(ISNA(O68),0,OFFSET(INDIRECT("'"&amp;EU$67&amp;"'!h1"),O68-1,))</f>
        <v>1</v>
      </c>
      <c r="FM68" s="10" cm="1">
        <f t="array" aca="1" ref="FM68" ca="1">IF(ISNA(P68),0,OFFSET(INDIRECT("'"&amp;EV$67&amp;"'!h1"),P68-1,))</f>
        <v>2</v>
      </c>
      <c r="FN68" s="10"/>
      <c r="FO68" s="10"/>
      <c r="FP68" s="10"/>
      <c r="FQ68" s="10"/>
      <c r="FS68">
        <f ca="1">B68</f>
        <v>5</v>
      </c>
      <c r="FT68">
        <f ca="1">OFFSET($DC68,,$FT$66-1)</f>
        <v>0.72811784781515598</v>
      </c>
      <c r="FU68">
        <f ca="1">OFFSET($DT68,,$FT$66-1)</f>
        <v>10000</v>
      </c>
      <c r="FV68">
        <f ca="1">OFFSET($FB68,,$FT$66-1)</f>
        <v>10000</v>
      </c>
      <c r="FW68" s="4">
        <f ca="1">IF(FV68,FU68/FV68,NA())</f>
        <v>1</v>
      </c>
      <c r="FX68" s="5">
        <f ca="1">IF(FU68,FT68/FU68,NA())</f>
        <v>7.2811784781515602E-5</v>
      </c>
      <c r="FZ68" s="13">
        <f t="shared" ref="FZ68:FZ86" ca="1" si="44">GN68</f>
        <v>5</v>
      </c>
      <c r="GA68" s="23">
        <f ca="1">IF(BD68,(BU68-$C68)/$C68,NA())</f>
        <v>0</v>
      </c>
      <c r="GB68" s="23">
        <f t="shared" ref="GB68:GL86" ca="1" si="45">IF(BE68,(BV68-$C68)/$C68,NA())</f>
        <v>0</v>
      </c>
      <c r="GC68" s="23">
        <f t="shared" ca="1" si="45"/>
        <v>0</v>
      </c>
      <c r="GD68" s="23">
        <f t="shared" ca="1" si="45"/>
        <v>0</v>
      </c>
      <c r="GE68" s="23">
        <f t="shared" ca="1" si="45"/>
        <v>0</v>
      </c>
      <c r="GF68" s="23">
        <f t="shared" ca="1" si="45"/>
        <v>0</v>
      </c>
      <c r="GG68" s="23">
        <f t="shared" ca="1" si="45"/>
        <v>0</v>
      </c>
      <c r="GH68" s="23">
        <f t="shared" ca="1" si="45"/>
        <v>0</v>
      </c>
      <c r="GI68" s="23">
        <f t="shared" ca="1" si="45"/>
        <v>0</v>
      </c>
      <c r="GJ68" s="23">
        <f t="shared" ca="1" si="45"/>
        <v>0</v>
      </c>
      <c r="GK68" s="23">
        <f t="shared" ca="1" si="45"/>
        <v>0</v>
      </c>
      <c r="GL68" s="23">
        <f t="shared" ca="1" si="45"/>
        <v>0</v>
      </c>
      <c r="GM68" s="23"/>
      <c r="GN68">
        <f ca="1">B68</f>
        <v>5</v>
      </c>
      <c r="GO68" s="5">
        <f ca="1">IF(AND(AM68&gt;0,DT68&gt;0),DC68/DT68,NA())</f>
        <v>2.4174784310162001E-2</v>
      </c>
      <c r="GP68" s="5">
        <f t="shared" ref="GP68:GS83" ca="1" si="46">IF(AND(AN68&gt;0,DU68&gt;0),DD68/DU68,NA())</f>
        <v>1.0282602161169E-2</v>
      </c>
      <c r="GQ68" s="5">
        <f t="shared" ca="1" si="46"/>
        <v>1.05291618965566E-2</v>
      </c>
      <c r="GR68" s="5">
        <f t="shared" ca="1" si="46"/>
        <v>8.0840795000000298E-2</v>
      </c>
      <c r="GS68" s="5">
        <f t="shared" ca="1" si="46"/>
        <v>0.15086995800083899</v>
      </c>
      <c r="GT68" s="5">
        <f ca="1">IF(DY68&gt;0,DH68/DY68,NA())</f>
        <v>1.7751207109540701E-2</v>
      </c>
      <c r="GU68" s="5">
        <f t="shared" ref="GU68:GZ83" ca="1" si="47">IF(DZ68&gt;0,DI68/DZ68,NA())</f>
        <v>7.2811784781515602E-5</v>
      </c>
      <c r="GV68" s="5">
        <f t="shared" ca="1" si="47"/>
        <v>1.2516234777867701E-4</v>
      </c>
      <c r="GW68" s="5">
        <f t="shared" ca="1" si="47"/>
        <v>5.1459344499744399E-4</v>
      </c>
      <c r="GX68" s="5">
        <f t="shared" ca="1" si="47"/>
        <v>3.1471187248826001E-3</v>
      </c>
      <c r="GY68" s="5">
        <f t="shared" ca="1" si="47"/>
        <v>2.6863859966397199E-3</v>
      </c>
      <c r="GZ68" s="5">
        <f t="shared" ca="1" si="47"/>
        <v>1.375527586787935E-3</v>
      </c>
      <c r="HB68" s="13">
        <f t="shared" ref="HB68:HB86" ca="1" si="48">GN68</f>
        <v>5</v>
      </c>
      <c r="HC68" s="4">
        <f ca="1">IF(FB68,DT68/FB68,)</f>
        <v>1</v>
      </c>
      <c r="HD68" s="4">
        <f t="shared" ref="HD68:HN86" ca="1" si="49">IF(FC68,DU68/FC68,)</f>
        <v>1</v>
      </c>
      <c r="HE68" s="4">
        <f t="shared" ca="1" si="49"/>
        <v>1</v>
      </c>
      <c r="HF68" s="4">
        <f t="shared" ca="1" si="49"/>
        <v>1</v>
      </c>
      <c r="HG68" s="4">
        <f t="shared" ca="1" si="49"/>
        <v>1</v>
      </c>
      <c r="HH68" s="4">
        <f t="shared" ca="1" si="49"/>
        <v>1</v>
      </c>
      <c r="HI68" s="4">
        <f t="shared" ca="1" si="49"/>
        <v>1</v>
      </c>
      <c r="HJ68" s="4">
        <f t="shared" ca="1" si="49"/>
        <v>1</v>
      </c>
      <c r="HK68" s="4">
        <f t="shared" ca="1" si="49"/>
        <v>1</v>
      </c>
      <c r="HL68" s="4">
        <f t="shared" ca="1" si="49"/>
        <v>1</v>
      </c>
      <c r="HM68" s="4">
        <f t="shared" ca="1" si="49"/>
        <v>1</v>
      </c>
      <c r="HN68" s="4">
        <f t="shared" ca="1" si="49"/>
        <v>1</v>
      </c>
    </row>
    <row r="69" spans="1:222" x14ac:dyDescent="0.2">
      <c r="A69" t="str" cm="1">
        <f t="array" aca="1" ref="A69" ca="1">INDIRECT($A$67&amp;"!A"&amp;ROW(C2)+$B$64)</f>
        <v>[[20,10,4]]</v>
      </c>
      <c r="B69" cm="1">
        <f t="array" aca="1" ref="B69" ca="1">INDIRECT($A$67&amp;"!b"&amp;ROW(D2)+$B$64)</f>
        <v>20</v>
      </c>
      <c r="C69">
        <f t="shared" ref="C69:C86" ca="1" si="50">MIN(INDIRECT($A$67&amp;"!d"&amp;ROW(E2)+$B$64),BU69:CG69)</f>
        <v>4</v>
      </c>
      <c r="E69">
        <f t="shared" ca="1" si="37"/>
        <v>26</v>
      </c>
      <c r="F69">
        <f t="shared" ca="1" si="37"/>
        <v>27</v>
      </c>
      <c r="G69">
        <f t="shared" ca="1" si="37"/>
        <v>26</v>
      </c>
      <c r="H69">
        <f t="shared" ca="1" si="37"/>
        <v>26</v>
      </c>
      <c r="I69">
        <f t="shared" ca="1" si="37"/>
        <v>29</v>
      </c>
      <c r="J69">
        <f t="shared" ca="1" si="37"/>
        <v>26</v>
      </c>
      <c r="K69">
        <f t="shared" ca="1" si="37"/>
        <v>33</v>
      </c>
      <c r="L69">
        <f t="shared" ca="1" si="37"/>
        <v>35</v>
      </c>
      <c r="M69">
        <f t="shared" ca="1" si="37"/>
        <v>32</v>
      </c>
      <c r="N69">
        <f t="shared" ca="1" si="37"/>
        <v>30</v>
      </c>
      <c r="O69">
        <f t="shared" ca="1" si="37"/>
        <v>30</v>
      </c>
      <c r="P69">
        <f t="shared" ca="1" si="37"/>
        <v>30</v>
      </c>
      <c r="V69" cm="1">
        <f t="array" aca="1" ref="V69" ca="1">IF(ISNA(E69),,OFFSET(INDIRECT("'"&amp;V$67&amp;"'!d1"),E69-1,))</f>
        <v>4</v>
      </c>
      <c r="W69" cm="1">
        <f t="array" aca="1" ref="W69" ca="1">IF(ISNA(F69),,OFFSET(INDIRECT("'"&amp;W$67&amp;"'!d1"),F69-1,))</f>
        <v>4</v>
      </c>
      <c r="X69" cm="1">
        <f t="array" aca="1" ref="X69" ca="1">IF(ISNA(G69),,OFFSET(INDIRECT("'"&amp;X$67&amp;"'!d1"),G69-1,))</f>
        <v>4</v>
      </c>
      <c r="Y69" cm="1">
        <f t="array" aca="1" ref="Y69" ca="1">IF(ISNA(H69),,OFFSET(INDIRECT("'"&amp;Y$67&amp;"'!d1"),H69-1,))</f>
        <v>4</v>
      </c>
      <c r="Z69" cm="1">
        <f t="array" aca="1" ref="Z69" ca="1">IF(ISNA(I69),,OFFSET(INDIRECT("'"&amp;Z$67&amp;"'!d1"),I69-1,))</f>
        <v>4</v>
      </c>
      <c r="AA69" cm="1">
        <f t="array" aca="1" ref="AA69" ca="1">IF(ISNA(J69),,OFFSET(INDIRECT("'"&amp;AA$67&amp;"'!d1"),J69-1,))</f>
        <v>4</v>
      </c>
      <c r="AB69" cm="1">
        <f t="array" aca="1" ref="AB69" ca="1">IF(ISNA(K69),,OFFSET(INDIRECT("'"&amp;AB$67&amp;"'!d1"),K69-1,))</f>
        <v>4</v>
      </c>
      <c r="AC69" cm="1">
        <f t="array" aca="1" ref="AC69" ca="1">IF(ISNA(L69),,OFFSET(INDIRECT("'"&amp;AC$67&amp;"'!d1"),L69-1,))</f>
        <v>4</v>
      </c>
      <c r="AD69" cm="1">
        <f t="array" aca="1" ref="AD69" ca="1">IF(ISNA(M69),,OFFSET(INDIRECT("'"&amp;AD$67&amp;"'!d1"),M69-1,))</f>
        <v>4</v>
      </c>
      <c r="AE69" cm="1">
        <f t="array" aca="1" ref="AE69" ca="1">IF(ISNA(N69),,OFFSET(INDIRECT("'"&amp;AE$67&amp;"'!d1"),N69-1,))</f>
        <v>0</v>
      </c>
      <c r="AF69" cm="1">
        <f t="array" aca="1" ref="AF69" ca="1">IF(ISNA(O69),,OFFSET(INDIRECT("'"&amp;AF$67&amp;"'!d1"),O69-1,))</f>
        <v>4</v>
      </c>
      <c r="AG69" cm="1">
        <f t="array" aca="1" ref="AG69" ca="1">IF(ISNA(P69),,OFFSET(INDIRECT("'"&amp;AG$67&amp;"'!d1"),P69-1,))</f>
        <v>4</v>
      </c>
      <c r="AM69">
        <f t="shared" ref="AM69:AP86" ca="1" si="51">IF(DC69&gt;= $N$3,0,BD69)</f>
        <v>1</v>
      </c>
      <c r="AN69">
        <f t="shared" ca="1" si="38"/>
        <v>1</v>
      </c>
      <c r="AO69">
        <f t="shared" ca="1" si="38"/>
        <v>1</v>
      </c>
      <c r="AP69">
        <f t="shared" ca="1" si="38"/>
        <v>1</v>
      </c>
      <c r="AQ69">
        <f t="shared" ref="AQ69:AQ86" ca="1" si="52">IF(DG69*1&gt;= $N$3,0,BH69)</f>
        <v>1</v>
      </c>
      <c r="AV69" t="b">
        <f t="shared" ref="AV69:AV86" ca="1" si="53">IF(AM69=1,CL69=1,"")</f>
        <v>1</v>
      </c>
      <c r="AW69" t="b">
        <f t="shared" ca="1" si="39"/>
        <v>1</v>
      </c>
      <c r="AX69" t="b">
        <f t="shared" ca="1" si="39"/>
        <v>1</v>
      </c>
      <c r="AY69" t="b">
        <f t="shared" ca="1" si="39"/>
        <v>1</v>
      </c>
      <c r="AZ69" t="b">
        <f t="shared" ca="1" si="39"/>
        <v>1</v>
      </c>
      <c r="BD69">
        <f t="shared" ca="1" si="40"/>
        <v>1</v>
      </c>
      <c r="BE69">
        <f t="shared" ca="1" si="40"/>
        <v>1</v>
      </c>
      <c r="BF69">
        <f t="shared" ca="1" si="40"/>
        <v>1</v>
      </c>
      <c r="BG69">
        <f t="shared" ca="1" si="40"/>
        <v>1</v>
      </c>
      <c r="BH69">
        <f t="shared" ca="1" si="40"/>
        <v>1</v>
      </c>
      <c r="BI69">
        <f t="shared" ca="1" si="40"/>
        <v>1</v>
      </c>
      <c r="BJ69">
        <f t="shared" ca="1" si="40"/>
        <v>1</v>
      </c>
      <c r="BK69">
        <f t="shared" ca="1" si="40"/>
        <v>1</v>
      </c>
      <c r="BL69">
        <f t="shared" ca="1" si="40"/>
        <v>1</v>
      </c>
      <c r="BM69">
        <f t="shared" ca="1" si="40"/>
        <v>0</v>
      </c>
      <c r="BN69">
        <f t="shared" ca="1" si="40"/>
        <v>1</v>
      </c>
      <c r="BO69">
        <f t="shared" ca="1" si="40"/>
        <v>1</v>
      </c>
      <c r="BU69">
        <f t="shared" ca="1" si="41"/>
        <v>4</v>
      </c>
      <c r="BV69">
        <f t="shared" ca="1" si="41"/>
        <v>4</v>
      </c>
      <c r="BW69">
        <f t="shared" ca="1" si="41"/>
        <v>4</v>
      </c>
      <c r="BX69">
        <f t="shared" ca="1" si="41"/>
        <v>4</v>
      </c>
      <c r="BY69">
        <f t="shared" ca="1" si="41"/>
        <v>4</v>
      </c>
      <c r="BZ69">
        <f t="shared" ca="1" si="41"/>
        <v>4</v>
      </c>
      <c r="CA69">
        <f t="shared" ca="1" si="41"/>
        <v>4</v>
      </c>
      <c r="CB69">
        <f t="shared" ca="1" si="41"/>
        <v>4</v>
      </c>
      <c r="CC69">
        <f t="shared" ca="1" si="41"/>
        <v>4</v>
      </c>
      <c r="CD69">
        <f t="shared" ca="1" si="41"/>
        <v>20</v>
      </c>
      <c r="CE69">
        <f t="shared" ca="1" si="41"/>
        <v>4</v>
      </c>
      <c r="CF69">
        <f t="shared" ca="1" si="41"/>
        <v>4</v>
      </c>
      <c r="CL69">
        <f t="shared" ca="1" si="42"/>
        <v>1</v>
      </c>
      <c r="CM69">
        <f t="shared" ca="1" si="42"/>
        <v>1</v>
      </c>
      <c r="CN69">
        <f t="shared" ca="1" si="42"/>
        <v>1</v>
      </c>
      <c r="CO69">
        <f t="shared" ca="1" si="42"/>
        <v>1</v>
      </c>
      <c r="CP69">
        <f t="shared" ca="1" si="42"/>
        <v>1</v>
      </c>
      <c r="CQ69">
        <f t="shared" ca="1" si="42"/>
        <v>1</v>
      </c>
      <c r="CR69">
        <f t="shared" ca="1" si="42"/>
        <v>1</v>
      </c>
      <c r="CS69">
        <f t="shared" ca="1" si="42"/>
        <v>1</v>
      </c>
      <c r="CT69">
        <f t="shared" ca="1" si="42"/>
        <v>1</v>
      </c>
      <c r="CU69">
        <f t="shared" ca="1" si="42"/>
        <v>0</v>
      </c>
      <c r="CV69">
        <f t="shared" ca="1" si="42"/>
        <v>1</v>
      </c>
      <c r="CW69">
        <f t="shared" ca="1" si="42"/>
        <v>1</v>
      </c>
      <c r="DC69" cm="1">
        <f t="array" aca="1" ref="DC69" ca="1">IF(ISNA(E69),,OFFSET(INDIRECT("'"&amp;DT$67&amp;"'!f1"),E69-1,))*1</f>
        <v>3.3476301934569998E-2</v>
      </c>
      <c r="DD69" cm="1">
        <f t="array" aca="1" ref="DD69" ca="1">IF(ISNA(F69),,OFFSET(INDIRECT("'"&amp;DU$67&amp;"'!f1"),F69-1,))*1</f>
        <v>4.4279285240918398E-2</v>
      </c>
      <c r="DE69" cm="1">
        <f t="array" aca="1" ref="DE69" ca="1">IF(ISNA(G69),,OFFSET(INDIRECT("'"&amp;DV$67&amp;"'!f1"),G69-1,))*1</f>
        <v>1.41975982114672E-2</v>
      </c>
      <c r="DF69" cm="1">
        <f t="array" aca="1" ref="DF69" ca="1">IF(ISNA(H69),,OFFSET(INDIRECT("'"&amp;DW$67&amp;"'!f1"),H69-1,))*1</f>
        <v>8.0212479000010703E-2</v>
      </c>
      <c r="DG69" cm="1">
        <f t="array" aca="1" ref="DG69" ca="1">IF(ISNA(I69),,OFFSET(INDIRECT("'"&amp;DX$67&amp;"'!f1"),I69-1,))*1</f>
        <v>0.115893624999444</v>
      </c>
      <c r="DH69" cm="1">
        <f t="array" aca="1" ref="DH69" ca="1">IF(ISNA(J69),,OFFSET(INDIRECT("'"&amp;DY$67&amp;"'!f1"),J69-1,))*1</f>
        <v>3.2014368567615699E-2</v>
      </c>
      <c r="DI69" cm="1">
        <f t="array" aca="1" ref="DI69" ca="1">IF(ISNA(K69),,OFFSET(INDIRECT("'"&amp;DZ$67&amp;"'!f1"),K69-1,))*1</f>
        <v>0.95120844896882695</v>
      </c>
      <c r="DJ69" cm="1">
        <f t="array" aca="1" ref="DJ69" ca="1">IF(ISNA(L69),,OFFSET(INDIRECT("'"&amp;EA$67&amp;"'!f1"),L69-1,))*1</f>
        <v>1.5715380311012199</v>
      </c>
      <c r="DK69" cm="1">
        <f t="array" aca="1" ref="DK69" ca="1">IF(ISNA(M69),,OFFSET(INDIRECT("'"&amp;EB$67&amp;"'!f1"),M69-1,))*1</f>
        <v>12.9982169130817</v>
      </c>
      <c r="DL69" cm="1">
        <f t="array" aca="1" ref="DL69" ca="1">IF(ISNA(N69),,OFFSET(INDIRECT("'"&amp;EC$67&amp;"'!f1"),N69-1,))*1</f>
        <v>3.7381835281848899E-3</v>
      </c>
      <c r="DM69" cm="1">
        <f t="array" aca="1" ref="DM69" ca="1">IF(ISNA(O69),,OFFSET(INDIRECT("'"&amp;ED$67&amp;"'!f1"),O69-1,))*1</f>
        <v>3.9133531972765897E-3</v>
      </c>
      <c r="DN69" cm="1">
        <f t="array" aca="1" ref="DN69" ca="1">IF(ISNA(P69),,OFFSET(INDIRECT("'"&amp;EE$67&amp;"'!f1"),P69-1,))*1</f>
        <v>4.1603073477745004E-3</v>
      </c>
      <c r="DT69">
        <f t="shared" ref="DT69:EE86" ca="1" si="54">IF(CL69,EK69,)</f>
        <v>1</v>
      </c>
      <c r="DU69">
        <f t="shared" ca="1" si="43"/>
        <v>1</v>
      </c>
      <c r="DV69">
        <f t="shared" ca="1" si="43"/>
        <v>1</v>
      </c>
      <c r="DW69">
        <f t="shared" ca="1" si="43"/>
        <v>1</v>
      </c>
      <c r="DX69">
        <f t="shared" ca="1" si="43"/>
        <v>1</v>
      </c>
      <c r="DY69">
        <f t="shared" ca="1" si="43"/>
        <v>1</v>
      </c>
      <c r="DZ69">
        <f t="shared" ca="1" si="43"/>
        <v>9573</v>
      </c>
      <c r="EA69">
        <f t="shared" ca="1" si="43"/>
        <v>9996</v>
      </c>
      <c r="EB69">
        <f t="shared" ca="1" si="43"/>
        <v>8807</v>
      </c>
      <c r="EC69">
        <f t="shared" ca="1" si="43"/>
        <v>0</v>
      </c>
      <c r="ED69">
        <f t="shared" ca="1" si="43"/>
        <v>1</v>
      </c>
      <c r="EE69">
        <f t="shared" ca="1" si="43"/>
        <v>2</v>
      </c>
      <c r="EK69" cm="1">
        <f t="array" aca="1" ref="EK69" ca="1">IF(ISNA(E69),0,OFFSET(INDIRECT("'"&amp;EK$67&amp;"'!g1"),E69-1,)*CL69)</f>
        <v>1</v>
      </c>
      <c r="EL69" cm="1">
        <f t="array" aca="1" ref="EL69" ca="1">IF(ISNA(F69),0,OFFSET(INDIRECT("'"&amp;EL$67&amp;"'!g1"),F69-1,)*CM69)</f>
        <v>1</v>
      </c>
      <c r="EM69" cm="1">
        <f t="array" aca="1" ref="EM69" ca="1">IF(ISNA(G69),0,OFFSET(INDIRECT("'"&amp;EM$67&amp;"'!g1"),G69-1,)*CN69)</f>
        <v>1</v>
      </c>
      <c r="EN69" cm="1">
        <f t="array" aca="1" ref="EN69" ca="1">IF(ISNA(H69),0,OFFSET(INDIRECT("'"&amp;EN$67&amp;"'!g1"),H69-1,)*CO69)</f>
        <v>1</v>
      </c>
      <c r="EO69" cm="1">
        <f t="array" aca="1" ref="EO69" ca="1">IF(ISNA(I69),0,OFFSET(INDIRECT("'"&amp;EO$67&amp;"'!g1"),I69-1,)*CP69)</f>
        <v>1</v>
      </c>
      <c r="EP69" cm="1">
        <f t="array" aca="1" ref="EP69" ca="1">IF(ISNA(J69),0,OFFSET(INDIRECT("'"&amp;EP$67&amp;"'!g1"),J69-1,)*CQ69)</f>
        <v>1</v>
      </c>
      <c r="EQ69" cm="1">
        <f t="array" aca="1" ref="EQ69" ca="1">IF(ISNA(K69),0,OFFSET(INDIRECT("'"&amp;EQ$67&amp;"'!g1"),K69-1,)*CR69)</f>
        <v>9573</v>
      </c>
      <c r="ER69" cm="1">
        <f t="array" aca="1" ref="ER69" ca="1">IF(ISNA(L69),0,OFFSET(INDIRECT("'"&amp;ER$67&amp;"'!g1"),L69-1,)*CS69)</f>
        <v>9996</v>
      </c>
      <c r="ES69" cm="1">
        <f t="array" aca="1" ref="ES69" ca="1">IF(ISNA(M69),0,OFFSET(INDIRECT("'"&amp;ES$67&amp;"'!g1"),M69-1,)*CT69)</f>
        <v>8807</v>
      </c>
      <c r="ET69" cm="1">
        <f t="array" aca="1" ref="ET69" ca="1">IF(ISNA(N69),0,OFFSET(INDIRECT("'"&amp;ET$67&amp;"'!g1"),N69-1,)*CU69)</f>
        <v>0</v>
      </c>
      <c r="EU69" cm="1">
        <f t="array" aca="1" ref="EU69" ca="1">IF(ISNA(O69),0,OFFSET(INDIRECT("'"&amp;EU$67&amp;"'!g1"),O69-1,)*CV69)</f>
        <v>1</v>
      </c>
      <c r="EV69" cm="1">
        <f t="array" aca="1" ref="EV69" ca="1">IF(ISNA(P69),0,OFFSET(INDIRECT("'"&amp;EV$67&amp;"'!g1"),P69-1,)*CW69)</f>
        <v>2</v>
      </c>
      <c r="FB69" s="10" cm="1">
        <f t="array" aca="1" ref="FB69" ca="1">IF(ISNA(E69),0,OFFSET(INDIRECT("'"&amp;EK$67&amp;"'!h1"),E69-1,))</f>
        <v>1</v>
      </c>
      <c r="FC69" s="10" cm="1">
        <f t="array" aca="1" ref="FC69" ca="1">IF(ISNA(F69),0,OFFSET(INDIRECT("'"&amp;EL$67&amp;"'!h1"),F69-1,))</f>
        <v>1</v>
      </c>
      <c r="FD69" s="10" cm="1">
        <f t="array" aca="1" ref="FD69" ca="1">IF(ISNA(G69),0,OFFSET(INDIRECT("'"&amp;EM$67&amp;"'!h1"),G69-1,))</f>
        <v>1</v>
      </c>
      <c r="FE69" s="10" cm="1">
        <f t="array" aca="1" ref="FE69" ca="1">IF(ISNA(H69),0,OFFSET(INDIRECT("'"&amp;EN$67&amp;"'!h1"),H69-1,))</f>
        <v>1</v>
      </c>
      <c r="FF69" s="10" cm="1">
        <f t="array" aca="1" ref="FF69" ca="1">IF(ISNA(I69),0,OFFSET(INDIRECT("'"&amp;EO$67&amp;"'!h1"),I69-1,))</f>
        <v>1</v>
      </c>
      <c r="FG69" s="10" cm="1">
        <f t="array" aca="1" ref="FG69" ca="1">IF(ISNA(J69),0,OFFSET(INDIRECT("'"&amp;EP$67&amp;"'!h1"),J69-1,))</f>
        <v>1</v>
      </c>
      <c r="FH69" s="10" cm="1">
        <f t="array" aca="1" ref="FH69" ca="1">IF(ISNA(K69),0,OFFSET(INDIRECT("'"&amp;EQ$67&amp;"'!h1"),K69-1,))</f>
        <v>10000</v>
      </c>
      <c r="FI69" s="10" cm="1">
        <f t="array" aca="1" ref="FI69" ca="1">IF(ISNA(L69),0,OFFSET(INDIRECT("'"&amp;ER$67&amp;"'!h1"),L69-1,))</f>
        <v>10000</v>
      </c>
      <c r="FJ69" s="10" cm="1">
        <f t="array" aca="1" ref="FJ69" ca="1">IF(ISNA(M69),0,OFFSET(INDIRECT("'"&amp;ES$67&amp;"'!h1"),M69-1,))</f>
        <v>10000</v>
      </c>
      <c r="FK69" s="10" cm="1">
        <f t="array" aca="1" ref="FK69" ca="1">IF(ISNA(N69),0,OFFSET(INDIRECT("'"&amp;ET$67&amp;"'!h1"),N69-1,))</f>
        <v>1</v>
      </c>
      <c r="FL69" s="10" cm="1">
        <f t="array" aca="1" ref="FL69" ca="1">IF(ISNA(O69),0,OFFSET(INDIRECT("'"&amp;EU$67&amp;"'!h1"),O69-1,))</f>
        <v>1</v>
      </c>
      <c r="FM69" s="10" cm="1">
        <f t="array" aca="1" ref="FM69" ca="1">IF(ISNA(P69),0,OFFSET(INDIRECT("'"&amp;EV$67&amp;"'!h1"),P69-1,))</f>
        <v>2</v>
      </c>
      <c r="FN69" s="10"/>
      <c r="FO69" s="10"/>
      <c r="FP69" s="10"/>
      <c r="FQ69" s="10"/>
      <c r="FS69">
        <f t="shared" ref="FS69:FS86" ca="1" si="55">B69</f>
        <v>20</v>
      </c>
      <c r="FT69">
        <f t="shared" ref="FT69:FT86" ca="1" si="56">OFFSET($DC69,,$FT$66-1)</f>
        <v>0.95120844896882695</v>
      </c>
      <c r="FU69">
        <f t="shared" ref="FU69:FU86" ca="1" si="57">OFFSET($DT69,,$FT$66-1)</f>
        <v>9573</v>
      </c>
      <c r="FV69">
        <f t="shared" ref="FV69:FV86" ca="1" si="58">OFFSET($FB69,,$FT$66-1)</f>
        <v>10000</v>
      </c>
      <c r="FW69" s="4">
        <f t="shared" ref="FW69:FW86" ca="1" si="59">IF(FV69,FU69/FV69,NA())</f>
        <v>0.95730000000000004</v>
      </c>
      <c r="FX69" s="5">
        <f t="shared" ref="FX69:FX86" ca="1" si="60">IF(FU69,FT69/FU69,NA())</f>
        <v>9.9363673766721713E-5</v>
      </c>
      <c r="FZ69" s="13">
        <f t="shared" ca="1" si="44"/>
        <v>20</v>
      </c>
      <c r="GA69" s="23">
        <f t="shared" ref="GA69:GA86" ca="1" si="61">IF(BD69,(BU69-$C69)/$C69,NA())</f>
        <v>0</v>
      </c>
      <c r="GB69" s="23">
        <f t="shared" ca="1" si="45"/>
        <v>0</v>
      </c>
      <c r="GC69" s="23">
        <f t="shared" ca="1" si="45"/>
        <v>0</v>
      </c>
      <c r="GD69" s="23">
        <f t="shared" ca="1" si="45"/>
        <v>0</v>
      </c>
      <c r="GE69" s="23">
        <f t="shared" ca="1" si="45"/>
        <v>0</v>
      </c>
      <c r="GF69" s="23">
        <f t="shared" ca="1" si="45"/>
        <v>0</v>
      </c>
      <c r="GG69" s="23">
        <f t="shared" ca="1" si="45"/>
        <v>0</v>
      </c>
      <c r="GH69" s="23">
        <f t="shared" ca="1" si="45"/>
        <v>0</v>
      </c>
      <c r="GI69" s="23">
        <f t="shared" ca="1" si="45"/>
        <v>0</v>
      </c>
      <c r="GJ69" s="23" t="e">
        <f t="shared" ca="1" si="45"/>
        <v>#N/A</v>
      </c>
      <c r="GK69" s="23">
        <f t="shared" ca="1" si="45"/>
        <v>0</v>
      </c>
      <c r="GL69" s="23">
        <f t="shared" ca="1" si="45"/>
        <v>0</v>
      </c>
      <c r="GM69" s="23"/>
      <c r="GN69">
        <f t="shared" ref="GN69:GN86" ca="1" si="62">B69</f>
        <v>20</v>
      </c>
      <c r="GO69" s="5">
        <f t="shared" ref="GO69:GS86" ca="1" si="63">IF(AND(AM69&gt;0,DT69&gt;0),DC69/DT69,NA())</f>
        <v>3.3476301934569998E-2</v>
      </c>
      <c r="GP69" s="5">
        <f t="shared" ca="1" si="46"/>
        <v>4.4279285240918398E-2</v>
      </c>
      <c r="GQ69" s="5">
        <f t="shared" ca="1" si="46"/>
        <v>1.41975982114672E-2</v>
      </c>
      <c r="GR69" s="5">
        <f t="shared" ca="1" si="46"/>
        <v>8.0212479000010703E-2</v>
      </c>
      <c r="GS69" s="5">
        <f t="shared" ca="1" si="46"/>
        <v>0.115893624999444</v>
      </c>
      <c r="GT69" s="5">
        <f t="shared" ref="GT69:GZ86" ca="1" si="64">IF(DY69&gt;0,DH69/DY69,NA())</f>
        <v>3.2014368567615699E-2</v>
      </c>
      <c r="GU69" s="5">
        <f t="shared" ca="1" si="47"/>
        <v>9.9363673766721713E-5</v>
      </c>
      <c r="GV69" s="5">
        <f t="shared" ca="1" si="47"/>
        <v>1.572166897860364E-4</v>
      </c>
      <c r="GW69" s="5">
        <f t="shared" ca="1" si="47"/>
        <v>1.4758960955014988E-3</v>
      </c>
      <c r="GX69" s="5" t="e">
        <f t="shared" ca="1" si="47"/>
        <v>#N/A</v>
      </c>
      <c r="GY69" s="5">
        <f t="shared" ca="1" si="47"/>
        <v>3.9133531972765897E-3</v>
      </c>
      <c r="GZ69" s="5">
        <f t="shared" ca="1" si="47"/>
        <v>2.0801536738872502E-3</v>
      </c>
      <c r="HB69" s="13">
        <f t="shared" ca="1" si="48"/>
        <v>20</v>
      </c>
      <c r="HC69" s="4">
        <f t="shared" ref="HC69:HC86" ca="1" si="65">IF(FB69,DT69/FB69,)</f>
        <v>1</v>
      </c>
      <c r="HD69" s="4">
        <f t="shared" ca="1" si="49"/>
        <v>1</v>
      </c>
      <c r="HE69" s="4">
        <f t="shared" ca="1" si="49"/>
        <v>1</v>
      </c>
      <c r="HF69" s="4">
        <f t="shared" ca="1" si="49"/>
        <v>1</v>
      </c>
      <c r="HG69" s="4">
        <f t="shared" ca="1" si="49"/>
        <v>1</v>
      </c>
      <c r="HH69" s="4">
        <f t="shared" ca="1" si="49"/>
        <v>1</v>
      </c>
      <c r="HI69" s="4">
        <f t="shared" ca="1" si="49"/>
        <v>0.95730000000000004</v>
      </c>
      <c r="HJ69" s="4">
        <f t="shared" ca="1" si="49"/>
        <v>0.99960000000000004</v>
      </c>
      <c r="HK69" s="4">
        <f t="shared" ca="1" si="49"/>
        <v>0.88070000000000004</v>
      </c>
      <c r="HL69" s="4">
        <f t="shared" ca="1" si="49"/>
        <v>0</v>
      </c>
      <c r="HM69" s="4">
        <f t="shared" ca="1" si="49"/>
        <v>1</v>
      </c>
      <c r="HN69" s="4">
        <f t="shared" ca="1" si="49"/>
        <v>1</v>
      </c>
    </row>
    <row r="70" spans="1:222" x14ac:dyDescent="0.2">
      <c r="A70" t="str" cm="1">
        <f t="array" aca="1" ref="A70" ca="1">INDIRECT($A$67&amp;"!A"&amp;ROW(C3)+$B$64)</f>
        <v>[[35,16,6]]</v>
      </c>
      <c r="B70" cm="1">
        <f t="array" aca="1" ref="B70" ca="1">INDIRECT($A$67&amp;"!b"&amp;ROW(D3)+$B$64)</f>
        <v>35</v>
      </c>
      <c r="C70">
        <f t="shared" ca="1" si="50"/>
        <v>6</v>
      </c>
      <c r="E70">
        <f t="shared" ca="1" si="37"/>
        <v>27</v>
      </c>
      <c r="F70">
        <f t="shared" ca="1" si="37"/>
        <v>28</v>
      </c>
      <c r="G70">
        <f t="shared" ca="1" si="37"/>
        <v>27</v>
      </c>
      <c r="H70">
        <f t="shared" ca="1" si="37"/>
        <v>27</v>
      </c>
      <c r="I70">
        <f t="shared" ca="1" si="37"/>
        <v>30</v>
      </c>
      <c r="J70">
        <f t="shared" ca="1" si="37"/>
        <v>27</v>
      </c>
      <c r="K70">
        <f t="shared" ca="1" si="37"/>
        <v>34</v>
      </c>
      <c r="L70">
        <f t="shared" ca="1" si="37"/>
        <v>36</v>
      </c>
      <c r="M70">
        <f t="shared" ca="1" si="37"/>
        <v>33</v>
      </c>
      <c r="N70">
        <f t="shared" ca="1" si="37"/>
        <v>31</v>
      </c>
      <c r="O70">
        <f t="shared" ca="1" si="37"/>
        <v>31</v>
      </c>
      <c r="P70">
        <f t="shared" ca="1" si="37"/>
        <v>31</v>
      </c>
      <c r="V70" cm="1">
        <f t="array" aca="1" ref="V70" ca="1">IF(ISNA(E70),,OFFSET(INDIRECT("'"&amp;V$67&amp;"'!d1"),E70-1,))</f>
        <v>6</v>
      </c>
      <c r="W70" cm="1">
        <f t="array" aca="1" ref="W70" ca="1">IF(ISNA(F70),,OFFSET(INDIRECT("'"&amp;W$67&amp;"'!d1"),F70-1,))</f>
        <v>6</v>
      </c>
      <c r="X70" cm="1">
        <f t="array" aca="1" ref="X70" ca="1">IF(ISNA(G70),,OFFSET(INDIRECT("'"&amp;X$67&amp;"'!d1"),G70-1,))</f>
        <v>6</v>
      </c>
      <c r="Y70" cm="1">
        <f t="array" aca="1" ref="Y70" ca="1">IF(ISNA(H70),,OFFSET(INDIRECT("'"&amp;Y$67&amp;"'!d1"),H70-1,))</f>
        <v>6</v>
      </c>
      <c r="Z70" cm="1">
        <f t="array" aca="1" ref="Z70" ca="1">IF(ISNA(I70),,OFFSET(INDIRECT("'"&amp;Z$67&amp;"'!d1"),I70-1,))</f>
        <v>6</v>
      </c>
      <c r="AA70" cm="1">
        <f t="array" aca="1" ref="AA70" ca="1">IF(ISNA(J70),,OFFSET(INDIRECT("'"&amp;AA$67&amp;"'!d1"),J70-1,))</f>
        <v>6</v>
      </c>
      <c r="AB70" cm="1">
        <f t="array" aca="1" ref="AB70" ca="1">IF(ISNA(K70),,OFFSET(INDIRECT("'"&amp;AB$67&amp;"'!d1"),K70-1,))</f>
        <v>6</v>
      </c>
      <c r="AC70" cm="1">
        <f t="array" aca="1" ref="AC70" ca="1">IF(ISNA(L70),,OFFSET(INDIRECT("'"&amp;AC$67&amp;"'!d1"),L70-1,))</f>
        <v>6</v>
      </c>
      <c r="AD70" cm="1">
        <f t="array" aca="1" ref="AD70" ca="1">IF(ISNA(M70),,OFFSET(INDIRECT("'"&amp;AD$67&amp;"'!d1"),M70-1,))</f>
        <v>6</v>
      </c>
      <c r="AE70" cm="1">
        <f t="array" aca="1" ref="AE70" ca="1">IF(ISNA(N70),,OFFSET(INDIRECT("'"&amp;AE$67&amp;"'!d1"),N70-1,))</f>
        <v>0</v>
      </c>
      <c r="AF70" cm="1">
        <f t="array" aca="1" ref="AF70" ca="1">IF(ISNA(O70),,OFFSET(INDIRECT("'"&amp;AF$67&amp;"'!d1"),O70-1,))</f>
        <v>0</v>
      </c>
      <c r="AG70" cm="1">
        <f t="array" aca="1" ref="AG70" ca="1">IF(ISNA(P70),,OFFSET(INDIRECT("'"&amp;AG$67&amp;"'!d1"),P70-1,))</f>
        <v>6</v>
      </c>
      <c r="AM70">
        <f t="shared" ca="1" si="51"/>
        <v>1</v>
      </c>
      <c r="AN70">
        <f t="shared" ca="1" si="38"/>
        <v>1</v>
      </c>
      <c r="AO70">
        <f t="shared" ca="1" si="38"/>
        <v>1</v>
      </c>
      <c r="AP70">
        <f t="shared" ca="1" si="38"/>
        <v>1</v>
      </c>
      <c r="AQ70">
        <f t="shared" ca="1" si="52"/>
        <v>1</v>
      </c>
      <c r="AV70" t="b">
        <f t="shared" ca="1" si="53"/>
        <v>1</v>
      </c>
      <c r="AW70" t="b">
        <f t="shared" ca="1" si="39"/>
        <v>1</v>
      </c>
      <c r="AX70" t="b">
        <f t="shared" ca="1" si="39"/>
        <v>1</v>
      </c>
      <c r="AY70" t="b">
        <f t="shared" ca="1" si="39"/>
        <v>1</v>
      </c>
      <c r="AZ70" t="b">
        <f t="shared" ca="1" si="39"/>
        <v>1</v>
      </c>
      <c r="BD70">
        <f t="shared" ca="1" si="40"/>
        <v>1</v>
      </c>
      <c r="BE70">
        <f t="shared" ca="1" si="40"/>
        <v>1</v>
      </c>
      <c r="BF70">
        <f t="shared" ca="1" si="40"/>
        <v>1</v>
      </c>
      <c r="BG70">
        <f t="shared" ca="1" si="40"/>
        <v>1</v>
      </c>
      <c r="BH70">
        <f t="shared" ca="1" si="40"/>
        <v>1</v>
      </c>
      <c r="BI70">
        <f t="shared" ca="1" si="40"/>
        <v>1</v>
      </c>
      <c r="BJ70">
        <f t="shared" ca="1" si="40"/>
        <v>1</v>
      </c>
      <c r="BK70">
        <f t="shared" ca="1" si="40"/>
        <v>1</v>
      </c>
      <c r="BL70">
        <f t="shared" ca="1" si="40"/>
        <v>1</v>
      </c>
      <c r="BM70">
        <f t="shared" ca="1" si="40"/>
        <v>0</v>
      </c>
      <c r="BN70">
        <f t="shared" ca="1" si="40"/>
        <v>0</v>
      </c>
      <c r="BO70">
        <f t="shared" ca="1" si="40"/>
        <v>1</v>
      </c>
      <c r="BU70">
        <f t="shared" ca="1" si="41"/>
        <v>6</v>
      </c>
      <c r="BV70">
        <f t="shared" ca="1" si="41"/>
        <v>6</v>
      </c>
      <c r="BW70">
        <f t="shared" ca="1" si="41"/>
        <v>6</v>
      </c>
      <c r="BX70">
        <f t="shared" ca="1" si="41"/>
        <v>6</v>
      </c>
      <c r="BY70">
        <f t="shared" ca="1" si="41"/>
        <v>6</v>
      </c>
      <c r="BZ70">
        <f t="shared" ca="1" si="41"/>
        <v>6</v>
      </c>
      <c r="CA70">
        <f t="shared" ca="1" si="41"/>
        <v>6</v>
      </c>
      <c r="CB70">
        <f t="shared" ca="1" si="41"/>
        <v>6</v>
      </c>
      <c r="CC70">
        <f t="shared" ca="1" si="41"/>
        <v>6</v>
      </c>
      <c r="CD70">
        <f t="shared" ca="1" si="41"/>
        <v>35</v>
      </c>
      <c r="CE70">
        <f t="shared" ca="1" si="41"/>
        <v>35</v>
      </c>
      <c r="CF70">
        <f t="shared" ca="1" si="41"/>
        <v>6</v>
      </c>
      <c r="CL70">
        <f t="shared" ca="1" si="42"/>
        <v>1</v>
      </c>
      <c r="CM70">
        <f t="shared" ca="1" si="42"/>
        <v>1</v>
      </c>
      <c r="CN70">
        <f t="shared" ca="1" si="42"/>
        <v>1</v>
      </c>
      <c r="CO70">
        <f t="shared" ca="1" si="42"/>
        <v>1</v>
      </c>
      <c r="CP70">
        <f t="shared" ca="1" si="42"/>
        <v>1</v>
      </c>
      <c r="CQ70">
        <f t="shared" ca="1" si="42"/>
        <v>1</v>
      </c>
      <c r="CR70">
        <f t="shared" ca="1" si="42"/>
        <v>1</v>
      </c>
      <c r="CS70">
        <f t="shared" ca="1" si="42"/>
        <v>1</v>
      </c>
      <c r="CT70">
        <f t="shared" ca="1" si="42"/>
        <v>1</v>
      </c>
      <c r="CU70">
        <f t="shared" ca="1" si="42"/>
        <v>0</v>
      </c>
      <c r="CV70">
        <f t="shared" ca="1" si="42"/>
        <v>0</v>
      </c>
      <c r="CW70">
        <f t="shared" ca="1" si="42"/>
        <v>1</v>
      </c>
      <c r="DC70" cm="1">
        <f t="array" aca="1" ref="DC70" ca="1">IF(ISNA(E70),,OFFSET(INDIRECT("'"&amp;DT$67&amp;"'!f1"),E70-1,))*1</f>
        <v>8.3380978088825899E-2</v>
      </c>
      <c r="DD70" cm="1">
        <f t="array" aca="1" ref="DD70" ca="1">IF(ISNA(F70),,OFFSET(INDIRECT("'"&amp;DU$67&amp;"'!f1"),F70-1,))*1</f>
        <v>0.25959258479997499</v>
      </c>
      <c r="DE70" cm="1">
        <f t="array" aca="1" ref="DE70" ca="1">IF(ISNA(G70),,OFFSET(INDIRECT("'"&amp;DV$67&amp;"'!f1"),G70-1,))*1</f>
        <v>9.4773933757096501E-2</v>
      </c>
      <c r="DF70" cm="1">
        <f t="array" aca="1" ref="DF70" ca="1">IF(ISNA(H70),,OFFSET(INDIRECT("'"&amp;DW$67&amp;"'!f1"),H70-1,))*1</f>
        <v>0.10326962399997699</v>
      </c>
      <c r="DG70" cm="1">
        <f t="array" aca="1" ref="DG70" ca="1">IF(ISNA(I70),,OFFSET(INDIRECT("'"&amp;DX$67&amp;"'!f1"),I70-1,))*1</f>
        <v>5.7400166988372803E-2</v>
      </c>
      <c r="DH70" cm="1">
        <f t="array" aca="1" ref="DH70" ca="1">IF(ISNA(J70),,OFFSET(INDIRECT("'"&amp;DY$67&amp;"'!f1"),J70-1,))*1</f>
        <v>5.8088800404220799E-2</v>
      </c>
      <c r="DI70" cm="1">
        <f t="array" aca="1" ref="DI70" ca="1">IF(ISNA(K70),,OFFSET(INDIRECT("'"&amp;DZ$67&amp;"'!f1"),K70-1,))*1</f>
        <v>1.26520340610295</v>
      </c>
      <c r="DJ70" cm="1">
        <f t="array" aca="1" ref="DJ70" ca="1">IF(ISNA(L70),,OFFSET(INDIRECT("'"&amp;EA$67&amp;"'!f1"),L70-1,))*1</f>
        <v>1.85003076028078</v>
      </c>
      <c r="DK70" cm="1">
        <f t="array" aca="1" ref="DK70" ca="1">IF(ISNA(M70),,OFFSET(INDIRECT("'"&amp;EB$67&amp;"'!f1"),M70-1,))*1</f>
        <v>26.532510214950801</v>
      </c>
      <c r="DL70" cm="1">
        <f t="array" aca="1" ref="DL70" ca="1">IF(ISNA(N70),,OFFSET(INDIRECT("'"&amp;EC$67&amp;"'!f1"),N70-1,))*1</f>
        <v>7.8671015799045493E-3</v>
      </c>
      <c r="DM70" cm="1">
        <f t="array" aca="1" ref="DM70" ca="1">IF(ISNA(O70),,OFFSET(INDIRECT("'"&amp;ED$67&amp;"'!f1"),O70-1,))*1</f>
        <v>5.4184142500162099E-3</v>
      </c>
      <c r="DN70" cm="1">
        <f t="array" aca="1" ref="DN70" ca="1">IF(ISNA(P70),,OFFSET(INDIRECT("'"&amp;EE$67&amp;"'!f1"),P70-1,))*1</f>
        <v>1.07365222647786E-2</v>
      </c>
      <c r="DT70">
        <f t="shared" ca="1" si="54"/>
        <v>1</v>
      </c>
      <c r="DU70">
        <f t="shared" ca="1" si="43"/>
        <v>1</v>
      </c>
      <c r="DV70">
        <f t="shared" ca="1" si="43"/>
        <v>1</v>
      </c>
      <c r="DW70">
        <f t="shared" ca="1" si="43"/>
        <v>1</v>
      </c>
      <c r="DX70">
        <f t="shared" ca="1" si="43"/>
        <v>1</v>
      </c>
      <c r="DY70">
        <f t="shared" ca="1" si="43"/>
        <v>1</v>
      </c>
      <c r="DZ70">
        <f t="shared" ca="1" si="43"/>
        <v>6094</v>
      </c>
      <c r="EA70">
        <f t="shared" ca="1" si="43"/>
        <v>9918</v>
      </c>
      <c r="EB70">
        <f t="shared" ca="1" si="43"/>
        <v>3589</v>
      </c>
      <c r="EC70">
        <f t="shared" ca="1" si="43"/>
        <v>0</v>
      </c>
      <c r="ED70">
        <f t="shared" ca="1" si="43"/>
        <v>0</v>
      </c>
      <c r="EE70">
        <f t="shared" ca="1" si="43"/>
        <v>2</v>
      </c>
      <c r="EK70" cm="1">
        <f t="array" aca="1" ref="EK70" ca="1">IF(ISNA(E70),0,OFFSET(INDIRECT("'"&amp;EK$67&amp;"'!g1"),E70-1,)*CL70)</f>
        <v>1</v>
      </c>
      <c r="EL70" cm="1">
        <f t="array" aca="1" ref="EL70" ca="1">IF(ISNA(F70),0,OFFSET(INDIRECT("'"&amp;EL$67&amp;"'!g1"),F70-1,)*CM70)</f>
        <v>1</v>
      </c>
      <c r="EM70" cm="1">
        <f t="array" aca="1" ref="EM70" ca="1">IF(ISNA(G70),0,OFFSET(INDIRECT("'"&amp;EM$67&amp;"'!g1"),G70-1,)*CN70)</f>
        <v>1</v>
      </c>
      <c r="EN70" cm="1">
        <f t="array" aca="1" ref="EN70" ca="1">IF(ISNA(H70),0,OFFSET(INDIRECT("'"&amp;EN$67&amp;"'!g1"),H70-1,)*CO70)</f>
        <v>1</v>
      </c>
      <c r="EO70" cm="1">
        <f t="array" aca="1" ref="EO70" ca="1">IF(ISNA(I70),0,OFFSET(INDIRECT("'"&amp;EO$67&amp;"'!g1"),I70-1,)*CP70)</f>
        <v>1</v>
      </c>
      <c r="EP70" cm="1">
        <f t="array" aca="1" ref="EP70" ca="1">IF(ISNA(J70),0,OFFSET(INDIRECT("'"&amp;EP$67&amp;"'!g1"),J70-1,)*CQ70)</f>
        <v>1</v>
      </c>
      <c r="EQ70" cm="1">
        <f t="array" aca="1" ref="EQ70" ca="1">IF(ISNA(K70),0,OFFSET(INDIRECT("'"&amp;EQ$67&amp;"'!g1"),K70-1,)*CR70)</f>
        <v>6094</v>
      </c>
      <c r="ER70" cm="1">
        <f t="array" aca="1" ref="ER70" ca="1">IF(ISNA(L70),0,OFFSET(INDIRECT("'"&amp;ER$67&amp;"'!g1"),L70-1,)*CS70)</f>
        <v>9918</v>
      </c>
      <c r="ES70" cm="1">
        <f t="array" aca="1" ref="ES70" ca="1">IF(ISNA(M70),0,OFFSET(INDIRECT("'"&amp;ES$67&amp;"'!g1"),M70-1,)*CT70)</f>
        <v>3589</v>
      </c>
      <c r="ET70" cm="1">
        <f t="array" aca="1" ref="ET70" ca="1">IF(ISNA(N70),0,OFFSET(INDIRECT("'"&amp;ET$67&amp;"'!g1"),N70-1,)*CU70)</f>
        <v>0</v>
      </c>
      <c r="EU70" cm="1">
        <f t="array" aca="1" ref="EU70" ca="1">IF(ISNA(O70),0,OFFSET(INDIRECT("'"&amp;EU$67&amp;"'!g1"),O70-1,)*CV70)</f>
        <v>0</v>
      </c>
      <c r="EV70" cm="1">
        <f t="array" aca="1" ref="EV70" ca="1">IF(ISNA(P70),0,OFFSET(INDIRECT("'"&amp;EV$67&amp;"'!g1"),P70-1,)*CW70)</f>
        <v>2</v>
      </c>
      <c r="FB70" s="10" cm="1">
        <f t="array" aca="1" ref="FB70" ca="1">IF(ISNA(E70),0,OFFSET(INDIRECT("'"&amp;EK$67&amp;"'!h1"),E70-1,))</f>
        <v>1</v>
      </c>
      <c r="FC70" s="10" cm="1">
        <f t="array" aca="1" ref="FC70" ca="1">IF(ISNA(F70),0,OFFSET(INDIRECT("'"&amp;EL$67&amp;"'!h1"),F70-1,))</f>
        <v>1</v>
      </c>
      <c r="FD70" s="10" cm="1">
        <f t="array" aca="1" ref="FD70" ca="1">IF(ISNA(G70),0,OFFSET(INDIRECT("'"&amp;EM$67&amp;"'!h1"),G70-1,))</f>
        <v>1</v>
      </c>
      <c r="FE70" s="10" cm="1">
        <f t="array" aca="1" ref="FE70" ca="1">IF(ISNA(H70),0,OFFSET(INDIRECT("'"&amp;EN$67&amp;"'!h1"),H70-1,))</f>
        <v>1</v>
      </c>
      <c r="FF70" s="10" cm="1">
        <f t="array" aca="1" ref="FF70" ca="1">IF(ISNA(I70),0,OFFSET(INDIRECT("'"&amp;EO$67&amp;"'!h1"),I70-1,))</f>
        <v>1</v>
      </c>
      <c r="FG70" s="10" cm="1">
        <f t="array" aca="1" ref="FG70" ca="1">IF(ISNA(J70),0,OFFSET(INDIRECT("'"&amp;EP$67&amp;"'!h1"),J70-1,))</f>
        <v>1</v>
      </c>
      <c r="FH70" s="10" cm="1">
        <f t="array" aca="1" ref="FH70" ca="1">IF(ISNA(K70),0,OFFSET(INDIRECT("'"&amp;EQ$67&amp;"'!h1"),K70-1,))</f>
        <v>10000</v>
      </c>
      <c r="FI70" s="10" cm="1">
        <f t="array" aca="1" ref="FI70" ca="1">IF(ISNA(L70),0,OFFSET(INDIRECT("'"&amp;ER$67&amp;"'!h1"),L70-1,))</f>
        <v>10000</v>
      </c>
      <c r="FJ70" s="10" cm="1">
        <f t="array" aca="1" ref="FJ70" ca="1">IF(ISNA(M70),0,OFFSET(INDIRECT("'"&amp;ES$67&amp;"'!h1"),M70-1,))</f>
        <v>10000</v>
      </c>
      <c r="FK70" s="10" cm="1">
        <f t="array" aca="1" ref="FK70" ca="1">IF(ISNA(N70),0,OFFSET(INDIRECT("'"&amp;ET$67&amp;"'!h1"),N70-1,))</f>
        <v>1</v>
      </c>
      <c r="FL70" s="10" cm="1">
        <f t="array" aca="1" ref="FL70" ca="1">IF(ISNA(O70),0,OFFSET(INDIRECT("'"&amp;EU$67&amp;"'!h1"),O70-1,))</f>
        <v>1</v>
      </c>
      <c r="FM70" s="10" cm="1">
        <f t="array" aca="1" ref="FM70" ca="1">IF(ISNA(P70),0,OFFSET(INDIRECT("'"&amp;EV$67&amp;"'!h1"),P70-1,))</f>
        <v>6</v>
      </c>
      <c r="FN70" s="10"/>
      <c r="FO70" s="10"/>
      <c r="FP70" s="10"/>
      <c r="FQ70" s="10"/>
      <c r="FS70">
        <f t="shared" ca="1" si="55"/>
        <v>35</v>
      </c>
      <c r="FT70">
        <f t="shared" ca="1" si="56"/>
        <v>1.26520340610295</v>
      </c>
      <c r="FU70">
        <f t="shared" ca="1" si="57"/>
        <v>6094</v>
      </c>
      <c r="FV70">
        <f t="shared" ca="1" si="58"/>
        <v>10000</v>
      </c>
      <c r="FW70" s="4">
        <f t="shared" ca="1" si="59"/>
        <v>0.60940000000000005</v>
      </c>
      <c r="FX70" s="5">
        <f t="shared" ca="1" si="60"/>
        <v>2.0761460553051362E-4</v>
      </c>
      <c r="FZ70" s="13">
        <f t="shared" ca="1" si="44"/>
        <v>35</v>
      </c>
      <c r="GA70" s="23">
        <f t="shared" ca="1" si="61"/>
        <v>0</v>
      </c>
      <c r="GB70" s="23">
        <f t="shared" ca="1" si="45"/>
        <v>0</v>
      </c>
      <c r="GC70" s="23">
        <f t="shared" ca="1" si="45"/>
        <v>0</v>
      </c>
      <c r="GD70" s="23">
        <f t="shared" ca="1" si="45"/>
        <v>0</v>
      </c>
      <c r="GE70" s="23">
        <f t="shared" ca="1" si="45"/>
        <v>0</v>
      </c>
      <c r="GF70" s="23">
        <f t="shared" ca="1" si="45"/>
        <v>0</v>
      </c>
      <c r="GG70" s="23">
        <f t="shared" ca="1" si="45"/>
        <v>0</v>
      </c>
      <c r="GH70" s="23">
        <f t="shared" ca="1" si="45"/>
        <v>0</v>
      </c>
      <c r="GI70" s="23">
        <f t="shared" ca="1" si="45"/>
        <v>0</v>
      </c>
      <c r="GJ70" s="23" t="e">
        <f t="shared" ca="1" si="45"/>
        <v>#N/A</v>
      </c>
      <c r="GK70" s="23" t="e">
        <f t="shared" ca="1" si="45"/>
        <v>#N/A</v>
      </c>
      <c r="GL70" s="23">
        <f t="shared" ca="1" si="45"/>
        <v>0</v>
      </c>
      <c r="GM70" s="23"/>
      <c r="GN70">
        <f t="shared" ca="1" si="62"/>
        <v>35</v>
      </c>
      <c r="GO70" s="5">
        <f t="shared" ca="1" si="63"/>
        <v>8.3380978088825899E-2</v>
      </c>
      <c r="GP70" s="5">
        <f t="shared" ca="1" si="46"/>
        <v>0.25959258479997499</v>
      </c>
      <c r="GQ70" s="5">
        <f t="shared" ca="1" si="46"/>
        <v>9.4773933757096501E-2</v>
      </c>
      <c r="GR70" s="5">
        <f t="shared" ca="1" si="46"/>
        <v>0.10326962399997699</v>
      </c>
      <c r="GS70" s="5">
        <f t="shared" ca="1" si="46"/>
        <v>5.7400166988372803E-2</v>
      </c>
      <c r="GT70" s="5">
        <f t="shared" ca="1" si="64"/>
        <v>5.8088800404220799E-2</v>
      </c>
      <c r="GU70" s="5">
        <f t="shared" ca="1" si="47"/>
        <v>2.0761460553051362E-4</v>
      </c>
      <c r="GV70" s="5">
        <f t="shared" ca="1" si="47"/>
        <v>1.8653264370647107E-4</v>
      </c>
      <c r="GW70" s="5">
        <f t="shared" ca="1" si="47"/>
        <v>7.3927306255087213E-3</v>
      </c>
      <c r="GX70" s="5" t="e">
        <f t="shared" ca="1" si="47"/>
        <v>#N/A</v>
      </c>
      <c r="GY70" s="5" t="e">
        <f t="shared" ca="1" si="47"/>
        <v>#N/A</v>
      </c>
      <c r="GZ70" s="5">
        <f t="shared" ca="1" si="47"/>
        <v>5.3682611323893001E-3</v>
      </c>
      <c r="HB70" s="13">
        <f t="shared" ca="1" si="48"/>
        <v>35</v>
      </c>
      <c r="HC70" s="4">
        <f t="shared" ca="1" si="65"/>
        <v>1</v>
      </c>
      <c r="HD70" s="4">
        <f t="shared" ca="1" si="49"/>
        <v>1</v>
      </c>
      <c r="HE70" s="4">
        <f t="shared" ca="1" si="49"/>
        <v>1</v>
      </c>
      <c r="HF70" s="4">
        <f t="shared" ca="1" si="49"/>
        <v>1</v>
      </c>
      <c r="HG70" s="4">
        <f t="shared" ca="1" si="49"/>
        <v>1</v>
      </c>
      <c r="HH70" s="4">
        <f t="shared" ca="1" si="49"/>
        <v>1</v>
      </c>
      <c r="HI70" s="4">
        <f t="shared" ca="1" si="49"/>
        <v>0.60940000000000005</v>
      </c>
      <c r="HJ70" s="4">
        <f t="shared" ca="1" si="49"/>
        <v>0.99180000000000001</v>
      </c>
      <c r="HK70" s="4">
        <f t="shared" ca="1" si="49"/>
        <v>0.3589</v>
      </c>
      <c r="HL70" s="4">
        <f t="shared" ca="1" si="49"/>
        <v>0</v>
      </c>
      <c r="HM70" s="4">
        <f t="shared" ca="1" si="49"/>
        <v>0</v>
      </c>
      <c r="HN70" s="4">
        <f t="shared" ca="1" si="49"/>
        <v>0.33333333333333331</v>
      </c>
    </row>
    <row r="71" spans="1:222" x14ac:dyDescent="0.2">
      <c r="A71" t="str" cm="1">
        <f t="array" aca="1" ref="A71" ca="1">INDIRECT($A$67&amp;"!A"&amp;ROW(C4)+$B$64)</f>
        <v>[[50,22,8]]</v>
      </c>
      <c r="B71" cm="1">
        <f t="array" aca="1" ref="B71" ca="1">INDIRECT($A$67&amp;"!b"&amp;ROW(D4)+$B$64)</f>
        <v>50</v>
      </c>
      <c r="C71">
        <f t="shared" ca="1" si="50"/>
        <v>8</v>
      </c>
      <c r="E71">
        <f t="shared" ca="1" si="37"/>
        <v>28</v>
      </c>
      <c r="F71">
        <f t="shared" ca="1" si="37"/>
        <v>29</v>
      </c>
      <c r="G71">
        <f t="shared" ca="1" si="37"/>
        <v>28</v>
      </c>
      <c r="H71">
        <f t="shared" ca="1" si="37"/>
        <v>28</v>
      </c>
      <c r="I71">
        <f t="shared" ca="1" si="37"/>
        <v>31</v>
      </c>
      <c r="J71">
        <f t="shared" ca="1" si="37"/>
        <v>28</v>
      </c>
      <c r="K71">
        <f t="shared" ca="1" si="37"/>
        <v>35</v>
      </c>
      <c r="L71">
        <f t="shared" ca="1" si="37"/>
        <v>37</v>
      </c>
      <c r="M71">
        <f t="shared" ca="1" si="37"/>
        <v>34</v>
      </c>
      <c r="N71">
        <f t="shared" ca="1" si="37"/>
        <v>32</v>
      </c>
      <c r="O71">
        <f t="shared" ca="1" si="37"/>
        <v>32</v>
      </c>
      <c r="P71">
        <f t="shared" ca="1" si="37"/>
        <v>32</v>
      </c>
      <c r="V71" cm="1">
        <f t="array" aca="1" ref="V71" ca="1">IF(ISNA(E71),,OFFSET(INDIRECT("'"&amp;V$67&amp;"'!d1"),E71-1,))</f>
        <v>8</v>
      </c>
      <c r="W71" cm="1">
        <f t="array" aca="1" ref="W71" ca="1">IF(ISNA(F71),,OFFSET(INDIRECT("'"&amp;W$67&amp;"'!d1"),F71-1,))</f>
        <v>8</v>
      </c>
      <c r="X71" cm="1">
        <f t="array" aca="1" ref="X71" ca="1">IF(ISNA(G71),,OFFSET(INDIRECT("'"&amp;X$67&amp;"'!d1"),G71-1,))</f>
        <v>8</v>
      </c>
      <c r="Y71" cm="1">
        <f t="array" aca="1" ref="Y71" ca="1">IF(ISNA(H71),,OFFSET(INDIRECT("'"&amp;Y$67&amp;"'!d1"),H71-1,))</f>
        <v>8</v>
      </c>
      <c r="Z71" cm="1">
        <f t="array" aca="1" ref="Z71" ca="1">IF(ISNA(I71),,OFFSET(INDIRECT("'"&amp;Z$67&amp;"'!d1"),I71-1,))</f>
        <v>8</v>
      </c>
      <c r="AA71" cm="1">
        <f t="array" aca="1" ref="AA71" ca="1">IF(ISNA(J71),,OFFSET(INDIRECT("'"&amp;AA$67&amp;"'!d1"),J71-1,))</f>
        <v>8</v>
      </c>
      <c r="AB71" cm="1">
        <f t="array" aca="1" ref="AB71" ca="1">IF(ISNA(K71),,OFFSET(INDIRECT("'"&amp;AB$67&amp;"'!d1"),K71-1,))</f>
        <v>8</v>
      </c>
      <c r="AC71" cm="1">
        <f t="array" aca="1" ref="AC71" ca="1">IF(ISNA(L71),,OFFSET(INDIRECT("'"&amp;AC$67&amp;"'!d1"),L71-1,))</f>
        <v>8</v>
      </c>
      <c r="AD71" cm="1">
        <f t="array" aca="1" ref="AD71" ca="1">IF(ISNA(M71),,OFFSET(INDIRECT("'"&amp;AD$67&amp;"'!d1"),M71-1,))</f>
        <v>8</v>
      </c>
      <c r="AE71" cm="1">
        <f t="array" aca="1" ref="AE71" ca="1">IF(ISNA(N71),,OFFSET(INDIRECT("'"&amp;AE$67&amp;"'!d1"),N71-1,))</f>
        <v>0</v>
      </c>
      <c r="AF71" cm="1">
        <f t="array" aca="1" ref="AF71" ca="1">IF(ISNA(O71),,OFFSET(INDIRECT("'"&amp;AF$67&amp;"'!d1"),O71-1,))</f>
        <v>0</v>
      </c>
      <c r="AG71" cm="1">
        <f t="array" aca="1" ref="AG71" ca="1">IF(ISNA(P71),,OFFSET(INDIRECT("'"&amp;AG$67&amp;"'!d1"),P71-1,))</f>
        <v>8</v>
      </c>
      <c r="AM71">
        <f t="shared" ca="1" si="51"/>
        <v>1</v>
      </c>
      <c r="AN71">
        <f t="shared" ca="1" si="38"/>
        <v>1</v>
      </c>
      <c r="AO71">
        <f t="shared" ca="1" si="38"/>
        <v>1</v>
      </c>
      <c r="AP71">
        <f t="shared" ca="1" si="38"/>
        <v>1</v>
      </c>
      <c r="AQ71">
        <f t="shared" ca="1" si="52"/>
        <v>1</v>
      </c>
      <c r="AV71" t="b">
        <f t="shared" ca="1" si="53"/>
        <v>1</v>
      </c>
      <c r="AW71" t="b">
        <f t="shared" ca="1" si="39"/>
        <v>1</v>
      </c>
      <c r="AX71" t="b">
        <f t="shared" ca="1" si="39"/>
        <v>1</v>
      </c>
      <c r="AY71" t="b">
        <f t="shared" ca="1" si="39"/>
        <v>1</v>
      </c>
      <c r="AZ71" t="b">
        <f t="shared" ca="1" si="39"/>
        <v>1</v>
      </c>
      <c r="BD71">
        <f t="shared" ca="1" si="40"/>
        <v>1</v>
      </c>
      <c r="BE71">
        <f t="shared" ca="1" si="40"/>
        <v>1</v>
      </c>
      <c r="BF71">
        <f t="shared" ca="1" si="40"/>
        <v>1</v>
      </c>
      <c r="BG71">
        <f t="shared" ca="1" si="40"/>
        <v>1</v>
      </c>
      <c r="BH71">
        <f t="shared" ca="1" si="40"/>
        <v>1</v>
      </c>
      <c r="BI71">
        <f t="shared" ca="1" si="40"/>
        <v>1</v>
      </c>
      <c r="BJ71">
        <f t="shared" ca="1" si="40"/>
        <v>1</v>
      </c>
      <c r="BK71">
        <f t="shared" ca="1" si="40"/>
        <v>1</v>
      </c>
      <c r="BL71">
        <f t="shared" ca="1" si="40"/>
        <v>1</v>
      </c>
      <c r="BM71">
        <f t="shared" ca="1" si="40"/>
        <v>0</v>
      </c>
      <c r="BN71">
        <f t="shared" ca="1" si="40"/>
        <v>0</v>
      </c>
      <c r="BO71">
        <f t="shared" ca="1" si="40"/>
        <v>1</v>
      </c>
      <c r="BU71">
        <f t="shared" ca="1" si="41"/>
        <v>8</v>
      </c>
      <c r="BV71">
        <f t="shared" ca="1" si="41"/>
        <v>8</v>
      </c>
      <c r="BW71">
        <f t="shared" ca="1" si="41"/>
        <v>8</v>
      </c>
      <c r="BX71">
        <f t="shared" ca="1" si="41"/>
        <v>8</v>
      </c>
      <c r="BY71">
        <f t="shared" ca="1" si="41"/>
        <v>8</v>
      </c>
      <c r="BZ71">
        <f t="shared" ca="1" si="41"/>
        <v>8</v>
      </c>
      <c r="CA71">
        <f t="shared" ca="1" si="41"/>
        <v>8</v>
      </c>
      <c r="CB71">
        <f t="shared" ca="1" si="41"/>
        <v>8</v>
      </c>
      <c r="CC71">
        <f t="shared" ca="1" si="41"/>
        <v>8</v>
      </c>
      <c r="CD71">
        <f t="shared" ca="1" si="41"/>
        <v>50</v>
      </c>
      <c r="CE71">
        <f t="shared" ca="1" si="41"/>
        <v>50</v>
      </c>
      <c r="CF71">
        <f t="shared" ca="1" si="41"/>
        <v>8</v>
      </c>
      <c r="CL71">
        <f t="shared" ca="1" si="42"/>
        <v>1</v>
      </c>
      <c r="CM71">
        <f t="shared" ca="1" si="42"/>
        <v>1</v>
      </c>
      <c r="CN71">
        <f t="shared" ca="1" si="42"/>
        <v>1</v>
      </c>
      <c r="CO71">
        <f t="shared" ca="1" si="42"/>
        <v>1</v>
      </c>
      <c r="CP71">
        <f t="shared" ca="1" si="42"/>
        <v>1</v>
      </c>
      <c r="CQ71">
        <f t="shared" ca="1" si="42"/>
        <v>1</v>
      </c>
      <c r="CR71">
        <f t="shared" ca="1" si="42"/>
        <v>1</v>
      </c>
      <c r="CS71">
        <f t="shared" ca="1" si="42"/>
        <v>1</v>
      </c>
      <c r="CT71">
        <f t="shared" ca="1" si="42"/>
        <v>1</v>
      </c>
      <c r="CU71">
        <f t="shared" ca="1" si="42"/>
        <v>0</v>
      </c>
      <c r="CV71">
        <f t="shared" ca="1" si="42"/>
        <v>0</v>
      </c>
      <c r="CW71">
        <f t="shared" ca="1" si="42"/>
        <v>1</v>
      </c>
      <c r="DC71" cm="1">
        <f t="array" aca="1" ref="DC71" ca="1">IF(ISNA(E71),,OFFSET(INDIRECT("'"&amp;DT$67&amp;"'!f1"),E71-1,))*1</f>
        <v>0.536240994930267</v>
      </c>
      <c r="DD71" cm="1">
        <f t="array" aca="1" ref="DD71" ca="1">IF(ISNA(F71),,OFFSET(INDIRECT("'"&amp;DU$67&amp;"'!f1"),F71-1,))*1</f>
        <v>1.7402468230575301</v>
      </c>
      <c r="DE71" cm="1">
        <f t="array" aca="1" ref="DE71" ca="1">IF(ISNA(G71),,OFFSET(INDIRECT("'"&amp;DV$67&amp;"'!f1"),G71-1,))*1</f>
        <v>1.5112244719639401</v>
      </c>
      <c r="DF71" cm="1">
        <f t="array" aca="1" ref="DF71" ca="1">IF(ISNA(H71),,OFFSET(INDIRECT("'"&amp;DW$67&amp;"'!f1"),H71-1,))*1</f>
        <v>0.87494594700001405</v>
      </c>
      <c r="DG71" cm="1">
        <f t="array" aca="1" ref="DG71" ca="1">IF(ISNA(I71),,OFFSET(INDIRECT("'"&amp;DX$67&amp;"'!f1"),I71-1,))*1</f>
        <v>5.9457833005581003E-2</v>
      </c>
      <c r="DH71" cm="1">
        <f t="array" aca="1" ref="DH71" ca="1">IF(ISNA(J71),,OFFSET(INDIRECT("'"&amp;DY$67&amp;"'!f1"),J71-1,))*1</f>
        <v>8.7563758715987206E-2</v>
      </c>
      <c r="DI71" cm="1">
        <f t="array" aca="1" ref="DI71" ca="1">IF(ISNA(K71),,OFFSET(INDIRECT("'"&amp;DZ$67&amp;"'!f1"),K71-1,))*1</f>
        <v>1.6832473631948199</v>
      </c>
      <c r="DJ71" cm="1">
        <f t="array" aca="1" ref="DJ71" ca="1">IF(ISNA(L71),,OFFSET(INDIRECT("'"&amp;EA$67&amp;"'!f1"),L71-1,))*1</f>
        <v>2.5845944453030798</v>
      </c>
      <c r="DK71" cm="1">
        <f t="array" aca="1" ref="DK71" ca="1">IF(ISNA(M71),,OFFSET(INDIRECT("'"&amp;EB$67&amp;"'!f1"),M71-1,))*1</f>
        <v>39.325135034043299</v>
      </c>
      <c r="DL71" cm="1">
        <f t="array" aca="1" ref="DL71" ca="1">IF(ISNA(N71),,OFFSET(INDIRECT("'"&amp;EC$67&amp;"'!f1"),N71-1,))*1</f>
        <v>1.56849762424826E-2</v>
      </c>
      <c r="DM71" cm="1">
        <f t="array" aca="1" ref="DM71" ca="1">IF(ISNA(O71),,OFFSET(INDIRECT("'"&amp;ED$67&amp;"'!f1"),O71-1,))*1</f>
        <v>8.0313431099057198E-3</v>
      </c>
      <c r="DN71" cm="1">
        <f t="array" aca="1" ref="DN71" ca="1">IF(ISNA(P71),,OFFSET(INDIRECT("'"&amp;EE$67&amp;"'!f1"),P71-1,))*1</f>
        <v>9.1555456630885601E-2</v>
      </c>
      <c r="DT71">
        <f t="shared" ca="1" si="54"/>
        <v>1</v>
      </c>
      <c r="DU71">
        <f t="shared" ca="1" si="43"/>
        <v>1</v>
      </c>
      <c r="DV71">
        <f t="shared" ca="1" si="43"/>
        <v>1</v>
      </c>
      <c r="DW71">
        <f t="shared" ca="1" si="43"/>
        <v>1</v>
      </c>
      <c r="DX71">
        <f t="shared" ca="1" si="43"/>
        <v>1</v>
      </c>
      <c r="DY71">
        <f t="shared" ca="1" si="43"/>
        <v>1</v>
      </c>
      <c r="DZ71">
        <f t="shared" ca="1" si="43"/>
        <v>9673</v>
      </c>
      <c r="EA71">
        <f t="shared" ca="1" si="43"/>
        <v>9995</v>
      </c>
      <c r="EB71">
        <f t="shared" ca="1" si="43"/>
        <v>6022</v>
      </c>
      <c r="EC71">
        <f t="shared" ca="1" si="43"/>
        <v>0</v>
      </c>
      <c r="ED71">
        <f t="shared" ca="1" si="43"/>
        <v>0</v>
      </c>
      <c r="EE71">
        <f t="shared" ca="1" si="43"/>
        <v>2</v>
      </c>
      <c r="EK71" cm="1">
        <f t="array" aca="1" ref="EK71" ca="1">IF(ISNA(E71),0,OFFSET(INDIRECT("'"&amp;EK$67&amp;"'!g1"),E71-1,)*CL71)</f>
        <v>1</v>
      </c>
      <c r="EL71" cm="1">
        <f t="array" aca="1" ref="EL71" ca="1">IF(ISNA(F71),0,OFFSET(INDIRECT("'"&amp;EL$67&amp;"'!g1"),F71-1,)*CM71)</f>
        <v>1</v>
      </c>
      <c r="EM71" cm="1">
        <f t="array" aca="1" ref="EM71" ca="1">IF(ISNA(G71),0,OFFSET(INDIRECT("'"&amp;EM$67&amp;"'!g1"),G71-1,)*CN71)</f>
        <v>1</v>
      </c>
      <c r="EN71" cm="1">
        <f t="array" aca="1" ref="EN71" ca="1">IF(ISNA(H71),0,OFFSET(INDIRECT("'"&amp;EN$67&amp;"'!g1"),H71-1,)*CO71)</f>
        <v>1</v>
      </c>
      <c r="EO71" cm="1">
        <f t="array" aca="1" ref="EO71" ca="1">IF(ISNA(I71),0,OFFSET(INDIRECT("'"&amp;EO$67&amp;"'!g1"),I71-1,)*CP71)</f>
        <v>1</v>
      </c>
      <c r="EP71" cm="1">
        <f t="array" aca="1" ref="EP71" ca="1">IF(ISNA(J71),0,OFFSET(INDIRECT("'"&amp;EP$67&amp;"'!g1"),J71-1,)*CQ71)</f>
        <v>1</v>
      </c>
      <c r="EQ71" cm="1">
        <f t="array" aca="1" ref="EQ71" ca="1">IF(ISNA(K71),0,OFFSET(INDIRECT("'"&amp;EQ$67&amp;"'!g1"),K71-1,)*CR71)</f>
        <v>9673</v>
      </c>
      <c r="ER71" cm="1">
        <f t="array" aca="1" ref="ER71" ca="1">IF(ISNA(L71),0,OFFSET(INDIRECT("'"&amp;ER$67&amp;"'!g1"),L71-1,)*CS71)</f>
        <v>9995</v>
      </c>
      <c r="ES71" cm="1">
        <f t="array" aca="1" ref="ES71" ca="1">IF(ISNA(M71),0,OFFSET(INDIRECT("'"&amp;ES$67&amp;"'!g1"),M71-1,)*CT71)</f>
        <v>6022</v>
      </c>
      <c r="ET71" cm="1">
        <f t="array" aca="1" ref="ET71" ca="1">IF(ISNA(N71),0,OFFSET(INDIRECT("'"&amp;ET$67&amp;"'!g1"),N71-1,)*CU71)</f>
        <v>0</v>
      </c>
      <c r="EU71" cm="1">
        <f t="array" aca="1" ref="EU71" ca="1">IF(ISNA(O71),0,OFFSET(INDIRECT("'"&amp;EU$67&amp;"'!g1"),O71-1,)*CV71)</f>
        <v>0</v>
      </c>
      <c r="EV71" cm="1">
        <f t="array" aca="1" ref="EV71" ca="1">IF(ISNA(P71),0,OFFSET(INDIRECT("'"&amp;EV$67&amp;"'!g1"),P71-1,)*CW71)</f>
        <v>2</v>
      </c>
      <c r="FB71" s="10" cm="1">
        <f t="array" aca="1" ref="FB71" ca="1">IF(ISNA(E71),0,OFFSET(INDIRECT("'"&amp;EK$67&amp;"'!h1"),E71-1,))</f>
        <v>1</v>
      </c>
      <c r="FC71" s="10" cm="1">
        <f t="array" aca="1" ref="FC71" ca="1">IF(ISNA(F71),0,OFFSET(INDIRECT("'"&amp;EL$67&amp;"'!h1"),F71-1,))</f>
        <v>1</v>
      </c>
      <c r="FD71" s="10" cm="1">
        <f t="array" aca="1" ref="FD71" ca="1">IF(ISNA(G71),0,OFFSET(INDIRECT("'"&amp;EM$67&amp;"'!h1"),G71-1,))</f>
        <v>1</v>
      </c>
      <c r="FE71" s="10" cm="1">
        <f t="array" aca="1" ref="FE71" ca="1">IF(ISNA(H71),0,OFFSET(INDIRECT("'"&amp;EN$67&amp;"'!h1"),H71-1,))</f>
        <v>1</v>
      </c>
      <c r="FF71" s="10" cm="1">
        <f t="array" aca="1" ref="FF71" ca="1">IF(ISNA(I71),0,OFFSET(INDIRECT("'"&amp;EO$67&amp;"'!h1"),I71-1,))</f>
        <v>1</v>
      </c>
      <c r="FG71" s="10" cm="1">
        <f t="array" aca="1" ref="FG71" ca="1">IF(ISNA(J71),0,OFFSET(INDIRECT("'"&amp;EP$67&amp;"'!h1"),J71-1,))</f>
        <v>1</v>
      </c>
      <c r="FH71" s="10" cm="1">
        <f t="array" aca="1" ref="FH71" ca="1">IF(ISNA(K71),0,OFFSET(INDIRECT("'"&amp;EQ$67&amp;"'!h1"),K71-1,))</f>
        <v>10000</v>
      </c>
      <c r="FI71" s="10" cm="1">
        <f t="array" aca="1" ref="FI71" ca="1">IF(ISNA(L71),0,OFFSET(INDIRECT("'"&amp;ER$67&amp;"'!h1"),L71-1,))</f>
        <v>10000</v>
      </c>
      <c r="FJ71" s="10" cm="1">
        <f t="array" aca="1" ref="FJ71" ca="1">IF(ISNA(M71),0,OFFSET(INDIRECT("'"&amp;ES$67&amp;"'!h1"),M71-1,))</f>
        <v>10000</v>
      </c>
      <c r="FK71" s="10" cm="1">
        <f t="array" aca="1" ref="FK71" ca="1">IF(ISNA(N71),0,OFFSET(INDIRECT("'"&amp;ET$67&amp;"'!h1"),N71-1,))</f>
        <v>1</v>
      </c>
      <c r="FL71" s="10" cm="1">
        <f t="array" aca="1" ref="FL71" ca="1">IF(ISNA(O71),0,OFFSET(INDIRECT("'"&amp;EU$67&amp;"'!h1"),O71-1,))</f>
        <v>1</v>
      </c>
      <c r="FM71" s="10" cm="1">
        <f t="array" aca="1" ref="FM71" ca="1">IF(ISNA(P71),0,OFFSET(INDIRECT("'"&amp;EV$67&amp;"'!h1"),P71-1,))</f>
        <v>9</v>
      </c>
      <c r="FN71" s="10"/>
      <c r="FO71" s="10"/>
      <c r="FP71" s="10"/>
      <c r="FQ71" s="10"/>
      <c r="FS71">
        <f t="shared" ca="1" si="55"/>
        <v>50</v>
      </c>
      <c r="FT71">
        <f t="shared" ca="1" si="56"/>
        <v>1.6832473631948199</v>
      </c>
      <c r="FU71">
        <f t="shared" ca="1" si="57"/>
        <v>9673</v>
      </c>
      <c r="FV71">
        <f t="shared" ca="1" si="58"/>
        <v>10000</v>
      </c>
      <c r="FW71" s="4">
        <f t="shared" ca="1" si="59"/>
        <v>0.96730000000000005</v>
      </c>
      <c r="FX71" s="5">
        <f t="shared" ca="1" si="60"/>
        <v>1.7401502772612632E-4</v>
      </c>
      <c r="FZ71" s="13">
        <f t="shared" ca="1" si="44"/>
        <v>50</v>
      </c>
      <c r="GA71" s="23">
        <f t="shared" ca="1" si="61"/>
        <v>0</v>
      </c>
      <c r="GB71" s="23">
        <f t="shared" ca="1" si="45"/>
        <v>0</v>
      </c>
      <c r="GC71" s="23">
        <f t="shared" ca="1" si="45"/>
        <v>0</v>
      </c>
      <c r="GD71" s="23">
        <f t="shared" ca="1" si="45"/>
        <v>0</v>
      </c>
      <c r="GE71" s="23">
        <f t="shared" ca="1" si="45"/>
        <v>0</v>
      </c>
      <c r="GF71" s="23">
        <f t="shared" ca="1" si="45"/>
        <v>0</v>
      </c>
      <c r="GG71" s="23">
        <f t="shared" ca="1" si="45"/>
        <v>0</v>
      </c>
      <c r="GH71" s="23">
        <f t="shared" ca="1" si="45"/>
        <v>0</v>
      </c>
      <c r="GI71" s="23">
        <f t="shared" ca="1" si="45"/>
        <v>0</v>
      </c>
      <c r="GJ71" s="23" t="e">
        <f t="shared" ca="1" si="45"/>
        <v>#N/A</v>
      </c>
      <c r="GK71" s="23" t="e">
        <f t="shared" ca="1" si="45"/>
        <v>#N/A</v>
      </c>
      <c r="GL71" s="23">
        <f t="shared" ca="1" si="45"/>
        <v>0</v>
      </c>
      <c r="GM71" s="23"/>
      <c r="GN71">
        <f t="shared" ca="1" si="62"/>
        <v>50</v>
      </c>
      <c r="GO71" s="5">
        <f t="shared" ca="1" si="63"/>
        <v>0.536240994930267</v>
      </c>
      <c r="GP71" s="5">
        <f t="shared" ca="1" si="46"/>
        <v>1.7402468230575301</v>
      </c>
      <c r="GQ71" s="5">
        <f t="shared" ca="1" si="46"/>
        <v>1.5112244719639401</v>
      </c>
      <c r="GR71" s="5">
        <f t="shared" ca="1" si="46"/>
        <v>0.87494594700001405</v>
      </c>
      <c r="GS71" s="5">
        <f t="shared" ca="1" si="46"/>
        <v>5.9457833005581003E-2</v>
      </c>
      <c r="GT71" s="5">
        <f t="shared" ca="1" si="64"/>
        <v>8.7563758715987206E-2</v>
      </c>
      <c r="GU71" s="5">
        <f t="shared" ca="1" si="47"/>
        <v>1.7401502772612632E-4</v>
      </c>
      <c r="GV71" s="5">
        <f t="shared" ca="1" si="47"/>
        <v>2.5858873889975787E-4</v>
      </c>
      <c r="GW71" s="5">
        <f t="shared" ca="1" si="47"/>
        <v>6.5302449408906173E-3</v>
      </c>
      <c r="GX71" s="5" t="e">
        <f t="shared" ca="1" si="47"/>
        <v>#N/A</v>
      </c>
      <c r="GY71" s="5" t="e">
        <f t="shared" ca="1" si="47"/>
        <v>#N/A</v>
      </c>
      <c r="GZ71" s="5">
        <f t="shared" ca="1" si="47"/>
        <v>4.5777728315442801E-2</v>
      </c>
      <c r="HB71" s="13">
        <f t="shared" ca="1" si="48"/>
        <v>50</v>
      </c>
      <c r="HC71" s="4">
        <f t="shared" ca="1" si="65"/>
        <v>1</v>
      </c>
      <c r="HD71" s="4">
        <f t="shared" ca="1" si="49"/>
        <v>1</v>
      </c>
      <c r="HE71" s="4">
        <f t="shared" ca="1" si="49"/>
        <v>1</v>
      </c>
      <c r="HF71" s="4">
        <f t="shared" ca="1" si="49"/>
        <v>1</v>
      </c>
      <c r="HG71" s="4">
        <f t="shared" ca="1" si="49"/>
        <v>1</v>
      </c>
      <c r="HH71" s="4">
        <f t="shared" ca="1" si="49"/>
        <v>1</v>
      </c>
      <c r="HI71" s="4">
        <f t="shared" ca="1" si="49"/>
        <v>0.96730000000000005</v>
      </c>
      <c r="HJ71" s="4">
        <f t="shared" ca="1" si="49"/>
        <v>0.99950000000000006</v>
      </c>
      <c r="HK71" s="4">
        <f t="shared" ca="1" si="49"/>
        <v>0.60219999999999996</v>
      </c>
      <c r="HL71" s="4">
        <f t="shared" ca="1" si="49"/>
        <v>0</v>
      </c>
      <c r="HM71" s="4">
        <f t="shared" ca="1" si="49"/>
        <v>0</v>
      </c>
      <c r="HN71" s="4">
        <f t="shared" ca="1" si="49"/>
        <v>0.22222222222222221</v>
      </c>
    </row>
    <row r="72" spans="1:222" x14ac:dyDescent="0.2">
      <c r="A72" t="str" cm="1">
        <f t="array" aca="1" ref="A72" ca="1">INDIRECT($A$67&amp;"!A"&amp;ROW(C5)+$B$64)</f>
        <v>[[65,28,10]]</v>
      </c>
      <c r="B72" cm="1">
        <f t="array" aca="1" ref="B72" ca="1">INDIRECT($A$67&amp;"!b"&amp;ROW(D5)+$B$64)</f>
        <v>65</v>
      </c>
      <c r="C72">
        <f t="shared" ca="1" si="50"/>
        <v>10</v>
      </c>
      <c r="E72">
        <f t="shared" ca="1" si="37"/>
        <v>29</v>
      </c>
      <c r="F72">
        <f t="shared" ca="1" si="37"/>
        <v>30</v>
      </c>
      <c r="G72">
        <f t="shared" ca="1" si="37"/>
        <v>29</v>
      </c>
      <c r="H72">
        <f t="shared" ca="1" si="37"/>
        <v>29</v>
      </c>
      <c r="I72">
        <f t="shared" ca="1" si="37"/>
        <v>32</v>
      </c>
      <c r="J72">
        <f t="shared" ca="1" si="37"/>
        <v>29</v>
      </c>
      <c r="K72">
        <f t="shared" ca="1" si="37"/>
        <v>36</v>
      </c>
      <c r="L72">
        <f t="shared" ca="1" si="37"/>
        <v>38</v>
      </c>
      <c r="M72">
        <f t="shared" ca="1" si="37"/>
        <v>35</v>
      </c>
      <c r="N72">
        <f t="shared" ca="1" si="37"/>
        <v>33</v>
      </c>
      <c r="O72">
        <f t="shared" ca="1" si="37"/>
        <v>33</v>
      </c>
      <c r="P72">
        <f t="shared" ca="1" si="37"/>
        <v>33</v>
      </c>
      <c r="V72" cm="1">
        <f t="array" aca="1" ref="V72" ca="1">IF(ISNA(E72),,OFFSET(INDIRECT("'"&amp;V$67&amp;"'!d1"),E72-1,))</f>
        <v>10</v>
      </c>
      <c r="W72" cm="1">
        <f t="array" aca="1" ref="W72" ca="1">IF(ISNA(F72),,OFFSET(INDIRECT("'"&amp;W$67&amp;"'!d1"),F72-1,))</f>
        <v>10</v>
      </c>
      <c r="X72" cm="1">
        <f t="array" aca="1" ref="X72" ca="1">IF(ISNA(G72),,OFFSET(INDIRECT("'"&amp;X$67&amp;"'!d1"),G72-1,))</f>
        <v>10</v>
      </c>
      <c r="Y72" cm="1">
        <f t="array" aca="1" ref="Y72" ca="1">IF(ISNA(H72),,OFFSET(INDIRECT("'"&amp;Y$67&amp;"'!d1"),H72-1,))</f>
        <v>10</v>
      </c>
      <c r="Z72" cm="1">
        <f t="array" aca="1" ref="Z72" ca="1">IF(ISNA(I72),,OFFSET(INDIRECT("'"&amp;Z$67&amp;"'!d1"),I72-1,))</f>
        <v>10</v>
      </c>
      <c r="AA72" cm="1">
        <f t="array" aca="1" ref="AA72" ca="1">IF(ISNA(J72),,OFFSET(INDIRECT("'"&amp;AA$67&amp;"'!d1"),J72-1,))</f>
        <v>10</v>
      </c>
      <c r="AB72" cm="1">
        <f t="array" aca="1" ref="AB72" ca="1">IF(ISNA(K72),,OFFSET(INDIRECT("'"&amp;AB$67&amp;"'!d1"),K72-1,))</f>
        <v>10</v>
      </c>
      <c r="AC72" cm="1">
        <f t="array" aca="1" ref="AC72" ca="1">IF(ISNA(L72),,OFFSET(INDIRECT("'"&amp;AC$67&amp;"'!d1"),L72-1,))</f>
        <v>10</v>
      </c>
      <c r="AD72" cm="1">
        <f t="array" aca="1" ref="AD72" ca="1">IF(ISNA(M72),,OFFSET(INDIRECT("'"&amp;AD$67&amp;"'!d1"),M72-1,))</f>
        <v>10</v>
      </c>
      <c r="AE72" cm="1">
        <f t="array" aca="1" ref="AE72" ca="1">IF(ISNA(N72),,OFFSET(INDIRECT("'"&amp;AE$67&amp;"'!d1"),N72-1,))</f>
        <v>0</v>
      </c>
      <c r="AF72" cm="1">
        <f t="array" aca="1" ref="AF72" ca="1">IF(ISNA(O72),,OFFSET(INDIRECT("'"&amp;AF$67&amp;"'!d1"),O72-1,))</f>
        <v>0</v>
      </c>
      <c r="AG72" cm="1">
        <f t="array" aca="1" ref="AG72" ca="1">IF(ISNA(P72),,OFFSET(INDIRECT("'"&amp;AG$67&amp;"'!d1"),P72-1,))</f>
        <v>0</v>
      </c>
      <c r="AM72">
        <f t="shared" ca="1" si="51"/>
        <v>1</v>
      </c>
      <c r="AN72">
        <f t="shared" ca="1" si="38"/>
        <v>1</v>
      </c>
      <c r="AO72">
        <f t="shared" ca="1" si="38"/>
        <v>1</v>
      </c>
      <c r="AP72">
        <f t="shared" ca="1" si="38"/>
        <v>1</v>
      </c>
      <c r="AQ72">
        <f t="shared" ca="1" si="52"/>
        <v>1</v>
      </c>
      <c r="AV72" t="b">
        <f t="shared" ca="1" si="53"/>
        <v>1</v>
      </c>
      <c r="AW72" t="b">
        <f t="shared" ca="1" si="39"/>
        <v>1</v>
      </c>
      <c r="AX72" t="b">
        <f t="shared" ca="1" si="39"/>
        <v>1</v>
      </c>
      <c r="AY72" t="b">
        <f t="shared" ca="1" si="39"/>
        <v>1</v>
      </c>
      <c r="AZ72" t="b">
        <f t="shared" ca="1" si="39"/>
        <v>1</v>
      </c>
      <c r="BD72">
        <f t="shared" ca="1" si="40"/>
        <v>1</v>
      </c>
      <c r="BE72">
        <f t="shared" ca="1" si="40"/>
        <v>1</v>
      </c>
      <c r="BF72">
        <f t="shared" ca="1" si="40"/>
        <v>1</v>
      </c>
      <c r="BG72">
        <f t="shared" ca="1" si="40"/>
        <v>1</v>
      </c>
      <c r="BH72">
        <f t="shared" ca="1" si="40"/>
        <v>1</v>
      </c>
      <c r="BI72">
        <f t="shared" ca="1" si="40"/>
        <v>1</v>
      </c>
      <c r="BJ72">
        <f t="shared" ca="1" si="40"/>
        <v>1</v>
      </c>
      <c r="BK72">
        <f t="shared" ca="1" si="40"/>
        <v>1</v>
      </c>
      <c r="BL72">
        <f t="shared" ca="1" si="40"/>
        <v>1</v>
      </c>
      <c r="BM72">
        <f t="shared" ca="1" si="40"/>
        <v>0</v>
      </c>
      <c r="BN72">
        <f t="shared" ca="1" si="40"/>
        <v>0</v>
      </c>
      <c r="BO72">
        <f t="shared" ca="1" si="40"/>
        <v>0</v>
      </c>
      <c r="BU72">
        <f t="shared" ca="1" si="41"/>
        <v>10</v>
      </c>
      <c r="BV72">
        <f t="shared" ca="1" si="41"/>
        <v>10</v>
      </c>
      <c r="BW72">
        <f t="shared" ca="1" si="41"/>
        <v>10</v>
      </c>
      <c r="BX72">
        <f t="shared" ca="1" si="41"/>
        <v>10</v>
      </c>
      <c r="BY72">
        <f t="shared" ca="1" si="41"/>
        <v>10</v>
      </c>
      <c r="BZ72">
        <f t="shared" ca="1" si="41"/>
        <v>10</v>
      </c>
      <c r="CA72">
        <f t="shared" ca="1" si="41"/>
        <v>10</v>
      </c>
      <c r="CB72">
        <f t="shared" ca="1" si="41"/>
        <v>10</v>
      </c>
      <c r="CC72">
        <f t="shared" ca="1" si="41"/>
        <v>10</v>
      </c>
      <c r="CD72">
        <f t="shared" ca="1" si="41"/>
        <v>65</v>
      </c>
      <c r="CE72">
        <f t="shared" ca="1" si="41"/>
        <v>65</v>
      </c>
      <c r="CF72">
        <f t="shared" ca="1" si="41"/>
        <v>65</v>
      </c>
      <c r="CL72">
        <f t="shared" ca="1" si="42"/>
        <v>1</v>
      </c>
      <c r="CM72">
        <f t="shared" ca="1" si="42"/>
        <v>1</v>
      </c>
      <c r="CN72">
        <f t="shared" ca="1" si="42"/>
        <v>1</v>
      </c>
      <c r="CO72">
        <f t="shared" ca="1" si="42"/>
        <v>1</v>
      </c>
      <c r="CP72">
        <f t="shared" ca="1" si="42"/>
        <v>1</v>
      </c>
      <c r="CQ72">
        <f t="shared" ca="1" si="42"/>
        <v>1</v>
      </c>
      <c r="CR72">
        <f t="shared" ca="1" si="42"/>
        <v>1</v>
      </c>
      <c r="CS72">
        <f t="shared" ca="1" si="42"/>
        <v>1</v>
      </c>
      <c r="CT72">
        <f t="shared" ca="1" si="42"/>
        <v>1</v>
      </c>
      <c r="CU72">
        <f t="shared" ca="1" si="42"/>
        <v>0</v>
      </c>
      <c r="CV72">
        <f t="shared" ca="1" si="42"/>
        <v>0</v>
      </c>
      <c r="CW72">
        <f t="shared" ca="1" si="42"/>
        <v>0</v>
      </c>
      <c r="DC72" cm="1">
        <f t="array" aca="1" ref="DC72" ca="1">IF(ISNA(E72),,OFFSET(INDIRECT("'"&amp;DT$67&amp;"'!f1"),E72-1,))*1</f>
        <v>18.2203948786482</v>
      </c>
      <c r="DD72" cm="1">
        <f t="array" aca="1" ref="DD72" ca="1">IF(ISNA(F72),,OFFSET(INDIRECT("'"&amp;DU$67&amp;"'!f1"),F72-1,))*1</f>
        <v>24.346778511069701</v>
      </c>
      <c r="DE72" cm="1">
        <f t="array" aca="1" ref="DE72" ca="1">IF(ISNA(G72),,OFFSET(INDIRECT("'"&amp;DV$67&amp;"'!f1"),G72-1,))*1</f>
        <v>41.260579207912002</v>
      </c>
      <c r="DF72" cm="1">
        <f t="array" aca="1" ref="DF72" ca="1">IF(ISNA(H72),,OFFSET(INDIRECT("'"&amp;DW$67&amp;"'!f1"),H72-1,))*1</f>
        <v>491.87667527100001</v>
      </c>
      <c r="DG72" cm="1">
        <f t="array" aca="1" ref="DG72" ca="1">IF(ISNA(I72),,OFFSET(INDIRECT("'"&amp;DX$67&amp;"'!f1"),I72-1,))*1</f>
        <v>5.9525459000724298E-2</v>
      </c>
      <c r="DH72" cm="1">
        <f t="array" aca="1" ref="DH72" ca="1">IF(ISNA(J72),,OFFSET(INDIRECT("'"&amp;DY$67&amp;"'!f1"),J72-1,))*1</f>
        <v>0.16385021014139001</v>
      </c>
      <c r="DI72" cm="1">
        <f t="array" aca="1" ref="DI72" ca="1">IF(ISNA(K72),,OFFSET(INDIRECT("'"&amp;DZ$67&amp;"'!f1"),K72-1,))*1</f>
        <v>2.0396093102171999</v>
      </c>
      <c r="DJ72" cm="1">
        <f t="array" aca="1" ref="DJ72" ca="1">IF(ISNA(L72),,OFFSET(INDIRECT("'"&amp;EA$67&amp;"'!f1"),L72-1,))*1</f>
        <v>2.8917791219428102</v>
      </c>
      <c r="DK72" cm="1">
        <f t="array" aca="1" ref="DK72" ca="1">IF(ISNA(M72),,OFFSET(INDIRECT("'"&amp;EB$67&amp;"'!f1"),M72-1,))*1</f>
        <v>28.440964700654099</v>
      </c>
      <c r="DL72" cm="1">
        <f t="array" aca="1" ref="DL72" ca="1">IF(ISNA(N72),,OFFSET(INDIRECT("'"&amp;EC$67&amp;"'!f1"),N72-1,))*1</f>
        <v>9.9553223699331197E-3</v>
      </c>
      <c r="DM72" cm="1">
        <f t="array" aca="1" ref="DM72" ca="1">IF(ISNA(O72),,OFFSET(INDIRECT("'"&amp;ED$67&amp;"'!f1"),O72-1,))*1</f>
        <v>1.0011253878474201E-2</v>
      </c>
      <c r="DN72" cm="1">
        <f t="array" aca="1" ref="DN72" ca="1">IF(ISNA(P72),,OFFSET(INDIRECT("'"&amp;EE$67&amp;"'!f1"),P72-1,))*1</f>
        <v>1.5821556560695098E-2</v>
      </c>
      <c r="DT72">
        <f t="shared" ca="1" si="54"/>
        <v>1</v>
      </c>
      <c r="DU72">
        <f t="shared" ca="1" si="43"/>
        <v>1</v>
      </c>
      <c r="DV72">
        <f t="shared" ca="1" si="43"/>
        <v>1</v>
      </c>
      <c r="DW72">
        <f t="shared" ca="1" si="43"/>
        <v>1</v>
      </c>
      <c r="DX72">
        <f t="shared" ca="1" si="43"/>
        <v>1</v>
      </c>
      <c r="DY72">
        <f t="shared" ca="1" si="43"/>
        <v>1</v>
      </c>
      <c r="DZ72">
        <f t="shared" ca="1" si="43"/>
        <v>6478</v>
      </c>
      <c r="EA72">
        <f t="shared" ca="1" si="43"/>
        <v>9902</v>
      </c>
      <c r="EB72">
        <f t="shared" ca="1" si="43"/>
        <v>4672</v>
      </c>
      <c r="EC72">
        <f t="shared" ca="1" si="43"/>
        <v>0</v>
      </c>
      <c r="ED72">
        <f t="shared" ca="1" si="43"/>
        <v>0</v>
      </c>
      <c r="EE72">
        <f t="shared" ca="1" si="43"/>
        <v>0</v>
      </c>
      <c r="EK72" cm="1">
        <f t="array" aca="1" ref="EK72" ca="1">IF(ISNA(E72),0,OFFSET(INDIRECT("'"&amp;EK$67&amp;"'!g1"),E72-1,)*CL72)</f>
        <v>1</v>
      </c>
      <c r="EL72" cm="1">
        <f t="array" aca="1" ref="EL72" ca="1">IF(ISNA(F72),0,OFFSET(INDIRECT("'"&amp;EL$67&amp;"'!g1"),F72-1,)*CM72)</f>
        <v>1</v>
      </c>
      <c r="EM72" cm="1">
        <f t="array" aca="1" ref="EM72" ca="1">IF(ISNA(G72),0,OFFSET(INDIRECT("'"&amp;EM$67&amp;"'!g1"),G72-1,)*CN72)</f>
        <v>1</v>
      </c>
      <c r="EN72" cm="1">
        <f t="array" aca="1" ref="EN72" ca="1">IF(ISNA(H72),0,OFFSET(INDIRECT("'"&amp;EN$67&amp;"'!g1"),H72-1,)*CO72)</f>
        <v>1</v>
      </c>
      <c r="EO72" cm="1">
        <f t="array" aca="1" ref="EO72" ca="1">IF(ISNA(I72),0,OFFSET(INDIRECT("'"&amp;EO$67&amp;"'!g1"),I72-1,)*CP72)</f>
        <v>1</v>
      </c>
      <c r="EP72" cm="1">
        <f t="array" aca="1" ref="EP72" ca="1">IF(ISNA(J72),0,OFFSET(INDIRECT("'"&amp;EP$67&amp;"'!g1"),J72-1,)*CQ72)</f>
        <v>1</v>
      </c>
      <c r="EQ72" cm="1">
        <f t="array" aca="1" ref="EQ72" ca="1">IF(ISNA(K72),0,OFFSET(INDIRECT("'"&amp;EQ$67&amp;"'!g1"),K72-1,)*CR72)</f>
        <v>6478</v>
      </c>
      <c r="ER72" cm="1">
        <f t="array" aca="1" ref="ER72" ca="1">IF(ISNA(L72),0,OFFSET(INDIRECT("'"&amp;ER$67&amp;"'!g1"),L72-1,)*CS72)</f>
        <v>9902</v>
      </c>
      <c r="ES72" cm="1">
        <f t="array" aca="1" ref="ES72" ca="1">IF(ISNA(M72),0,OFFSET(INDIRECT("'"&amp;ES$67&amp;"'!g1"),M72-1,)*CT72)</f>
        <v>4672</v>
      </c>
      <c r="ET72" cm="1">
        <f t="array" aca="1" ref="ET72" ca="1">IF(ISNA(N72),0,OFFSET(INDIRECT("'"&amp;ET$67&amp;"'!g1"),N72-1,)*CU72)</f>
        <v>0</v>
      </c>
      <c r="EU72" cm="1">
        <f t="array" aca="1" ref="EU72" ca="1">IF(ISNA(O72),0,OFFSET(INDIRECT("'"&amp;EU$67&amp;"'!g1"),O72-1,)*CV72)</f>
        <v>0</v>
      </c>
      <c r="EV72" cm="1">
        <f t="array" aca="1" ref="EV72" ca="1">IF(ISNA(P72),0,OFFSET(INDIRECT("'"&amp;EV$67&amp;"'!g1"),P72-1,)*CW72)</f>
        <v>0</v>
      </c>
      <c r="FB72" s="10" cm="1">
        <f t="array" aca="1" ref="FB72" ca="1">IF(ISNA(E72),0,OFFSET(INDIRECT("'"&amp;EK$67&amp;"'!h1"),E72-1,))</f>
        <v>1</v>
      </c>
      <c r="FC72" s="10" cm="1">
        <f t="array" aca="1" ref="FC72" ca="1">IF(ISNA(F72),0,OFFSET(INDIRECT("'"&amp;EL$67&amp;"'!h1"),F72-1,))</f>
        <v>1</v>
      </c>
      <c r="FD72" s="10" cm="1">
        <f t="array" aca="1" ref="FD72" ca="1">IF(ISNA(G72),0,OFFSET(INDIRECT("'"&amp;EM$67&amp;"'!h1"),G72-1,))</f>
        <v>1</v>
      </c>
      <c r="FE72" s="10" cm="1">
        <f t="array" aca="1" ref="FE72" ca="1">IF(ISNA(H72),0,OFFSET(INDIRECT("'"&amp;EN$67&amp;"'!h1"),H72-1,))</f>
        <v>1</v>
      </c>
      <c r="FF72" s="10" cm="1">
        <f t="array" aca="1" ref="FF72" ca="1">IF(ISNA(I72),0,OFFSET(INDIRECT("'"&amp;EO$67&amp;"'!h1"),I72-1,))</f>
        <v>1</v>
      </c>
      <c r="FG72" s="10" cm="1">
        <f t="array" aca="1" ref="FG72" ca="1">IF(ISNA(J72),0,OFFSET(INDIRECT("'"&amp;EP$67&amp;"'!h1"),J72-1,))</f>
        <v>1</v>
      </c>
      <c r="FH72" s="10" cm="1">
        <f t="array" aca="1" ref="FH72" ca="1">IF(ISNA(K72),0,OFFSET(INDIRECT("'"&amp;EQ$67&amp;"'!h1"),K72-1,))</f>
        <v>10000</v>
      </c>
      <c r="FI72" s="10" cm="1">
        <f t="array" aca="1" ref="FI72" ca="1">IF(ISNA(L72),0,OFFSET(INDIRECT("'"&amp;ER$67&amp;"'!h1"),L72-1,))</f>
        <v>10000</v>
      </c>
      <c r="FJ72" s="10" cm="1">
        <f t="array" aca="1" ref="FJ72" ca="1">IF(ISNA(M72),0,OFFSET(INDIRECT("'"&amp;ES$67&amp;"'!h1"),M72-1,))</f>
        <v>10000</v>
      </c>
      <c r="FK72" s="10" cm="1">
        <f t="array" aca="1" ref="FK72" ca="1">IF(ISNA(N72),0,OFFSET(INDIRECT("'"&amp;ET$67&amp;"'!h1"),N72-1,))</f>
        <v>1</v>
      </c>
      <c r="FL72" s="10" cm="1">
        <f t="array" aca="1" ref="FL72" ca="1">IF(ISNA(O72),0,OFFSET(INDIRECT("'"&amp;EU$67&amp;"'!h1"),O72-1,))</f>
        <v>1</v>
      </c>
      <c r="FM72" s="10" cm="1">
        <f t="array" aca="1" ref="FM72" ca="1">IF(ISNA(P72),0,OFFSET(INDIRECT("'"&amp;EV$67&amp;"'!h1"),P72-1,))</f>
        <v>9</v>
      </c>
      <c r="FN72" s="10"/>
      <c r="FO72" s="10"/>
      <c r="FP72" s="10"/>
      <c r="FQ72" s="10"/>
      <c r="FS72">
        <f t="shared" ca="1" si="55"/>
        <v>65</v>
      </c>
      <c r="FT72">
        <f t="shared" ca="1" si="56"/>
        <v>2.0396093102171999</v>
      </c>
      <c r="FU72">
        <f t="shared" ca="1" si="57"/>
        <v>6478</v>
      </c>
      <c r="FV72">
        <f t="shared" ca="1" si="58"/>
        <v>10000</v>
      </c>
      <c r="FW72" s="4">
        <f t="shared" ca="1" si="59"/>
        <v>0.64780000000000004</v>
      </c>
      <c r="FX72" s="5">
        <f t="shared" ca="1" si="60"/>
        <v>3.1485169963217039E-4</v>
      </c>
      <c r="FZ72" s="13">
        <f t="shared" ca="1" si="44"/>
        <v>65</v>
      </c>
      <c r="GA72" s="23">
        <f t="shared" ca="1" si="61"/>
        <v>0</v>
      </c>
      <c r="GB72" s="23">
        <f t="shared" ca="1" si="45"/>
        <v>0</v>
      </c>
      <c r="GC72" s="23">
        <f t="shared" ca="1" si="45"/>
        <v>0</v>
      </c>
      <c r="GD72" s="23">
        <f t="shared" ca="1" si="45"/>
        <v>0</v>
      </c>
      <c r="GE72" s="23">
        <f t="shared" ca="1" si="45"/>
        <v>0</v>
      </c>
      <c r="GF72" s="23">
        <f t="shared" ca="1" si="45"/>
        <v>0</v>
      </c>
      <c r="GG72" s="23">
        <f t="shared" ca="1" si="45"/>
        <v>0</v>
      </c>
      <c r="GH72" s="23">
        <f t="shared" ca="1" si="45"/>
        <v>0</v>
      </c>
      <c r="GI72" s="23">
        <f t="shared" ca="1" si="45"/>
        <v>0</v>
      </c>
      <c r="GJ72" s="23" t="e">
        <f t="shared" ca="1" si="45"/>
        <v>#N/A</v>
      </c>
      <c r="GK72" s="23" t="e">
        <f t="shared" ca="1" si="45"/>
        <v>#N/A</v>
      </c>
      <c r="GL72" s="23" t="e">
        <f t="shared" ca="1" si="45"/>
        <v>#N/A</v>
      </c>
      <c r="GM72" s="23"/>
      <c r="GN72">
        <f t="shared" ca="1" si="62"/>
        <v>65</v>
      </c>
      <c r="GO72" s="5">
        <f t="shared" ca="1" si="63"/>
        <v>18.2203948786482</v>
      </c>
      <c r="GP72" s="5">
        <f t="shared" ca="1" si="46"/>
        <v>24.346778511069701</v>
      </c>
      <c r="GQ72" s="5">
        <f t="shared" ca="1" si="46"/>
        <v>41.260579207912002</v>
      </c>
      <c r="GR72" s="5">
        <f t="shared" ca="1" si="46"/>
        <v>491.87667527100001</v>
      </c>
      <c r="GS72" s="5">
        <f t="shared" ca="1" si="46"/>
        <v>5.9525459000724298E-2</v>
      </c>
      <c r="GT72" s="5">
        <f t="shared" ca="1" si="64"/>
        <v>0.16385021014139001</v>
      </c>
      <c r="GU72" s="5">
        <f t="shared" ca="1" si="47"/>
        <v>3.1485169963217039E-4</v>
      </c>
      <c r="GV72" s="5">
        <f t="shared" ca="1" si="47"/>
        <v>2.9203990324609273E-4</v>
      </c>
      <c r="GW72" s="5">
        <f t="shared" ca="1" si="47"/>
        <v>6.0875352527084972E-3</v>
      </c>
      <c r="GX72" s="5" t="e">
        <f t="shared" ca="1" si="47"/>
        <v>#N/A</v>
      </c>
      <c r="GY72" s="5" t="e">
        <f t="shared" ca="1" si="47"/>
        <v>#N/A</v>
      </c>
      <c r="GZ72" s="5" t="e">
        <f t="shared" ca="1" si="47"/>
        <v>#N/A</v>
      </c>
      <c r="HB72" s="13">
        <f t="shared" ca="1" si="48"/>
        <v>65</v>
      </c>
      <c r="HC72" s="4">
        <f t="shared" ca="1" si="65"/>
        <v>1</v>
      </c>
      <c r="HD72" s="4">
        <f t="shared" ca="1" si="49"/>
        <v>1</v>
      </c>
      <c r="HE72" s="4">
        <f t="shared" ca="1" si="49"/>
        <v>1</v>
      </c>
      <c r="HF72" s="4">
        <f t="shared" ca="1" si="49"/>
        <v>1</v>
      </c>
      <c r="HG72" s="4">
        <f t="shared" ca="1" si="49"/>
        <v>1</v>
      </c>
      <c r="HH72" s="4">
        <f t="shared" ca="1" si="49"/>
        <v>1</v>
      </c>
      <c r="HI72" s="4">
        <f t="shared" ca="1" si="49"/>
        <v>0.64780000000000004</v>
      </c>
      <c r="HJ72" s="4">
        <f t="shared" ca="1" si="49"/>
        <v>0.99019999999999997</v>
      </c>
      <c r="HK72" s="4">
        <f t="shared" ca="1" si="49"/>
        <v>0.4672</v>
      </c>
      <c r="HL72" s="4">
        <f t="shared" ca="1" si="49"/>
        <v>0</v>
      </c>
      <c r="HM72" s="4">
        <f t="shared" ca="1" si="49"/>
        <v>0</v>
      </c>
      <c r="HN72" s="4">
        <f t="shared" ca="1" si="49"/>
        <v>0</v>
      </c>
    </row>
    <row r="73" spans="1:222" x14ac:dyDescent="0.2">
      <c r="A73" t="str" cm="1">
        <f t="array" aca="1" ref="A73" ca="1">INDIRECT($A$67&amp;"!A"&amp;ROW(C6)+$B$64)</f>
        <v>[[80,34,12]]</v>
      </c>
      <c r="B73" cm="1">
        <f t="array" aca="1" ref="B73" ca="1">INDIRECT($A$67&amp;"!b"&amp;ROW(D6)+$B$64)</f>
        <v>80</v>
      </c>
      <c r="C73">
        <f t="shared" ca="1" si="50"/>
        <v>12</v>
      </c>
      <c r="E73">
        <f t="shared" ca="1" si="37"/>
        <v>30</v>
      </c>
      <c r="F73">
        <f t="shared" ca="1" si="37"/>
        <v>31</v>
      </c>
      <c r="G73">
        <f t="shared" ca="1" si="37"/>
        <v>30</v>
      </c>
      <c r="H73">
        <f t="shared" ca="1" si="37"/>
        <v>30</v>
      </c>
      <c r="I73">
        <f t="shared" ca="1" si="37"/>
        <v>33</v>
      </c>
      <c r="J73">
        <f t="shared" ca="1" si="37"/>
        <v>30</v>
      </c>
      <c r="K73">
        <f t="shared" ca="1" si="37"/>
        <v>37</v>
      </c>
      <c r="L73">
        <f t="shared" ca="1" si="37"/>
        <v>39</v>
      </c>
      <c r="M73">
        <f t="shared" ca="1" si="37"/>
        <v>36</v>
      </c>
      <c r="N73">
        <f t="shared" ca="1" si="37"/>
        <v>34</v>
      </c>
      <c r="O73">
        <f t="shared" ca="1" si="37"/>
        <v>34</v>
      </c>
      <c r="P73">
        <f t="shared" ca="1" si="37"/>
        <v>34</v>
      </c>
      <c r="V73" cm="1">
        <f t="array" aca="1" ref="V73" ca="1">IF(ISNA(E73),,OFFSET(INDIRECT("'"&amp;V$67&amp;"'!d1"),E73-1,))</f>
        <v>12</v>
      </c>
      <c r="W73" cm="1">
        <f t="array" aca="1" ref="W73" ca="1">IF(ISNA(F73),,OFFSET(INDIRECT("'"&amp;W$67&amp;"'!d1"),F73-1,))</f>
        <v>12</v>
      </c>
      <c r="X73" cm="1">
        <f t="array" aca="1" ref="X73" ca="1">IF(ISNA(G73),,OFFSET(INDIRECT("'"&amp;X$67&amp;"'!d1"),G73-1,))</f>
        <v>12</v>
      </c>
      <c r="Y73" cm="1">
        <f t="array" aca="1" ref="Y73" ca="1">IF(ISNA(H73),,OFFSET(INDIRECT("'"&amp;Y$67&amp;"'!d1"),H73-1,))</f>
        <v>0</v>
      </c>
      <c r="Z73" cm="1">
        <f t="array" aca="1" ref="Z73" ca="1">IF(ISNA(I73),,OFFSET(INDIRECT("'"&amp;Z$67&amp;"'!d1"),I73-1,))</f>
        <v>12</v>
      </c>
      <c r="AA73" cm="1">
        <f t="array" aca="1" ref="AA73" ca="1">IF(ISNA(J73),,OFFSET(INDIRECT("'"&amp;AA$67&amp;"'!d1"),J73-1,))</f>
        <v>12</v>
      </c>
      <c r="AB73" cm="1">
        <f t="array" aca="1" ref="AB73" ca="1">IF(ISNA(K73),,OFFSET(INDIRECT("'"&amp;AB$67&amp;"'!d1"),K73-1,))</f>
        <v>12</v>
      </c>
      <c r="AC73" cm="1">
        <f t="array" aca="1" ref="AC73" ca="1">IF(ISNA(L73),,OFFSET(INDIRECT("'"&amp;AC$67&amp;"'!d1"),L73-1,))</f>
        <v>12</v>
      </c>
      <c r="AD73" cm="1">
        <f t="array" aca="1" ref="AD73" ca="1">IF(ISNA(M73),,OFFSET(INDIRECT("'"&amp;AD$67&amp;"'!d1"),M73-1,))</f>
        <v>12</v>
      </c>
      <c r="AE73" cm="1">
        <f t="array" aca="1" ref="AE73" ca="1">IF(ISNA(N73),,OFFSET(INDIRECT("'"&amp;AE$67&amp;"'!d1"),N73-1,))</f>
        <v>0</v>
      </c>
      <c r="AF73" cm="1">
        <f t="array" aca="1" ref="AF73" ca="1">IF(ISNA(O73),,OFFSET(INDIRECT("'"&amp;AF$67&amp;"'!d1"),O73-1,))</f>
        <v>0</v>
      </c>
      <c r="AG73" cm="1">
        <f t="array" aca="1" ref="AG73" ca="1">IF(ISNA(P73),,OFFSET(INDIRECT("'"&amp;AG$67&amp;"'!d1"),P73-1,))</f>
        <v>0</v>
      </c>
      <c r="AM73">
        <f t="shared" ca="1" si="51"/>
        <v>1</v>
      </c>
      <c r="AN73">
        <f t="shared" ca="1" si="38"/>
        <v>1</v>
      </c>
      <c r="AO73">
        <f t="shared" ca="1" si="38"/>
        <v>1</v>
      </c>
      <c r="AP73">
        <f t="shared" ca="1" si="38"/>
        <v>0</v>
      </c>
      <c r="AQ73">
        <f t="shared" ca="1" si="52"/>
        <v>1</v>
      </c>
      <c r="AV73" t="b">
        <f t="shared" ca="1" si="53"/>
        <v>1</v>
      </c>
      <c r="AW73" t="b">
        <f t="shared" ca="1" si="39"/>
        <v>1</v>
      </c>
      <c r="AX73" t="b">
        <f t="shared" ca="1" si="39"/>
        <v>1</v>
      </c>
      <c r="AY73" t="str">
        <f t="shared" ca="1" si="39"/>
        <v/>
      </c>
      <c r="AZ73" t="b">
        <f t="shared" ca="1" si="39"/>
        <v>1</v>
      </c>
      <c r="BD73">
        <f t="shared" ca="1" si="40"/>
        <v>1</v>
      </c>
      <c r="BE73">
        <f t="shared" ca="1" si="40"/>
        <v>1</v>
      </c>
      <c r="BF73">
        <f t="shared" ca="1" si="40"/>
        <v>1</v>
      </c>
      <c r="BG73">
        <f t="shared" ca="1" si="40"/>
        <v>0</v>
      </c>
      <c r="BH73">
        <f t="shared" ca="1" si="40"/>
        <v>1</v>
      </c>
      <c r="BI73">
        <f t="shared" ca="1" si="40"/>
        <v>1</v>
      </c>
      <c r="BJ73">
        <f t="shared" ca="1" si="40"/>
        <v>1</v>
      </c>
      <c r="BK73">
        <f t="shared" ca="1" si="40"/>
        <v>1</v>
      </c>
      <c r="BL73">
        <f t="shared" ca="1" si="40"/>
        <v>1</v>
      </c>
      <c r="BM73">
        <f t="shared" ca="1" si="40"/>
        <v>0</v>
      </c>
      <c r="BN73">
        <f t="shared" ca="1" si="40"/>
        <v>0</v>
      </c>
      <c r="BO73">
        <f t="shared" ca="1" si="40"/>
        <v>0</v>
      </c>
      <c r="BU73">
        <f t="shared" ca="1" si="41"/>
        <v>12</v>
      </c>
      <c r="BV73">
        <f t="shared" ca="1" si="41"/>
        <v>12</v>
      </c>
      <c r="BW73">
        <f t="shared" ca="1" si="41"/>
        <v>12</v>
      </c>
      <c r="BX73">
        <f t="shared" ca="1" si="41"/>
        <v>80</v>
      </c>
      <c r="BY73">
        <f t="shared" ca="1" si="41"/>
        <v>12</v>
      </c>
      <c r="BZ73">
        <f t="shared" ca="1" si="41"/>
        <v>12</v>
      </c>
      <c r="CA73">
        <f t="shared" ca="1" si="41"/>
        <v>12</v>
      </c>
      <c r="CB73">
        <f t="shared" ca="1" si="41"/>
        <v>12</v>
      </c>
      <c r="CC73">
        <f t="shared" ca="1" si="41"/>
        <v>12</v>
      </c>
      <c r="CD73">
        <f t="shared" ca="1" si="41"/>
        <v>80</v>
      </c>
      <c r="CE73">
        <f t="shared" ca="1" si="41"/>
        <v>80</v>
      </c>
      <c r="CF73">
        <f t="shared" ca="1" si="41"/>
        <v>80</v>
      </c>
      <c r="CL73">
        <f t="shared" ca="1" si="42"/>
        <v>1</v>
      </c>
      <c r="CM73">
        <f t="shared" ca="1" si="42"/>
        <v>1</v>
      </c>
      <c r="CN73">
        <f t="shared" ca="1" si="42"/>
        <v>1</v>
      </c>
      <c r="CO73">
        <f t="shared" ca="1" si="42"/>
        <v>0</v>
      </c>
      <c r="CP73">
        <f t="shared" ca="1" si="42"/>
        <v>1</v>
      </c>
      <c r="CQ73">
        <f t="shared" ca="1" si="42"/>
        <v>1</v>
      </c>
      <c r="CR73">
        <f t="shared" ca="1" si="42"/>
        <v>1</v>
      </c>
      <c r="CS73">
        <f t="shared" ca="1" si="42"/>
        <v>1</v>
      </c>
      <c r="CT73">
        <f t="shared" ca="1" si="42"/>
        <v>1</v>
      </c>
      <c r="CU73">
        <f t="shared" ca="1" si="42"/>
        <v>0</v>
      </c>
      <c r="CV73">
        <f t="shared" ca="1" si="42"/>
        <v>0</v>
      </c>
      <c r="CW73">
        <f t="shared" ca="1" si="42"/>
        <v>0</v>
      </c>
      <c r="DC73" cm="1">
        <f t="array" aca="1" ref="DC73" ca="1">IF(ISNA(E73),,OFFSET(INDIRECT("'"&amp;DT$67&amp;"'!f1"),E73-1,))*1</f>
        <v>399.76645249500802</v>
      </c>
      <c r="DD73" cm="1">
        <f t="array" aca="1" ref="DD73" ca="1">IF(ISNA(F73),,OFFSET(INDIRECT("'"&amp;DU$67&amp;"'!f1"),F73-1,))*1</f>
        <v>386.75556916464097</v>
      </c>
      <c r="DE73" cm="1">
        <f t="array" aca="1" ref="DE73" ca="1">IF(ISNA(G73),,OFFSET(INDIRECT("'"&amp;DV$67&amp;"'!f1"),G73-1,))*1</f>
        <v>1047.1034300210799</v>
      </c>
      <c r="DF73" cm="1">
        <f t="array" aca="1" ref="DF73" ca="1">IF(ISNA(H73),,OFFSET(INDIRECT("'"&amp;DW$67&amp;"'!f1"),H73-1,))*1</f>
        <v>28800.128199480001</v>
      </c>
      <c r="DG73" cm="1">
        <f t="array" aca="1" ref="DG73" ca="1">IF(ISNA(I73),,OFFSET(INDIRECT("'"&amp;DX$67&amp;"'!f1"),I73-1,))*1</f>
        <v>5.8997208005166599E-2</v>
      </c>
      <c r="DH73" cm="1">
        <f t="array" aca="1" ref="DH73" ca="1">IF(ISNA(J73),,OFFSET(INDIRECT("'"&amp;DY$67&amp;"'!f1"),J73-1,))*1</f>
        <v>0.19947021408006499</v>
      </c>
      <c r="DI73" cm="1">
        <f t="array" aca="1" ref="DI73" ca="1">IF(ISNA(K73),,OFFSET(INDIRECT("'"&amp;DZ$67&amp;"'!f1"),K73-1,))*1</f>
        <v>2.5609413031488599</v>
      </c>
      <c r="DJ73" cm="1">
        <f t="array" aca="1" ref="DJ73" ca="1">IF(ISNA(L73),,OFFSET(INDIRECT("'"&amp;EA$67&amp;"'!f1"),L73-1,))*1</f>
        <v>3.15059760957956</v>
      </c>
      <c r="DK73" cm="1">
        <f t="array" aca="1" ref="DK73" ca="1">IF(ISNA(M73),,OFFSET(INDIRECT("'"&amp;EB$67&amp;"'!f1"),M73-1,))*1</f>
        <v>37.902332155033903</v>
      </c>
      <c r="DL73" cm="1">
        <f t="array" aca="1" ref="DL73" ca="1">IF(ISNA(N73),,OFFSET(INDIRECT("'"&amp;EC$67&amp;"'!f1"),N73-1,))*1</f>
        <v>1.2709749862551601E-2</v>
      </c>
      <c r="DM73" cm="1">
        <f t="array" aca="1" ref="DM73" ca="1">IF(ISNA(O73),,OFFSET(INDIRECT("'"&amp;ED$67&amp;"'!f1"),O73-1,))*1</f>
        <v>1.26572465524077E-2</v>
      </c>
      <c r="DN73" cm="1">
        <f t="array" aca="1" ref="DN73" ca="1">IF(ISNA(P73),,OFFSET(INDIRECT("'"&amp;EE$67&amp;"'!f1"),P73-1,))*1</f>
        <v>2.02741613611578E-2</v>
      </c>
      <c r="DT73">
        <f t="shared" ca="1" si="54"/>
        <v>1</v>
      </c>
      <c r="DU73">
        <f t="shared" ca="1" si="43"/>
        <v>1</v>
      </c>
      <c r="DV73">
        <f t="shared" ca="1" si="43"/>
        <v>1</v>
      </c>
      <c r="DW73">
        <f t="shared" ca="1" si="43"/>
        <v>0</v>
      </c>
      <c r="DX73">
        <f t="shared" ca="1" si="43"/>
        <v>1</v>
      </c>
      <c r="DY73">
        <f t="shared" ca="1" si="43"/>
        <v>1</v>
      </c>
      <c r="DZ73">
        <f t="shared" ca="1" si="43"/>
        <v>3627</v>
      </c>
      <c r="EA73">
        <f t="shared" ca="1" si="43"/>
        <v>9217</v>
      </c>
      <c r="EB73">
        <f t="shared" ca="1" si="43"/>
        <v>2599</v>
      </c>
      <c r="EC73">
        <f t="shared" ca="1" si="43"/>
        <v>0</v>
      </c>
      <c r="ED73">
        <f t="shared" ca="1" si="43"/>
        <v>0</v>
      </c>
      <c r="EE73">
        <f t="shared" ca="1" si="43"/>
        <v>0</v>
      </c>
      <c r="EK73" cm="1">
        <f t="array" aca="1" ref="EK73" ca="1">IF(ISNA(E73),0,OFFSET(INDIRECT("'"&amp;EK$67&amp;"'!g1"),E73-1,)*CL73)</f>
        <v>1</v>
      </c>
      <c r="EL73" cm="1">
        <f t="array" aca="1" ref="EL73" ca="1">IF(ISNA(F73),0,OFFSET(INDIRECT("'"&amp;EL$67&amp;"'!g1"),F73-1,)*CM73)</f>
        <v>1</v>
      </c>
      <c r="EM73" cm="1">
        <f t="array" aca="1" ref="EM73" ca="1">IF(ISNA(G73),0,OFFSET(INDIRECT("'"&amp;EM$67&amp;"'!g1"),G73-1,)*CN73)</f>
        <v>1</v>
      </c>
      <c r="EN73" cm="1">
        <f t="array" aca="1" ref="EN73" ca="1">IF(ISNA(H73),0,OFFSET(INDIRECT("'"&amp;EN$67&amp;"'!g1"),H73-1,)*CO73)</f>
        <v>0</v>
      </c>
      <c r="EO73" cm="1">
        <f t="array" aca="1" ref="EO73" ca="1">IF(ISNA(I73),0,OFFSET(INDIRECT("'"&amp;EO$67&amp;"'!g1"),I73-1,)*CP73)</f>
        <v>1</v>
      </c>
      <c r="EP73" cm="1">
        <f t="array" aca="1" ref="EP73" ca="1">IF(ISNA(J73),0,OFFSET(INDIRECT("'"&amp;EP$67&amp;"'!g1"),J73-1,)*CQ73)</f>
        <v>1</v>
      </c>
      <c r="EQ73" cm="1">
        <f t="array" aca="1" ref="EQ73" ca="1">IF(ISNA(K73),0,OFFSET(INDIRECT("'"&amp;EQ$67&amp;"'!g1"),K73-1,)*CR73)</f>
        <v>3627</v>
      </c>
      <c r="ER73" cm="1">
        <f t="array" aca="1" ref="ER73" ca="1">IF(ISNA(L73),0,OFFSET(INDIRECT("'"&amp;ER$67&amp;"'!g1"),L73-1,)*CS73)</f>
        <v>9217</v>
      </c>
      <c r="ES73" cm="1">
        <f t="array" aca="1" ref="ES73" ca="1">IF(ISNA(M73),0,OFFSET(INDIRECT("'"&amp;ES$67&amp;"'!g1"),M73-1,)*CT73)</f>
        <v>2599</v>
      </c>
      <c r="ET73" cm="1">
        <f t="array" aca="1" ref="ET73" ca="1">IF(ISNA(N73),0,OFFSET(INDIRECT("'"&amp;ET$67&amp;"'!g1"),N73-1,)*CU73)</f>
        <v>0</v>
      </c>
      <c r="EU73" cm="1">
        <f t="array" aca="1" ref="EU73" ca="1">IF(ISNA(O73),0,OFFSET(INDIRECT("'"&amp;EU$67&amp;"'!g1"),O73-1,)*CV73)</f>
        <v>0</v>
      </c>
      <c r="EV73" cm="1">
        <f t="array" aca="1" ref="EV73" ca="1">IF(ISNA(P73),0,OFFSET(INDIRECT("'"&amp;EV$67&amp;"'!g1"),P73-1,)*CW73)</f>
        <v>0</v>
      </c>
      <c r="FB73" s="10" cm="1">
        <f t="array" aca="1" ref="FB73" ca="1">IF(ISNA(E73),0,OFFSET(INDIRECT("'"&amp;EK$67&amp;"'!h1"),E73-1,))</f>
        <v>1</v>
      </c>
      <c r="FC73" s="10" cm="1">
        <f t="array" aca="1" ref="FC73" ca="1">IF(ISNA(F73),0,OFFSET(INDIRECT("'"&amp;EL$67&amp;"'!h1"),F73-1,))</f>
        <v>1</v>
      </c>
      <c r="FD73" s="10" cm="1">
        <f t="array" aca="1" ref="FD73" ca="1">IF(ISNA(G73),0,OFFSET(INDIRECT("'"&amp;EM$67&amp;"'!h1"),G73-1,))</f>
        <v>1</v>
      </c>
      <c r="FE73" s="10" cm="1">
        <f t="array" aca="1" ref="FE73" ca="1">IF(ISNA(H73),0,OFFSET(INDIRECT("'"&amp;EN$67&amp;"'!h1"),H73-1,))</f>
        <v>1</v>
      </c>
      <c r="FF73" s="10" cm="1">
        <f t="array" aca="1" ref="FF73" ca="1">IF(ISNA(I73),0,OFFSET(INDIRECT("'"&amp;EO$67&amp;"'!h1"),I73-1,))</f>
        <v>1</v>
      </c>
      <c r="FG73" s="10" cm="1">
        <f t="array" aca="1" ref="FG73" ca="1">IF(ISNA(J73),0,OFFSET(INDIRECT("'"&amp;EP$67&amp;"'!h1"),J73-1,))</f>
        <v>1</v>
      </c>
      <c r="FH73" s="10" cm="1">
        <f t="array" aca="1" ref="FH73" ca="1">IF(ISNA(K73),0,OFFSET(INDIRECT("'"&amp;EQ$67&amp;"'!h1"),K73-1,))</f>
        <v>10000</v>
      </c>
      <c r="FI73" s="10" cm="1">
        <f t="array" aca="1" ref="FI73" ca="1">IF(ISNA(L73),0,OFFSET(INDIRECT("'"&amp;ER$67&amp;"'!h1"),L73-1,))</f>
        <v>10000</v>
      </c>
      <c r="FJ73" s="10" cm="1">
        <f t="array" aca="1" ref="FJ73" ca="1">IF(ISNA(M73),0,OFFSET(INDIRECT("'"&amp;ES$67&amp;"'!h1"),M73-1,))</f>
        <v>10000</v>
      </c>
      <c r="FK73" s="10" cm="1">
        <f t="array" aca="1" ref="FK73" ca="1">IF(ISNA(N73),0,OFFSET(INDIRECT("'"&amp;ET$67&amp;"'!h1"),N73-1,))</f>
        <v>1</v>
      </c>
      <c r="FL73" s="10" cm="1">
        <f t="array" aca="1" ref="FL73" ca="1">IF(ISNA(O73),0,OFFSET(INDIRECT("'"&amp;EU$67&amp;"'!h1"),O73-1,))</f>
        <v>1</v>
      </c>
      <c r="FM73" s="10" cm="1">
        <f t="array" aca="1" ref="FM73" ca="1">IF(ISNA(P73),0,OFFSET(INDIRECT("'"&amp;EV$67&amp;"'!h1"),P73-1,))</f>
        <v>9</v>
      </c>
      <c r="FN73" s="10"/>
      <c r="FO73" s="10"/>
      <c r="FP73" s="10"/>
      <c r="FQ73" s="10"/>
      <c r="FS73">
        <f t="shared" ca="1" si="55"/>
        <v>80</v>
      </c>
      <c r="FT73">
        <f t="shared" ca="1" si="56"/>
        <v>2.5609413031488599</v>
      </c>
      <c r="FU73">
        <f t="shared" ca="1" si="57"/>
        <v>3627</v>
      </c>
      <c r="FV73">
        <f t="shared" ca="1" si="58"/>
        <v>10000</v>
      </c>
      <c r="FW73" s="4">
        <f t="shared" ca="1" si="59"/>
        <v>0.36270000000000002</v>
      </c>
      <c r="FX73" s="5">
        <f t="shared" ca="1" si="60"/>
        <v>7.0607700665808104E-4</v>
      </c>
      <c r="FZ73" s="13">
        <f t="shared" ca="1" si="44"/>
        <v>80</v>
      </c>
      <c r="GA73" s="23">
        <f t="shared" ca="1" si="61"/>
        <v>0</v>
      </c>
      <c r="GB73" s="23">
        <f t="shared" ca="1" si="45"/>
        <v>0</v>
      </c>
      <c r="GC73" s="23">
        <f t="shared" ca="1" si="45"/>
        <v>0</v>
      </c>
      <c r="GD73" s="23" t="e">
        <f t="shared" ca="1" si="45"/>
        <v>#N/A</v>
      </c>
      <c r="GE73" s="23">
        <f t="shared" ca="1" si="45"/>
        <v>0</v>
      </c>
      <c r="GF73" s="23">
        <f t="shared" ca="1" si="45"/>
        <v>0</v>
      </c>
      <c r="GG73" s="23">
        <f t="shared" ca="1" si="45"/>
        <v>0</v>
      </c>
      <c r="GH73" s="23">
        <f t="shared" ca="1" si="45"/>
        <v>0</v>
      </c>
      <c r="GI73" s="23">
        <f t="shared" ca="1" si="45"/>
        <v>0</v>
      </c>
      <c r="GJ73" s="23" t="e">
        <f t="shared" ca="1" si="45"/>
        <v>#N/A</v>
      </c>
      <c r="GK73" s="23" t="e">
        <f t="shared" ca="1" si="45"/>
        <v>#N/A</v>
      </c>
      <c r="GL73" s="23" t="e">
        <f t="shared" ca="1" si="45"/>
        <v>#N/A</v>
      </c>
      <c r="GM73" s="23"/>
      <c r="GN73">
        <f t="shared" ca="1" si="62"/>
        <v>80</v>
      </c>
      <c r="GO73" s="5">
        <f t="shared" ca="1" si="63"/>
        <v>399.76645249500802</v>
      </c>
      <c r="GP73" s="5">
        <f t="shared" ca="1" si="46"/>
        <v>386.75556916464097</v>
      </c>
      <c r="GQ73" s="5">
        <f t="shared" ca="1" si="46"/>
        <v>1047.1034300210799</v>
      </c>
      <c r="GR73" s="5" t="e">
        <f t="shared" ca="1" si="46"/>
        <v>#N/A</v>
      </c>
      <c r="GS73" s="5">
        <f t="shared" ca="1" si="46"/>
        <v>5.8997208005166599E-2</v>
      </c>
      <c r="GT73" s="5">
        <f t="shared" ca="1" si="64"/>
        <v>0.19947021408006499</v>
      </c>
      <c r="GU73" s="5">
        <f t="shared" ca="1" si="47"/>
        <v>7.0607700665808104E-4</v>
      </c>
      <c r="GV73" s="5">
        <f t="shared" ca="1" si="47"/>
        <v>3.4182462944337206E-4</v>
      </c>
      <c r="GW73" s="5">
        <f t="shared" ca="1" si="47"/>
        <v>1.4583429070809504E-2</v>
      </c>
      <c r="GX73" s="5" t="e">
        <f t="shared" ca="1" si="47"/>
        <v>#N/A</v>
      </c>
      <c r="GY73" s="5" t="e">
        <f t="shared" ca="1" si="47"/>
        <v>#N/A</v>
      </c>
      <c r="GZ73" s="5" t="e">
        <f t="shared" ca="1" si="47"/>
        <v>#N/A</v>
      </c>
      <c r="HB73" s="13">
        <f t="shared" ca="1" si="48"/>
        <v>80</v>
      </c>
      <c r="HC73" s="4">
        <f t="shared" ca="1" si="65"/>
        <v>1</v>
      </c>
      <c r="HD73" s="4">
        <f t="shared" ca="1" si="49"/>
        <v>1</v>
      </c>
      <c r="HE73" s="4">
        <f t="shared" ca="1" si="49"/>
        <v>1</v>
      </c>
      <c r="HF73" s="4">
        <f t="shared" ca="1" si="49"/>
        <v>0</v>
      </c>
      <c r="HG73" s="4">
        <f t="shared" ca="1" si="49"/>
        <v>1</v>
      </c>
      <c r="HH73" s="4">
        <f t="shared" ca="1" si="49"/>
        <v>1</v>
      </c>
      <c r="HI73" s="4">
        <f t="shared" ca="1" si="49"/>
        <v>0.36270000000000002</v>
      </c>
      <c r="HJ73" s="4">
        <f t="shared" ca="1" si="49"/>
        <v>0.92169999999999996</v>
      </c>
      <c r="HK73" s="4">
        <f t="shared" ca="1" si="49"/>
        <v>0.25990000000000002</v>
      </c>
      <c r="HL73" s="4">
        <f t="shared" ca="1" si="49"/>
        <v>0</v>
      </c>
      <c r="HM73" s="4">
        <f t="shared" ca="1" si="49"/>
        <v>0</v>
      </c>
      <c r="HN73" s="4">
        <f t="shared" ca="1" si="49"/>
        <v>0</v>
      </c>
    </row>
    <row r="74" spans="1:222" x14ac:dyDescent="0.2">
      <c r="A74" t="str" cm="1">
        <f t="array" aca="1" ref="A74" ca="1">INDIRECT($A$67&amp;"!A"&amp;ROW(C7)+$B$64)</f>
        <v>[[105,44,16]]</v>
      </c>
      <c r="B74" cm="1">
        <f t="array" aca="1" ref="B74" ca="1">INDIRECT($A$67&amp;"!b"&amp;ROW(D7)+$B$64)</f>
        <v>105</v>
      </c>
      <c r="C74">
        <f t="shared" ca="1" si="50"/>
        <v>16</v>
      </c>
      <c r="E74">
        <f t="shared" ca="1" si="37"/>
        <v>31</v>
      </c>
      <c r="F74">
        <f t="shared" ca="1" si="37"/>
        <v>32</v>
      </c>
      <c r="G74">
        <f t="shared" ca="1" si="37"/>
        <v>31</v>
      </c>
      <c r="H74">
        <f t="shared" ca="1" si="37"/>
        <v>31</v>
      </c>
      <c r="I74">
        <f t="shared" ca="1" si="37"/>
        <v>34</v>
      </c>
      <c r="J74">
        <f t="shared" ca="1" si="37"/>
        <v>31</v>
      </c>
      <c r="K74">
        <f t="shared" ca="1" si="37"/>
        <v>38</v>
      </c>
      <c r="L74">
        <f t="shared" ca="1" si="37"/>
        <v>40</v>
      </c>
      <c r="M74">
        <f t="shared" ca="1" si="37"/>
        <v>37</v>
      </c>
      <c r="N74">
        <f t="shared" ca="1" si="37"/>
        <v>35</v>
      </c>
      <c r="O74">
        <f t="shared" ca="1" si="37"/>
        <v>35</v>
      </c>
      <c r="P74">
        <f t="shared" ca="1" si="37"/>
        <v>35</v>
      </c>
      <c r="V74" cm="1">
        <f t="array" aca="1" ref="V74" ca="1">IF(ISNA(E74),,OFFSET(INDIRECT("'"&amp;V$67&amp;"'!d1"),E74-1,))</f>
        <v>16</v>
      </c>
      <c r="W74" cm="1">
        <f t="array" aca="1" ref="W74" ca="1">IF(ISNA(F74),,OFFSET(INDIRECT("'"&amp;W$67&amp;"'!d1"),F74-1,))</f>
        <v>16</v>
      </c>
      <c r="X74" cm="1">
        <f t="array" aca="1" ref="X74" ca="1">IF(ISNA(G74),,OFFSET(INDIRECT("'"&amp;X$67&amp;"'!d1"),G74-1,))</f>
        <v>16</v>
      </c>
      <c r="Y74" cm="1">
        <f t="array" aca="1" ref="Y74" ca="1">IF(ISNA(H74),,OFFSET(INDIRECT("'"&amp;Y$67&amp;"'!d1"),H74-1,))</f>
        <v>0</v>
      </c>
      <c r="Z74" cm="1">
        <f t="array" aca="1" ref="Z74" ca="1">IF(ISNA(I74),,OFFSET(INDIRECT("'"&amp;Z$67&amp;"'!d1"),I74-1,))</f>
        <v>16</v>
      </c>
      <c r="AA74" cm="1">
        <f t="array" aca="1" ref="AA74" ca="1">IF(ISNA(J74),,OFFSET(INDIRECT("'"&amp;AA$67&amp;"'!d1"),J74-1,))</f>
        <v>16</v>
      </c>
      <c r="AB74" cm="1">
        <f t="array" aca="1" ref="AB74" ca="1">IF(ISNA(K74),,OFFSET(INDIRECT("'"&amp;AB$67&amp;"'!d1"),K74-1,))</f>
        <v>16</v>
      </c>
      <c r="AC74" cm="1">
        <f t="array" aca="1" ref="AC74" ca="1">IF(ISNA(L74),,OFFSET(INDIRECT("'"&amp;AC$67&amp;"'!d1"),L74-1,))</f>
        <v>16</v>
      </c>
      <c r="AD74" cm="1">
        <f t="array" aca="1" ref="AD74" ca="1">IF(ISNA(M74),,OFFSET(INDIRECT("'"&amp;AD$67&amp;"'!d1"),M74-1,))</f>
        <v>16</v>
      </c>
      <c r="AE74" cm="1">
        <f t="array" aca="1" ref="AE74" ca="1">IF(ISNA(N74),,OFFSET(INDIRECT("'"&amp;AE$67&amp;"'!d1"),N74-1,))</f>
        <v>0</v>
      </c>
      <c r="AF74" cm="1">
        <f t="array" aca="1" ref="AF74" ca="1">IF(ISNA(O74),,OFFSET(INDIRECT("'"&amp;AF$67&amp;"'!d1"),O74-1,))</f>
        <v>0</v>
      </c>
      <c r="AG74" cm="1">
        <f t="array" aca="1" ref="AG74" ca="1">IF(ISNA(P74),,OFFSET(INDIRECT("'"&amp;AG$67&amp;"'!d1"),P74-1,))</f>
        <v>0</v>
      </c>
      <c r="AM74">
        <f t="shared" ca="1" si="51"/>
        <v>0</v>
      </c>
      <c r="AN74">
        <f t="shared" ca="1" si="38"/>
        <v>0</v>
      </c>
      <c r="AO74">
        <f t="shared" ca="1" si="38"/>
        <v>0</v>
      </c>
      <c r="AP74">
        <f t="shared" ca="1" si="38"/>
        <v>0</v>
      </c>
      <c r="AQ74">
        <f t="shared" ca="1" si="52"/>
        <v>1</v>
      </c>
      <c r="AV74" t="str">
        <f t="shared" ca="1" si="53"/>
        <v/>
      </c>
      <c r="AW74" t="str">
        <f t="shared" ca="1" si="39"/>
        <v/>
      </c>
      <c r="AX74" t="str">
        <f t="shared" ca="1" si="39"/>
        <v/>
      </c>
      <c r="AY74" t="str">
        <f t="shared" ca="1" si="39"/>
        <v/>
      </c>
      <c r="AZ74" t="b">
        <f t="shared" ca="1" si="39"/>
        <v>1</v>
      </c>
      <c r="BD74">
        <f t="shared" ca="1" si="40"/>
        <v>1</v>
      </c>
      <c r="BE74">
        <f t="shared" ca="1" si="40"/>
        <v>1</v>
      </c>
      <c r="BF74">
        <f t="shared" ca="1" si="40"/>
        <v>1</v>
      </c>
      <c r="BG74">
        <f t="shared" ca="1" si="40"/>
        <v>0</v>
      </c>
      <c r="BH74">
        <f t="shared" ca="1" si="40"/>
        <v>1</v>
      </c>
      <c r="BI74">
        <f t="shared" ca="1" si="40"/>
        <v>1</v>
      </c>
      <c r="BJ74">
        <f t="shared" ca="1" si="40"/>
        <v>1</v>
      </c>
      <c r="BK74">
        <f t="shared" ca="1" si="40"/>
        <v>1</v>
      </c>
      <c r="BL74">
        <f t="shared" ca="1" si="40"/>
        <v>1</v>
      </c>
      <c r="BM74">
        <f t="shared" ca="1" si="40"/>
        <v>0</v>
      </c>
      <c r="BN74">
        <f t="shared" ca="1" si="40"/>
        <v>0</v>
      </c>
      <c r="BO74">
        <f t="shared" ca="1" si="40"/>
        <v>0</v>
      </c>
      <c r="BU74">
        <f t="shared" ca="1" si="41"/>
        <v>16</v>
      </c>
      <c r="BV74">
        <f t="shared" ca="1" si="41"/>
        <v>16</v>
      </c>
      <c r="BW74">
        <f t="shared" ca="1" si="41"/>
        <v>16</v>
      </c>
      <c r="BX74">
        <f t="shared" ca="1" si="41"/>
        <v>105</v>
      </c>
      <c r="BY74">
        <f t="shared" ca="1" si="41"/>
        <v>16</v>
      </c>
      <c r="BZ74">
        <f t="shared" ca="1" si="41"/>
        <v>16</v>
      </c>
      <c r="CA74">
        <f t="shared" ca="1" si="41"/>
        <v>16</v>
      </c>
      <c r="CB74">
        <f t="shared" ca="1" si="41"/>
        <v>16</v>
      </c>
      <c r="CC74">
        <f t="shared" ca="1" si="41"/>
        <v>16</v>
      </c>
      <c r="CD74">
        <f t="shared" ca="1" si="41"/>
        <v>105</v>
      </c>
      <c r="CE74">
        <f t="shared" ca="1" si="41"/>
        <v>105</v>
      </c>
      <c r="CF74">
        <f t="shared" ca="1" si="41"/>
        <v>105</v>
      </c>
      <c r="CL74">
        <f t="shared" ca="1" si="42"/>
        <v>1</v>
      </c>
      <c r="CM74">
        <f t="shared" ca="1" si="42"/>
        <v>1</v>
      </c>
      <c r="CN74">
        <f t="shared" ca="1" si="42"/>
        <v>1</v>
      </c>
      <c r="CO74">
        <f t="shared" ca="1" si="42"/>
        <v>0</v>
      </c>
      <c r="CP74">
        <f t="shared" ca="1" si="42"/>
        <v>1</v>
      </c>
      <c r="CQ74">
        <f t="shared" ca="1" si="42"/>
        <v>1</v>
      </c>
      <c r="CR74">
        <f t="shared" ca="1" si="42"/>
        <v>1</v>
      </c>
      <c r="CS74">
        <f t="shared" ca="1" si="42"/>
        <v>1</v>
      </c>
      <c r="CT74">
        <f t="shared" ca="1" si="42"/>
        <v>1</v>
      </c>
      <c r="CU74">
        <f t="shared" ca="1" si="42"/>
        <v>0</v>
      </c>
      <c r="CV74">
        <f t="shared" ca="1" si="42"/>
        <v>0</v>
      </c>
      <c r="CW74">
        <f t="shared" ca="1" si="42"/>
        <v>0</v>
      </c>
      <c r="DC74" cm="1">
        <f t="array" aca="1" ref="DC74" ca="1">IF(ISNA(E74),,OFFSET(INDIRECT("'"&amp;DT$67&amp;"'!f1"),E74-1,))*1</f>
        <v>28874.010674744299</v>
      </c>
      <c r="DD74" cm="1">
        <f t="array" aca="1" ref="DD74" ca="1">IF(ISNA(F74),,OFFSET(INDIRECT("'"&amp;DU$67&amp;"'!f1"),F74-1,))*1</f>
        <v>28819.6901571704</v>
      </c>
      <c r="DE74" cm="1">
        <f t="array" aca="1" ref="DE74" ca="1">IF(ISNA(G74),,OFFSET(INDIRECT("'"&amp;DV$67&amp;"'!f1"),G74-1,))*1</f>
        <v>28800.119195763898</v>
      </c>
      <c r="DF74" cm="1">
        <f t="array" aca="1" ref="DF74" ca="1">IF(ISNA(H74),,OFFSET(INDIRECT("'"&amp;DW$67&amp;"'!f1"),H74-1,))*1</f>
        <v>28801.129954209999</v>
      </c>
      <c r="DG74" cm="1">
        <f t="array" aca="1" ref="DG74" ca="1">IF(ISNA(I74),,OFFSET(INDIRECT("'"&amp;DX$67&amp;"'!f1"),I74-1,))*1</f>
        <v>0.19509637499868401</v>
      </c>
      <c r="DH74" cm="1">
        <f t="array" aca="1" ref="DH74" ca="1">IF(ISNA(J74),,OFFSET(INDIRECT("'"&amp;DY$67&amp;"'!f1"),J74-1,))*1</f>
        <v>0.29565492784604402</v>
      </c>
      <c r="DI74" cm="1">
        <f t="array" aca="1" ref="DI74" ca="1">IF(ISNA(K74),,OFFSET(INDIRECT("'"&amp;DZ$67&amp;"'!f1"),K74-1,))*1</f>
        <v>3.80945065058767</v>
      </c>
      <c r="DJ74" cm="1">
        <f t="array" aca="1" ref="DJ74" ca="1">IF(ISNA(L74),,OFFSET(INDIRECT("'"&amp;EA$67&amp;"'!f1"),L74-1,))*1</f>
        <v>4.3833787394687498</v>
      </c>
      <c r="DK74" cm="1">
        <f t="array" aca="1" ref="DK74" ca="1">IF(ISNA(M74),,OFFSET(INDIRECT("'"&amp;EB$67&amp;"'!f1"),M74-1,))*1</f>
        <v>58.296927159186403</v>
      </c>
      <c r="DL74" cm="1">
        <f t="array" aca="1" ref="DL74" ca="1">IF(ISNA(N74),,OFFSET(INDIRECT("'"&amp;EC$67&amp;"'!f1"),N74-1,))*1</f>
        <v>1.7683728598058199E-2</v>
      </c>
      <c r="DM74" cm="1">
        <f t="array" aca="1" ref="DM74" ca="1">IF(ISNA(O74),,OFFSET(INDIRECT("'"&amp;ED$67&amp;"'!f1"),O74-1,))*1</f>
        <v>1.8154801800847001E-2</v>
      </c>
      <c r="DN74" cm="1">
        <f t="array" aca="1" ref="DN74" ca="1">IF(ISNA(P74),,OFFSET(INDIRECT("'"&amp;EE$67&amp;"'!f1"),P74-1,))*1</f>
        <v>3.0724646523594801E-2</v>
      </c>
      <c r="DT74">
        <f t="shared" ca="1" si="54"/>
        <v>1</v>
      </c>
      <c r="DU74">
        <f t="shared" ca="1" si="43"/>
        <v>1</v>
      </c>
      <c r="DV74">
        <f t="shared" ca="1" si="43"/>
        <v>1</v>
      </c>
      <c r="DW74">
        <f t="shared" ca="1" si="43"/>
        <v>0</v>
      </c>
      <c r="DX74">
        <f t="shared" ca="1" si="43"/>
        <v>1</v>
      </c>
      <c r="DY74">
        <f t="shared" ca="1" si="43"/>
        <v>1</v>
      </c>
      <c r="DZ74">
        <f t="shared" ca="1" si="43"/>
        <v>4677</v>
      </c>
      <c r="EA74">
        <f t="shared" ca="1" si="43"/>
        <v>8881</v>
      </c>
      <c r="EB74">
        <f t="shared" ca="1" si="43"/>
        <v>2728</v>
      </c>
      <c r="EC74">
        <f t="shared" ca="1" si="43"/>
        <v>0</v>
      </c>
      <c r="ED74">
        <f t="shared" ca="1" si="43"/>
        <v>0</v>
      </c>
      <c r="EE74">
        <f t="shared" ca="1" si="43"/>
        <v>0</v>
      </c>
      <c r="EK74" cm="1">
        <f t="array" aca="1" ref="EK74" ca="1">IF(ISNA(E74),0,OFFSET(INDIRECT("'"&amp;EK$67&amp;"'!g1"),E74-1,)*CL74)</f>
        <v>1</v>
      </c>
      <c r="EL74" cm="1">
        <f t="array" aca="1" ref="EL74" ca="1">IF(ISNA(F74),0,OFFSET(INDIRECT("'"&amp;EL$67&amp;"'!g1"),F74-1,)*CM74)</f>
        <v>1</v>
      </c>
      <c r="EM74" cm="1">
        <f t="array" aca="1" ref="EM74" ca="1">IF(ISNA(G74),0,OFFSET(INDIRECT("'"&amp;EM$67&amp;"'!g1"),G74-1,)*CN74)</f>
        <v>1</v>
      </c>
      <c r="EN74" cm="1">
        <f t="array" aca="1" ref="EN74" ca="1">IF(ISNA(H74),0,OFFSET(INDIRECT("'"&amp;EN$67&amp;"'!g1"),H74-1,)*CO74)</f>
        <v>0</v>
      </c>
      <c r="EO74" cm="1">
        <f t="array" aca="1" ref="EO74" ca="1">IF(ISNA(I74),0,OFFSET(INDIRECT("'"&amp;EO$67&amp;"'!g1"),I74-1,)*CP74)</f>
        <v>1</v>
      </c>
      <c r="EP74" cm="1">
        <f t="array" aca="1" ref="EP74" ca="1">IF(ISNA(J74),0,OFFSET(INDIRECT("'"&amp;EP$67&amp;"'!g1"),J74-1,)*CQ74)</f>
        <v>1</v>
      </c>
      <c r="EQ74" cm="1">
        <f t="array" aca="1" ref="EQ74" ca="1">IF(ISNA(K74),0,OFFSET(INDIRECT("'"&amp;EQ$67&amp;"'!g1"),K74-1,)*CR74)</f>
        <v>4677</v>
      </c>
      <c r="ER74" cm="1">
        <f t="array" aca="1" ref="ER74" ca="1">IF(ISNA(L74),0,OFFSET(INDIRECT("'"&amp;ER$67&amp;"'!g1"),L74-1,)*CS74)</f>
        <v>8881</v>
      </c>
      <c r="ES74" cm="1">
        <f t="array" aca="1" ref="ES74" ca="1">IF(ISNA(M74),0,OFFSET(INDIRECT("'"&amp;ES$67&amp;"'!g1"),M74-1,)*CT74)</f>
        <v>2728</v>
      </c>
      <c r="ET74" cm="1">
        <f t="array" aca="1" ref="ET74" ca="1">IF(ISNA(N74),0,OFFSET(INDIRECT("'"&amp;ET$67&amp;"'!g1"),N74-1,)*CU74)</f>
        <v>0</v>
      </c>
      <c r="EU74" cm="1">
        <f t="array" aca="1" ref="EU74" ca="1">IF(ISNA(O74),0,OFFSET(INDIRECT("'"&amp;EU$67&amp;"'!g1"),O74-1,)*CV74)</f>
        <v>0</v>
      </c>
      <c r="EV74" cm="1">
        <f t="array" aca="1" ref="EV74" ca="1">IF(ISNA(P74),0,OFFSET(INDIRECT("'"&amp;EV$67&amp;"'!g1"),P74-1,)*CW74)</f>
        <v>0</v>
      </c>
      <c r="FB74" s="10" cm="1">
        <f t="array" aca="1" ref="FB74" ca="1">IF(ISNA(E74),0,OFFSET(INDIRECT("'"&amp;EK$67&amp;"'!h1"),E74-1,))</f>
        <v>1</v>
      </c>
      <c r="FC74" s="10" cm="1">
        <f t="array" aca="1" ref="FC74" ca="1">IF(ISNA(F74),0,OFFSET(INDIRECT("'"&amp;EL$67&amp;"'!h1"),F74-1,))</f>
        <v>1</v>
      </c>
      <c r="FD74" s="10" cm="1">
        <f t="array" aca="1" ref="FD74" ca="1">IF(ISNA(G74),0,OFFSET(INDIRECT("'"&amp;EM$67&amp;"'!h1"),G74-1,))</f>
        <v>1</v>
      </c>
      <c r="FE74" s="10" cm="1">
        <f t="array" aca="1" ref="FE74" ca="1">IF(ISNA(H74),0,OFFSET(INDIRECT("'"&amp;EN$67&amp;"'!h1"),H74-1,))</f>
        <v>1</v>
      </c>
      <c r="FF74" s="10" cm="1">
        <f t="array" aca="1" ref="FF74" ca="1">IF(ISNA(I74),0,OFFSET(INDIRECT("'"&amp;EO$67&amp;"'!h1"),I74-1,))</f>
        <v>1</v>
      </c>
      <c r="FG74" s="10" cm="1">
        <f t="array" aca="1" ref="FG74" ca="1">IF(ISNA(J74),0,OFFSET(INDIRECT("'"&amp;EP$67&amp;"'!h1"),J74-1,))</f>
        <v>1</v>
      </c>
      <c r="FH74" s="10" cm="1">
        <f t="array" aca="1" ref="FH74" ca="1">IF(ISNA(K74),0,OFFSET(INDIRECT("'"&amp;EQ$67&amp;"'!h1"),K74-1,))</f>
        <v>10000</v>
      </c>
      <c r="FI74" s="10" cm="1">
        <f t="array" aca="1" ref="FI74" ca="1">IF(ISNA(L74),0,OFFSET(INDIRECT("'"&amp;ER$67&amp;"'!h1"),L74-1,))</f>
        <v>10000</v>
      </c>
      <c r="FJ74" s="10" cm="1">
        <f t="array" aca="1" ref="FJ74" ca="1">IF(ISNA(M74),0,OFFSET(INDIRECT("'"&amp;ES$67&amp;"'!h1"),M74-1,))</f>
        <v>10000</v>
      </c>
      <c r="FK74" s="10" cm="1">
        <f t="array" aca="1" ref="FK74" ca="1">IF(ISNA(N74),0,OFFSET(INDIRECT("'"&amp;ET$67&amp;"'!h1"),N74-1,))</f>
        <v>1</v>
      </c>
      <c r="FL74" s="10" cm="1">
        <f t="array" aca="1" ref="FL74" ca="1">IF(ISNA(O74),0,OFFSET(INDIRECT("'"&amp;EU$67&amp;"'!h1"),O74-1,))</f>
        <v>1</v>
      </c>
      <c r="FM74" s="10" cm="1">
        <f t="array" aca="1" ref="FM74" ca="1">IF(ISNA(P74),0,OFFSET(INDIRECT("'"&amp;EV$67&amp;"'!h1"),P74-1,))</f>
        <v>9</v>
      </c>
      <c r="FN74" s="10"/>
      <c r="FO74" s="10"/>
      <c r="FP74" s="10"/>
      <c r="FQ74" s="10"/>
      <c r="FS74">
        <f t="shared" ca="1" si="55"/>
        <v>105</v>
      </c>
      <c r="FT74">
        <f t="shared" ca="1" si="56"/>
        <v>3.80945065058767</v>
      </c>
      <c r="FU74">
        <f t="shared" ca="1" si="57"/>
        <v>4677</v>
      </c>
      <c r="FV74">
        <f t="shared" ca="1" si="58"/>
        <v>10000</v>
      </c>
      <c r="FW74" s="4">
        <f t="shared" ca="1" si="59"/>
        <v>0.4677</v>
      </c>
      <c r="FX74" s="5">
        <f t="shared" ca="1" si="60"/>
        <v>8.1450730181476796E-4</v>
      </c>
      <c r="FZ74" s="13">
        <f t="shared" ca="1" si="44"/>
        <v>105</v>
      </c>
      <c r="GA74" s="23">
        <f t="shared" ca="1" si="61"/>
        <v>0</v>
      </c>
      <c r="GB74" s="23">
        <f t="shared" ca="1" si="45"/>
        <v>0</v>
      </c>
      <c r="GC74" s="23">
        <f t="shared" ca="1" si="45"/>
        <v>0</v>
      </c>
      <c r="GD74" s="23" t="e">
        <f t="shared" ca="1" si="45"/>
        <v>#N/A</v>
      </c>
      <c r="GE74" s="23">
        <f t="shared" ca="1" si="45"/>
        <v>0</v>
      </c>
      <c r="GF74" s="23">
        <f t="shared" ca="1" si="45"/>
        <v>0</v>
      </c>
      <c r="GG74" s="23">
        <f t="shared" ca="1" si="45"/>
        <v>0</v>
      </c>
      <c r="GH74" s="23">
        <f t="shared" ca="1" si="45"/>
        <v>0</v>
      </c>
      <c r="GI74" s="23">
        <f t="shared" ca="1" si="45"/>
        <v>0</v>
      </c>
      <c r="GJ74" s="23" t="e">
        <f t="shared" ca="1" si="45"/>
        <v>#N/A</v>
      </c>
      <c r="GK74" s="23" t="e">
        <f t="shared" ca="1" si="45"/>
        <v>#N/A</v>
      </c>
      <c r="GL74" s="23" t="e">
        <f t="shared" ca="1" si="45"/>
        <v>#N/A</v>
      </c>
      <c r="GM74" s="23"/>
      <c r="GN74">
        <f t="shared" ca="1" si="62"/>
        <v>105</v>
      </c>
      <c r="GO74" s="5" t="e">
        <f t="shared" ca="1" si="63"/>
        <v>#N/A</v>
      </c>
      <c r="GP74" s="5" t="e">
        <f t="shared" ca="1" si="46"/>
        <v>#N/A</v>
      </c>
      <c r="GQ74" s="5" t="e">
        <f t="shared" ca="1" si="46"/>
        <v>#N/A</v>
      </c>
      <c r="GR74" s="5" t="e">
        <f t="shared" ca="1" si="46"/>
        <v>#N/A</v>
      </c>
      <c r="GS74" s="5">
        <f t="shared" ca="1" si="46"/>
        <v>0.19509637499868401</v>
      </c>
      <c r="GT74" s="5">
        <f t="shared" ca="1" si="64"/>
        <v>0.29565492784604402</v>
      </c>
      <c r="GU74" s="5">
        <f t="shared" ca="1" si="47"/>
        <v>8.1450730181476796E-4</v>
      </c>
      <c r="GV74" s="5">
        <f t="shared" ca="1" si="47"/>
        <v>4.9356814992329123E-4</v>
      </c>
      <c r="GW74" s="5">
        <f t="shared" ca="1" si="47"/>
        <v>2.136984133401261E-2</v>
      </c>
      <c r="GX74" s="5" t="e">
        <f t="shared" ca="1" si="47"/>
        <v>#N/A</v>
      </c>
      <c r="GY74" s="5" t="e">
        <f t="shared" ca="1" si="47"/>
        <v>#N/A</v>
      </c>
      <c r="GZ74" s="5" t="e">
        <f t="shared" ca="1" si="47"/>
        <v>#N/A</v>
      </c>
      <c r="HB74" s="13">
        <f t="shared" ca="1" si="48"/>
        <v>105</v>
      </c>
      <c r="HC74" s="4">
        <f t="shared" ca="1" si="65"/>
        <v>1</v>
      </c>
      <c r="HD74" s="4">
        <f t="shared" ca="1" si="49"/>
        <v>1</v>
      </c>
      <c r="HE74" s="4">
        <f t="shared" ca="1" si="49"/>
        <v>1</v>
      </c>
      <c r="HF74" s="4">
        <f t="shared" ca="1" si="49"/>
        <v>0</v>
      </c>
      <c r="HG74" s="4">
        <f t="shared" ca="1" si="49"/>
        <v>1</v>
      </c>
      <c r="HH74" s="4">
        <f t="shared" ca="1" si="49"/>
        <v>1</v>
      </c>
      <c r="HI74" s="4">
        <f t="shared" ca="1" si="49"/>
        <v>0.4677</v>
      </c>
      <c r="HJ74" s="4">
        <f t="shared" ca="1" si="49"/>
        <v>0.8881</v>
      </c>
      <c r="HK74" s="4">
        <f t="shared" ca="1" si="49"/>
        <v>0.27279999999999999</v>
      </c>
      <c r="HL74" s="4">
        <f t="shared" ca="1" si="49"/>
        <v>0</v>
      </c>
      <c r="HM74" s="4">
        <f t="shared" ca="1" si="49"/>
        <v>0</v>
      </c>
      <c r="HN74" s="4">
        <f t="shared" ca="1" si="49"/>
        <v>0</v>
      </c>
    </row>
    <row r="75" spans="1:222" x14ac:dyDescent="0.2">
      <c r="A75" t="str" cm="1">
        <f t="array" aca="1" ref="A75" ca="1">INDIRECT($A$67&amp;"!A"&amp;ROW(C8)+$B$64)</f>
        <v>[[150,62,16]]</v>
      </c>
      <c r="B75" cm="1">
        <f t="array" aca="1" ref="B75" ca="1">INDIRECT($A$67&amp;"!b"&amp;ROW(D8)+$B$64)</f>
        <v>150</v>
      </c>
      <c r="C75">
        <f t="shared" ca="1" si="50"/>
        <v>16</v>
      </c>
      <c r="E75">
        <f t="shared" ca="1" si="37"/>
        <v>32</v>
      </c>
      <c r="F75">
        <f t="shared" ca="1" si="37"/>
        <v>33</v>
      </c>
      <c r="G75">
        <f t="shared" ca="1" si="37"/>
        <v>32</v>
      </c>
      <c r="H75">
        <f t="shared" ca="1" si="37"/>
        <v>32</v>
      </c>
      <c r="I75">
        <f t="shared" ca="1" si="37"/>
        <v>35</v>
      </c>
      <c r="J75">
        <f t="shared" ca="1" si="37"/>
        <v>32</v>
      </c>
      <c r="K75">
        <f t="shared" ca="1" si="37"/>
        <v>39</v>
      </c>
      <c r="L75">
        <f t="shared" ca="1" si="37"/>
        <v>41</v>
      </c>
      <c r="M75">
        <f t="shared" ca="1" si="37"/>
        <v>38</v>
      </c>
      <c r="N75">
        <f t="shared" ca="1" si="37"/>
        <v>36</v>
      </c>
      <c r="O75">
        <f t="shared" ca="1" si="37"/>
        <v>36</v>
      </c>
      <c r="P75">
        <f t="shared" ca="1" si="37"/>
        <v>36</v>
      </c>
      <c r="V75" cm="1">
        <f t="array" aca="1" ref="V75" ca="1">IF(ISNA(E75),,OFFSET(INDIRECT("'"&amp;V$67&amp;"'!d1"),E75-1,))</f>
        <v>16</v>
      </c>
      <c r="W75" cm="1">
        <f t="array" aca="1" ref="W75" ca="1">IF(ISNA(F75),,OFFSET(INDIRECT("'"&amp;W$67&amp;"'!d1"),F75-1,))</f>
        <v>16</v>
      </c>
      <c r="X75" cm="1">
        <f t="array" aca="1" ref="X75" ca="1">IF(ISNA(G75),,OFFSET(INDIRECT("'"&amp;X$67&amp;"'!d1"),G75-1,))</f>
        <v>58</v>
      </c>
      <c r="Y75" cm="1">
        <f t="array" aca="1" ref="Y75" ca="1">IF(ISNA(H75),,OFFSET(INDIRECT("'"&amp;Y$67&amp;"'!d1"),H75-1,))</f>
        <v>0</v>
      </c>
      <c r="Z75" cm="1">
        <f t="array" aca="1" ref="Z75" ca="1">IF(ISNA(I75),,OFFSET(INDIRECT("'"&amp;Z$67&amp;"'!d1"),I75-1,))</f>
        <v>16</v>
      </c>
      <c r="AA75" cm="1">
        <f t="array" aca="1" ref="AA75" ca="1">IF(ISNA(J75),,OFFSET(INDIRECT("'"&amp;AA$67&amp;"'!d1"),J75-1,))</f>
        <v>16</v>
      </c>
      <c r="AB75" cm="1">
        <f t="array" aca="1" ref="AB75" ca="1">IF(ISNA(K75),,OFFSET(INDIRECT("'"&amp;AB$67&amp;"'!d1"),K75-1,))</f>
        <v>16</v>
      </c>
      <c r="AC75" cm="1">
        <f t="array" aca="1" ref="AC75" ca="1">IF(ISNA(L75),,OFFSET(INDIRECT("'"&amp;AC$67&amp;"'!d1"),L75-1,))</f>
        <v>16</v>
      </c>
      <c r="AD75" cm="1">
        <f t="array" aca="1" ref="AD75" ca="1">IF(ISNA(M75),,OFFSET(INDIRECT("'"&amp;AD$67&amp;"'!d1"),M75-1,))</f>
        <v>16</v>
      </c>
      <c r="AE75" cm="1">
        <f t="array" aca="1" ref="AE75" ca="1">IF(ISNA(N75),,OFFSET(INDIRECT("'"&amp;AE$67&amp;"'!d1"),N75-1,))</f>
        <v>0</v>
      </c>
      <c r="AF75" cm="1">
        <f t="array" aca="1" ref="AF75" ca="1">IF(ISNA(O75),,OFFSET(INDIRECT("'"&amp;AF$67&amp;"'!d1"),O75-1,))</f>
        <v>0</v>
      </c>
      <c r="AG75" cm="1">
        <f t="array" aca="1" ref="AG75" ca="1">IF(ISNA(P75),,OFFSET(INDIRECT("'"&amp;AG$67&amp;"'!d1"),P75-1,))</f>
        <v>0</v>
      </c>
      <c r="AM75">
        <f t="shared" ca="1" si="51"/>
        <v>0</v>
      </c>
      <c r="AN75">
        <f t="shared" ca="1" si="38"/>
        <v>0</v>
      </c>
      <c r="AO75">
        <f t="shared" ca="1" si="38"/>
        <v>0</v>
      </c>
      <c r="AP75">
        <f t="shared" ca="1" si="38"/>
        <v>0</v>
      </c>
      <c r="AQ75">
        <f t="shared" ca="1" si="52"/>
        <v>1</v>
      </c>
      <c r="AV75" t="str">
        <f t="shared" ca="1" si="53"/>
        <v/>
      </c>
      <c r="AW75" t="str">
        <f t="shared" ca="1" si="39"/>
        <v/>
      </c>
      <c r="AX75" t="str">
        <f t="shared" ca="1" si="39"/>
        <v/>
      </c>
      <c r="AY75" t="str">
        <f t="shared" ca="1" si="39"/>
        <v/>
      </c>
      <c r="AZ75" t="b">
        <f t="shared" ca="1" si="39"/>
        <v>1</v>
      </c>
      <c r="BD75">
        <f t="shared" ca="1" si="40"/>
        <v>1</v>
      </c>
      <c r="BE75">
        <f t="shared" ca="1" si="40"/>
        <v>1</v>
      </c>
      <c r="BF75">
        <f t="shared" ca="1" si="40"/>
        <v>1</v>
      </c>
      <c r="BG75">
        <f t="shared" ca="1" si="40"/>
        <v>0</v>
      </c>
      <c r="BH75">
        <f t="shared" ca="1" si="40"/>
        <v>1</v>
      </c>
      <c r="BI75">
        <f t="shared" ca="1" si="40"/>
        <v>1</v>
      </c>
      <c r="BJ75">
        <f t="shared" ca="1" si="40"/>
        <v>1</v>
      </c>
      <c r="BK75">
        <f t="shared" ca="1" si="40"/>
        <v>1</v>
      </c>
      <c r="BL75">
        <f t="shared" ca="1" si="40"/>
        <v>1</v>
      </c>
      <c r="BM75">
        <f t="shared" ca="1" si="40"/>
        <v>0</v>
      </c>
      <c r="BN75">
        <f t="shared" ca="1" si="40"/>
        <v>0</v>
      </c>
      <c r="BO75">
        <f t="shared" ca="1" si="40"/>
        <v>0</v>
      </c>
      <c r="BU75">
        <f t="shared" ca="1" si="41"/>
        <v>16</v>
      </c>
      <c r="BV75">
        <f t="shared" ca="1" si="41"/>
        <v>16</v>
      </c>
      <c r="BW75">
        <f t="shared" ca="1" si="41"/>
        <v>58</v>
      </c>
      <c r="BX75">
        <f t="shared" ca="1" si="41"/>
        <v>150</v>
      </c>
      <c r="BY75">
        <f t="shared" ca="1" si="41"/>
        <v>16</v>
      </c>
      <c r="BZ75">
        <f t="shared" ca="1" si="41"/>
        <v>16</v>
      </c>
      <c r="CA75">
        <f t="shared" ca="1" si="41"/>
        <v>16</v>
      </c>
      <c r="CB75">
        <f t="shared" ca="1" si="41"/>
        <v>16</v>
      </c>
      <c r="CC75">
        <f t="shared" ca="1" si="41"/>
        <v>16</v>
      </c>
      <c r="CD75">
        <f t="shared" ca="1" si="41"/>
        <v>150</v>
      </c>
      <c r="CE75">
        <f t="shared" ca="1" si="41"/>
        <v>150</v>
      </c>
      <c r="CF75">
        <f t="shared" ca="1" si="41"/>
        <v>150</v>
      </c>
      <c r="CL75">
        <f t="shared" ca="1" si="42"/>
        <v>1</v>
      </c>
      <c r="CM75">
        <f t="shared" ca="1" si="42"/>
        <v>1</v>
      </c>
      <c r="CN75">
        <f t="shared" ca="1" si="42"/>
        <v>0</v>
      </c>
      <c r="CO75">
        <f t="shared" ca="1" si="42"/>
        <v>0</v>
      </c>
      <c r="CP75">
        <f t="shared" ca="1" si="42"/>
        <v>1</v>
      </c>
      <c r="CQ75">
        <f t="shared" ca="1" si="42"/>
        <v>1</v>
      </c>
      <c r="CR75">
        <f t="shared" ca="1" si="42"/>
        <v>1</v>
      </c>
      <c r="CS75">
        <f t="shared" ca="1" si="42"/>
        <v>1</v>
      </c>
      <c r="CT75">
        <f t="shared" ca="1" si="42"/>
        <v>1</v>
      </c>
      <c r="CU75">
        <f t="shared" ca="1" si="42"/>
        <v>0</v>
      </c>
      <c r="CV75">
        <f t="shared" ca="1" si="42"/>
        <v>0</v>
      </c>
      <c r="CW75">
        <f t="shared" ca="1" si="42"/>
        <v>0</v>
      </c>
      <c r="DC75" cm="1">
        <f t="array" aca="1" ref="DC75" ca="1">IF(ISNA(E75),,OFFSET(INDIRECT("'"&amp;DT$67&amp;"'!f1"),E75-1,))*1</f>
        <v>28892.330680227798</v>
      </c>
      <c r="DD75" cm="1">
        <f t="array" aca="1" ref="DD75" ca="1">IF(ISNA(F75),,OFFSET(INDIRECT("'"&amp;DU$67&amp;"'!f1"),F75-1,))*1</f>
        <v>28816.280251984899</v>
      </c>
      <c r="DE75" cm="1">
        <f t="array" aca="1" ref="DE75" ca="1">IF(ISNA(G75),,OFFSET(INDIRECT("'"&amp;DV$67&amp;"'!f1"),G75-1,))*1</f>
        <v>28800.165150721001</v>
      </c>
      <c r="DF75" cm="1">
        <f t="array" aca="1" ref="DF75" ca="1">IF(ISNA(H75),,OFFSET(INDIRECT("'"&amp;DW$67&amp;"'!f1"),H75-1,))*1</f>
        <v>28801.275981430001</v>
      </c>
      <c r="DG75" cm="1">
        <f t="array" aca="1" ref="DG75" ca="1">IF(ISNA(I75),,OFFSET(INDIRECT("'"&amp;DX$67&amp;"'!f1"),I75-1,))*1</f>
        <v>1.5480170829978299</v>
      </c>
      <c r="DH75" cm="1">
        <f t="array" aca="1" ref="DH75" ca="1">IF(ISNA(J75),,OFFSET(INDIRECT("'"&amp;DY$67&amp;"'!f1"),J75-1,))*1</f>
        <v>0.54461753088980902</v>
      </c>
      <c r="DI75" cm="1">
        <f t="array" aca="1" ref="DI75" ca="1">IF(ISNA(K75),,OFFSET(INDIRECT("'"&amp;DZ$67&amp;"'!f1"),K75-1,))*1</f>
        <v>6.77960797492414</v>
      </c>
      <c r="DJ75" cm="1">
        <f t="array" aca="1" ref="DJ75" ca="1">IF(ISNA(L75),,OFFSET(INDIRECT("'"&amp;EA$67&amp;"'!f1"),L75-1,))*1</f>
        <v>7.1345366081222803</v>
      </c>
      <c r="DK75" cm="1">
        <f t="array" aca="1" ref="DK75" ca="1">IF(ISNA(M75),,OFFSET(INDIRECT("'"&amp;EB$67&amp;"'!f1"),M75-1,))*1</f>
        <v>142.73461209191001</v>
      </c>
      <c r="DL75" cm="1">
        <f t="array" aca="1" ref="DL75" ca="1">IF(ISNA(N75),,OFFSET(INDIRECT("'"&amp;EC$67&amp;"'!f1"),N75-1,))*1</f>
        <v>2.84661939367651E-2</v>
      </c>
      <c r="DM75" cm="1">
        <f t="array" aca="1" ref="DM75" ca="1">IF(ISNA(O75),,OFFSET(INDIRECT("'"&amp;ED$67&amp;"'!f1"),O75-1,))*1</f>
        <v>2.98389857634902E-2</v>
      </c>
      <c r="DN75" cm="1">
        <f t="array" aca="1" ref="DN75" ca="1">IF(ISNA(P75),,OFFSET(INDIRECT("'"&amp;EE$67&amp;"'!f1"),P75-1,))*1</f>
        <v>5.5634681135416003E-2</v>
      </c>
      <c r="DT75">
        <f t="shared" ca="1" si="54"/>
        <v>1</v>
      </c>
      <c r="DU75">
        <f t="shared" ca="1" si="43"/>
        <v>1</v>
      </c>
      <c r="DV75">
        <f t="shared" ca="1" si="43"/>
        <v>0</v>
      </c>
      <c r="DW75">
        <f t="shared" ca="1" si="43"/>
        <v>0</v>
      </c>
      <c r="DX75">
        <f t="shared" ca="1" si="43"/>
        <v>1</v>
      </c>
      <c r="DY75">
        <f t="shared" ca="1" si="43"/>
        <v>1</v>
      </c>
      <c r="DZ75">
        <f t="shared" ca="1" si="43"/>
        <v>1162</v>
      </c>
      <c r="EA75">
        <f t="shared" ca="1" si="43"/>
        <v>7731</v>
      </c>
      <c r="EB75">
        <f t="shared" ca="1" si="43"/>
        <v>562</v>
      </c>
      <c r="EC75">
        <f t="shared" ca="1" si="43"/>
        <v>0</v>
      </c>
      <c r="ED75">
        <f t="shared" ca="1" si="43"/>
        <v>0</v>
      </c>
      <c r="EE75">
        <f t="shared" ca="1" si="43"/>
        <v>0</v>
      </c>
      <c r="EK75" cm="1">
        <f t="array" aca="1" ref="EK75" ca="1">IF(ISNA(E75),0,OFFSET(INDIRECT("'"&amp;EK$67&amp;"'!g1"),E75-1,)*CL75)</f>
        <v>1</v>
      </c>
      <c r="EL75" cm="1">
        <f t="array" aca="1" ref="EL75" ca="1">IF(ISNA(F75),0,OFFSET(INDIRECT("'"&amp;EL$67&amp;"'!g1"),F75-1,)*CM75)</f>
        <v>1</v>
      </c>
      <c r="EM75" cm="1">
        <f t="array" aca="1" ref="EM75" ca="1">IF(ISNA(G75),0,OFFSET(INDIRECT("'"&amp;EM$67&amp;"'!g1"),G75-1,)*CN75)</f>
        <v>0</v>
      </c>
      <c r="EN75" cm="1">
        <f t="array" aca="1" ref="EN75" ca="1">IF(ISNA(H75),0,OFFSET(INDIRECT("'"&amp;EN$67&amp;"'!g1"),H75-1,)*CO75)</f>
        <v>0</v>
      </c>
      <c r="EO75" cm="1">
        <f t="array" aca="1" ref="EO75" ca="1">IF(ISNA(I75),0,OFFSET(INDIRECT("'"&amp;EO$67&amp;"'!g1"),I75-1,)*CP75)</f>
        <v>1</v>
      </c>
      <c r="EP75" cm="1">
        <f t="array" aca="1" ref="EP75" ca="1">IF(ISNA(J75),0,OFFSET(INDIRECT("'"&amp;EP$67&amp;"'!g1"),J75-1,)*CQ75)</f>
        <v>1</v>
      </c>
      <c r="EQ75" cm="1">
        <f t="array" aca="1" ref="EQ75" ca="1">IF(ISNA(K75),0,OFFSET(INDIRECT("'"&amp;EQ$67&amp;"'!g1"),K75-1,)*CR75)</f>
        <v>1162</v>
      </c>
      <c r="ER75" cm="1">
        <f t="array" aca="1" ref="ER75" ca="1">IF(ISNA(L75),0,OFFSET(INDIRECT("'"&amp;ER$67&amp;"'!g1"),L75-1,)*CS75)</f>
        <v>7731</v>
      </c>
      <c r="ES75" cm="1">
        <f t="array" aca="1" ref="ES75" ca="1">IF(ISNA(M75),0,OFFSET(INDIRECT("'"&amp;ES$67&amp;"'!g1"),M75-1,)*CT75)</f>
        <v>562</v>
      </c>
      <c r="ET75" cm="1">
        <f t="array" aca="1" ref="ET75" ca="1">IF(ISNA(N75),0,OFFSET(INDIRECT("'"&amp;ET$67&amp;"'!g1"),N75-1,)*CU75)</f>
        <v>0</v>
      </c>
      <c r="EU75" cm="1">
        <f t="array" aca="1" ref="EU75" ca="1">IF(ISNA(O75),0,OFFSET(INDIRECT("'"&amp;EU$67&amp;"'!g1"),O75-1,)*CV75)</f>
        <v>0</v>
      </c>
      <c r="EV75" cm="1">
        <f t="array" aca="1" ref="EV75" ca="1">IF(ISNA(P75),0,OFFSET(INDIRECT("'"&amp;EV$67&amp;"'!g1"),P75-1,)*CW75)</f>
        <v>0</v>
      </c>
      <c r="FB75" s="10" cm="1">
        <f t="array" aca="1" ref="FB75" ca="1">IF(ISNA(E75),0,OFFSET(INDIRECT("'"&amp;EK$67&amp;"'!h1"),E75-1,))</f>
        <v>1</v>
      </c>
      <c r="FC75" s="10" cm="1">
        <f t="array" aca="1" ref="FC75" ca="1">IF(ISNA(F75),0,OFFSET(INDIRECT("'"&amp;EL$67&amp;"'!h1"),F75-1,))</f>
        <v>1</v>
      </c>
      <c r="FD75" s="10" cm="1">
        <f t="array" aca="1" ref="FD75" ca="1">IF(ISNA(G75),0,OFFSET(INDIRECT("'"&amp;EM$67&amp;"'!h1"),G75-1,))</f>
        <v>1</v>
      </c>
      <c r="FE75" s="10" cm="1">
        <f t="array" aca="1" ref="FE75" ca="1">IF(ISNA(H75),0,OFFSET(INDIRECT("'"&amp;EN$67&amp;"'!h1"),H75-1,))</f>
        <v>1</v>
      </c>
      <c r="FF75" s="10" cm="1">
        <f t="array" aca="1" ref="FF75" ca="1">IF(ISNA(I75),0,OFFSET(INDIRECT("'"&amp;EO$67&amp;"'!h1"),I75-1,))</f>
        <v>1</v>
      </c>
      <c r="FG75" s="10" cm="1">
        <f t="array" aca="1" ref="FG75" ca="1">IF(ISNA(J75),0,OFFSET(INDIRECT("'"&amp;EP$67&amp;"'!h1"),J75-1,))</f>
        <v>1</v>
      </c>
      <c r="FH75" s="10" cm="1">
        <f t="array" aca="1" ref="FH75" ca="1">IF(ISNA(K75),0,OFFSET(INDIRECT("'"&amp;EQ$67&amp;"'!h1"),K75-1,))</f>
        <v>10000</v>
      </c>
      <c r="FI75" s="10" cm="1">
        <f t="array" aca="1" ref="FI75" ca="1">IF(ISNA(L75),0,OFFSET(INDIRECT("'"&amp;ER$67&amp;"'!h1"),L75-1,))</f>
        <v>10000</v>
      </c>
      <c r="FJ75" s="10" cm="1">
        <f t="array" aca="1" ref="FJ75" ca="1">IF(ISNA(M75),0,OFFSET(INDIRECT("'"&amp;ES$67&amp;"'!h1"),M75-1,))</f>
        <v>10000</v>
      </c>
      <c r="FK75" s="10" cm="1">
        <f t="array" aca="1" ref="FK75" ca="1">IF(ISNA(N75),0,OFFSET(INDIRECT("'"&amp;ET$67&amp;"'!h1"),N75-1,))</f>
        <v>1</v>
      </c>
      <c r="FL75" s="10" cm="1">
        <f t="array" aca="1" ref="FL75" ca="1">IF(ISNA(O75),0,OFFSET(INDIRECT("'"&amp;EU$67&amp;"'!h1"),O75-1,))</f>
        <v>1</v>
      </c>
      <c r="FM75" s="10" cm="1">
        <f t="array" aca="1" ref="FM75" ca="1">IF(ISNA(P75),0,OFFSET(INDIRECT("'"&amp;EV$67&amp;"'!h1"),P75-1,))</f>
        <v>9</v>
      </c>
      <c r="FN75" s="10"/>
      <c r="FO75" s="10"/>
      <c r="FP75" s="10"/>
      <c r="FQ75" s="10"/>
      <c r="FS75">
        <f t="shared" ca="1" si="55"/>
        <v>150</v>
      </c>
      <c r="FT75">
        <f t="shared" ca="1" si="56"/>
        <v>6.77960797492414</v>
      </c>
      <c r="FU75">
        <f t="shared" ca="1" si="57"/>
        <v>1162</v>
      </c>
      <c r="FV75">
        <f t="shared" ca="1" si="58"/>
        <v>10000</v>
      </c>
      <c r="FW75" s="4">
        <f t="shared" ca="1" si="59"/>
        <v>0.1162</v>
      </c>
      <c r="FX75" s="5">
        <f t="shared" ca="1" si="60"/>
        <v>5.8344302710190534E-3</v>
      </c>
      <c r="FZ75" s="13">
        <f t="shared" ca="1" si="44"/>
        <v>150</v>
      </c>
      <c r="GA75" s="23">
        <f t="shared" ca="1" si="61"/>
        <v>0</v>
      </c>
      <c r="GB75" s="23">
        <f t="shared" ca="1" si="45"/>
        <v>0</v>
      </c>
      <c r="GC75" s="23">
        <f t="shared" ca="1" si="45"/>
        <v>2.625</v>
      </c>
      <c r="GD75" s="23" t="e">
        <f t="shared" ca="1" si="45"/>
        <v>#N/A</v>
      </c>
      <c r="GE75" s="23">
        <f t="shared" ca="1" si="45"/>
        <v>0</v>
      </c>
      <c r="GF75" s="23">
        <f t="shared" ca="1" si="45"/>
        <v>0</v>
      </c>
      <c r="GG75" s="23">
        <f t="shared" ca="1" si="45"/>
        <v>0</v>
      </c>
      <c r="GH75" s="23">
        <f t="shared" ca="1" si="45"/>
        <v>0</v>
      </c>
      <c r="GI75" s="23">
        <f t="shared" ca="1" si="45"/>
        <v>0</v>
      </c>
      <c r="GJ75" s="23" t="e">
        <f t="shared" ca="1" si="45"/>
        <v>#N/A</v>
      </c>
      <c r="GK75" s="23" t="e">
        <f t="shared" ca="1" si="45"/>
        <v>#N/A</v>
      </c>
      <c r="GL75" s="23" t="e">
        <f t="shared" ca="1" si="45"/>
        <v>#N/A</v>
      </c>
      <c r="GM75" s="23"/>
      <c r="GN75">
        <f t="shared" ca="1" si="62"/>
        <v>150</v>
      </c>
      <c r="GO75" s="5" t="e">
        <f t="shared" ca="1" si="63"/>
        <v>#N/A</v>
      </c>
      <c r="GP75" s="5" t="e">
        <f t="shared" ca="1" si="46"/>
        <v>#N/A</v>
      </c>
      <c r="GQ75" s="5" t="e">
        <f t="shared" ca="1" si="46"/>
        <v>#N/A</v>
      </c>
      <c r="GR75" s="5" t="e">
        <f t="shared" ca="1" si="46"/>
        <v>#N/A</v>
      </c>
      <c r="GS75" s="5">
        <f t="shared" ca="1" si="46"/>
        <v>1.5480170829978299</v>
      </c>
      <c r="GT75" s="5">
        <f t="shared" ca="1" si="64"/>
        <v>0.54461753088980902</v>
      </c>
      <c r="GU75" s="5">
        <f t="shared" ca="1" si="47"/>
        <v>5.8344302710190534E-3</v>
      </c>
      <c r="GV75" s="5">
        <f t="shared" ca="1" si="47"/>
        <v>9.2284783444861987E-4</v>
      </c>
      <c r="GW75" s="5">
        <f t="shared" ca="1" si="47"/>
        <v>0.25397617809948403</v>
      </c>
      <c r="GX75" s="5" t="e">
        <f t="shared" ca="1" si="47"/>
        <v>#N/A</v>
      </c>
      <c r="GY75" s="5" t="e">
        <f t="shared" ca="1" si="47"/>
        <v>#N/A</v>
      </c>
      <c r="GZ75" s="5" t="e">
        <f t="shared" ca="1" si="47"/>
        <v>#N/A</v>
      </c>
      <c r="HB75" s="13">
        <f t="shared" ca="1" si="48"/>
        <v>150</v>
      </c>
      <c r="HC75" s="4">
        <f t="shared" ca="1" si="65"/>
        <v>1</v>
      </c>
      <c r="HD75" s="4">
        <f t="shared" ca="1" si="49"/>
        <v>1</v>
      </c>
      <c r="HE75" s="4">
        <f t="shared" ca="1" si="49"/>
        <v>0</v>
      </c>
      <c r="HF75" s="4">
        <f t="shared" ca="1" si="49"/>
        <v>0</v>
      </c>
      <c r="HG75" s="4">
        <f t="shared" ca="1" si="49"/>
        <v>1</v>
      </c>
      <c r="HH75" s="4">
        <f t="shared" ca="1" si="49"/>
        <v>1</v>
      </c>
      <c r="HI75" s="4">
        <f t="shared" ca="1" si="49"/>
        <v>0.1162</v>
      </c>
      <c r="HJ75" s="4">
        <f t="shared" ca="1" si="49"/>
        <v>0.77310000000000001</v>
      </c>
      <c r="HK75" s="4">
        <f t="shared" ca="1" si="49"/>
        <v>5.62E-2</v>
      </c>
      <c r="HL75" s="4">
        <f t="shared" ca="1" si="49"/>
        <v>0</v>
      </c>
      <c r="HM75" s="4">
        <f t="shared" ca="1" si="49"/>
        <v>0</v>
      </c>
      <c r="HN75" s="4">
        <f t="shared" ca="1" si="49"/>
        <v>0</v>
      </c>
    </row>
    <row r="76" spans="1:222" x14ac:dyDescent="0.2">
      <c r="A76" t="str" cm="1">
        <f t="array" aca="1" ref="A76" ca="1">INDIRECT($A$67&amp;"!A"&amp;ROW(C9)+$B$64)</f>
        <v>[[155,64,20]]</v>
      </c>
      <c r="B76" cm="1">
        <f t="array" aca="1" ref="B76" ca="1">INDIRECT($A$67&amp;"!b"&amp;ROW(D9)+$B$64)</f>
        <v>155</v>
      </c>
      <c r="C76">
        <f t="shared" ca="1" si="50"/>
        <v>20</v>
      </c>
      <c r="E76">
        <f t="shared" ca="1" si="37"/>
        <v>33</v>
      </c>
      <c r="F76">
        <f t="shared" ca="1" si="37"/>
        <v>34</v>
      </c>
      <c r="G76">
        <f t="shared" ca="1" si="37"/>
        <v>33</v>
      </c>
      <c r="H76">
        <f t="shared" ca="1" si="37"/>
        <v>33</v>
      </c>
      <c r="I76">
        <f t="shared" ca="1" si="37"/>
        <v>36</v>
      </c>
      <c r="J76">
        <f t="shared" ca="1" si="37"/>
        <v>33</v>
      </c>
      <c r="K76">
        <f t="shared" ca="1" si="37"/>
        <v>40</v>
      </c>
      <c r="L76">
        <f t="shared" ca="1" si="37"/>
        <v>42</v>
      </c>
      <c r="M76">
        <f t="shared" ca="1" si="37"/>
        <v>39</v>
      </c>
      <c r="N76">
        <f t="shared" ca="1" si="37"/>
        <v>37</v>
      </c>
      <c r="O76">
        <f t="shared" ca="1" si="37"/>
        <v>37</v>
      </c>
      <c r="P76">
        <f t="shared" ca="1" si="37"/>
        <v>37</v>
      </c>
      <c r="V76" cm="1">
        <f t="array" aca="1" ref="V76" ca="1">IF(ISNA(E76),,OFFSET(INDIRECT("'"&amp;V$67&amp;"'!d1"),E76-1,))</f>
        <v>20</v>
      </c>
      <c r="W76" cm="1">
        <f t="array" aca="1" ref="W76" ca="1">IF(ISNA(F76),,OFFSET(INDIRECT("'"&amp;W$67&amp;"'!d1"),F76-1,))</f>
        <v>20</v>
      </c>
      <c r="X76" cm="1">
        <f t="array" aca="1" ref="X76" ca="1">IF(ISNA(G76),,OFFSET(INDIRECT("'"&amp;X$67&amp;"'!d1"),G76-1,))</f>
        <v>62</v>
      </c>
      <c r="Y76" cm="1">
        <f t="array" aca="1" ref="Y76" ca="1">IF(ISNA(H76),,OFFSET(INDIRECT("'"&amp;Y$67&amp;"'!d1"),H76-1,))</f>
        <v>0</v>
      </c>
      <c r="Z76" cm="1">
        <f t="array" aca="1" ref="Z76" ca="1">IF(ISNA(I76),,OFFSET(INDIRECT("'"&amp;Z$67&amp;"'!d1"),I76-1,))</f>
        <v>20</v>
      </c>
      <c r="AA76" cm="1">
        <f t="array" aca="1" ref="AA76" ca="1">IF(ISNA(J76),,OFFSET(INDIRECT("'"&amp;AA$67&amp;"'!d1"),J76-1,))</f>
        <v>20</v>
      </c>
      <c r="AB76" cm="1">
        <f t="array" aca="1" ref="AB76" ca="1">IF(ISNA(K76),,OFFSET(INDIRECT("'"&amp;AB$67&amp;"'!d1"),K76-1,))</f>
        <v>20</v>
      </c>
      <c r="AC76" cm="1">
        <f t="array" aca="1" ref="AC76" ca="1">IF(ISNA(L76),,OFFSET(INDIRECT("'"&amp;AC$67&amp;"'!d1"),L76-1,))</f>
        <v>20</v>
      </c>
      <c r="AD76" cm="1">
        <f t="array" aca="1" ref="AD76" ca="1">IF(ISNA(M76),,OFFSET(INDIRECT("'"&amp;AD$67&amp;"'!d1"),M76-1,))</f>
        <v>20</v>
      </c>
      <c r="AE76" cm="1">
        <f t="array" aca="1" ref="AE76" ca="1">IF(ISNA(N76),,OFFSET(INDIRECT("'"&amp;AE$67&amp;"'!d1"),N76-1,))</f>
        <v>0</v>
      </c>
      <c r="AF76" cm="1">
        <f t="array" aca="1" ref="AF76" ca="1">IF(ISNA(O76),,OFFSET(INDIRECT("'"&amp;AF$67&amp;"'!d1"),O76-1,))</f>
        <v>0</v>
      </c>
      <c r="AG76" cm="1">
        <f t="array" aca="1" ref="AG76" ca="1">IF(ISNA(P76),,OFFSET(INDIRECT("'"&amp;AG$67&amp;"'!d1"),P76-1,))</f>
        <v>0</v>
      </c>
      <c r="AM76">
        <f t="shared" ca="1" si="51"/>
        <v>0</v>
      </c>
      <c r="AN76">
        <f t="shared" ca="1" si="38"/>
        <v>0</v>
      </c>
      <c r="AO76">
        <f t="shared" ca="1" si="38"/>
        <v>0</v>
      </c>
      <c r="AP76">
        <f t="shared" ca="1" si="38"/>
        <v>0</v>
      </c>
      <c r="AQ76">
        <f t="shared" ca="1" si="52"/>
        <v>1</v>
      </c>
      <c r="AV76" t="str">
        <f t="shared" ca="1" si="53"/>
        <v/>
      </c>
      <c r="AW76" t="str">
        <f t="shared" ca="1" si="39"/>
        <v/>
      </c>
      <c r="AX76" t="str">
        <f t="shared" ca="1" si="39"/>
        <v/>
      </c>
      <c r="AY76" t="str">
        <f t="shared" ca="1" si="39"/>
        <v/>
      </c>
      <c r="AZ76" t="b">
        <f t="shared" ca="1" si="39"/>
        <v>1</v>
      </c>
      <c r="BD76">
        <f t="shared" ca="1" si="40"/>
        <v>1</v>
      </c>
      <c r="BE76">
        <f t="shared" ca="1" si="40"/>
        <v>1</v>
      </c>
      <c r="BF76">
        <f t="shared" ca="1" si="40"/>
        <v>1</v>
      </c>
      <c r="BG76">
        <f t="shared" ca="1" si="40"/>
        <v>0</v>
      </c>
      <c r="BH76">
        <f t="shared" ca="1" si="40"/>
        <v>1</v>
      </c>
      <c r="BI76">
        <f t="shared" ca="1" si="40"/>
        <v>1</v>
      </c>
      <c r="BJ76">
        <f t="shared" ca="1" si="40"/>
        <v>1</v>
      </c>
      <c r="BK76">
        <f t="shared" ca="1" si="40"/>
        <v>1</v>
      </c>
      <c r="BL76">
        <f t="shared" ca="1" si="40"/>
        <v>1</v>
      </c>
      <c r="BM76">
        <f t="shared" ca="1" si="40"/>
        <v>0</v>
      </c>
      <c r="BN76">
        <f t="shared" ca="1" si="40"/>
        <v>0</v>
      </c>
      <c r="BO76">
        <f t="shared" ca="1" si="40"/>
        <v>0</v>
      </c>
      <c r="BU76">
        <f t="shared" ca="1" si="41"/>
        <v>20</v>
      </c>
      <c r="BV76">
        <f t="shared" ca="1" si="41"/>
        <v>20</v>
      </c>
      <c r="BW76">
        <f t="shared" ca="1" si="41"/>
        <v>62</v>
      </c>
      <c r="BX76">
        <f t="shared" ca="1" si="41"/>
        <v>155</v>
      </c>
      <c r="BY76">
        <f t="shared" ca="1" si="41"/>
        <v>20</v>
      </c>
      <c r="BZ76">
        <f t="shared" ca="1" si="41"/>
        <v>20</v>
      </c>
      <c r="CA76">
        <f t="shared" ca="1" si="41"/>
        <v>20</v>
      </c>
      <c r="CB76">
        <f t="shared" ca="1" si="41"/>
        <v>20</v>
      </c>
      <c r="CC76">
        <f t="shared" ca="1" si="41"/>
        <v>20</v>
      </c>
      <c r="CD76">
        <f t="shared" ca="1" si="41"/>
        <v>155</v>
      </c>
      <c r="CE76">
        <f t="shared" ca="1" si="41"/>
        <v>155</v>
      </c>
      <c r="CF76">
        <f t="shared" ca="1" si="41"/>
        <v>155</v>
      </c>
      <c r="CL76">
        <f t="shared" ca="1" si="42"/>
        <v>1</v>
      </c>
      <c r="CM76">
        <f t="shared" ca="1" si="42"/>
        <v>1</v>
      </c>
      <c r="CN76">
        <f t="shared" ca="1" si="42"/>
        <v>0</v>
      </c>
      <c r="CO76">
        <f t="shared" ca="1" si="42"/>
        <v>0</v>
      </c>
      <c r="CP76">
        <f t="shared" ca="1" si="42"/>
        <v>1</v>
      </c>
      <c r="CQ76">
        <f t="shared" ca="1" si="42"/>
        <v>1</v>
      </c>
      <c r="CR76">
        <f t="shared" ca="1" si="42"/>
        <v>1</v>
      </c>
      <c r="CS76">
        <f t="shared" ca="1" si="42"/>
        <v>1</v>
      </c>
      <c r="CT76">
        <f t="shared" ca="1" si="42"/>
        <v>1</v>
      </c>
      <c r="CU76">
        <f t="shared" ca="1" si="42"/>
        <v>0</v>
      </c>
      <c r="CV76">
        <f t="shared" ca="1" si="42"/>
        <v>0</v>
      </c>
      <c r="CW76">
        <f t="shared" ca="1" si="42"/>
        <v>0</v>
      </c>
      <c r="DC76" cm="1">
        <f t="array" aca="1" ref="DC76" ca="1">IF(ISNA(E76),,OFFSET(INDIRECT("'"&amp;DT$67&amp;"'!f1"),E76-1,))*1</f>
        <v>28916.240508132101</v>
      </c>
      <c r="DD76" cm="1">
        <f t="array" aca="1" ref="DD76" ca="1">IF(ISNA(F76),,OFFSET(INDIRECT("'"&amp;DU$67&amp;"'!f1"),F76-1,))*1</f>
        <v>28812.826393418902</v>
      </c>
      <c r="DE76" cm="1">
        <f t="array" aca="1" ref="DE76" ca="1">IF(ISNA(G76),,OFFSET(INDIRECT("'"&amp;DV$67&amp;"'!f1"),G76-1,))*1</f>
        <v>28800.244442980202</v>
      </c>
      <c r="DF76" cm="1">
        <f t="array" aca="1" ref="DF76" ca="1">IF(ISNA(H76),,OFFSET(INDIRECT("'"&amp;DW$67&amp;"'!f1"),H76-1,))*1</f>
        <v>28800.1701878639</v>
      </c>
      <c r="DG76" cm="1">
        <f t="array" aca="1" ref="DG76" ca="1">IF(ISNA(I76),,OFFSET(INDIRECT("'"&amp;DX$67&amp;"'!f1"),I76-1,))*1</f>
        <v>91.853064750000996</v>
      </c>
      <c r="DH76" cm="1">
        <f t="array" aca="1" ref="DH76" ca="1">IF(ISNA(J76),,OFFSET(INDIRECT("'"&amp;DY$67&amp;"'!f1"),J76-1,))*1</f>
        <v>0.58857724303379599</v>
      </c>
      <c r="DI76" cm="1">
        <f t="array" aca="1" ref="DI76" ca="1">IF(ISNA(K76),,OFFSET(INDIRECT("'"&amp;DZ$67&amp;"'!f1"),K76-1,))*1</f>
        <v>7.1110872915014598</v>
      </c>
      <c r="DJ76" cm="1">
        <f t="array" aca="1" ref="DJ76" ca="1">IF(ISNA(L76),,OFFSET(INDIRECT("'"&amp;EA$67&amp;"'!f1"),L76-1,))*1</f>
        <v>7.6499531827866996</v>
      </c>
      <c r="DK76" cm="1">
        <f t="array" aca="1" ref="DK76" ca="1">IF(ISNA(M76),,OFFSET(INDIRECT("'"&amp;EB$67&amp;"'!f1"),M76-1,))*1</f>
        <v>185.165068866219</v>
      </c>
      <c r="DL76" cm="1">
        <f t="array" aca="1" ref="DL76" ca="1">IF(ISNA(N76),,OFFSET(INDIRECT("'"&amp;EC$67&amp;"'!f1"),N76-1,))*1</f>
        <v>2.9578453861176902E-2</v>
      </c>
      <c r="DM76" cm="1">
        <f t="array" aca="1" ref="DM76" ca="1">IF(ISNA(O76),,OFFSET(INDIRECT("'"&amp;ED$67&amp;"'!f1"),O76-1,))*1</f>
        <v>3.0995056964457E-2</v>
      </c>
      <c r="DN76" cm="1">
        <f t="array" aca="1" ref="DN76" ca="1">IF(ISNA(P76),,OFFSET(INDIRECT("'"&amp;EE$67&amp;"'!f1"),P76-1,))*1</f>
        <v>5.6280314922332701E-2</v>
      </c>
      <c r="DT76">
        <f t="shared" ca="1" si="54"/>
        <v>1</v>
      </c>
      <c r="DU76">
        <f t="shared" ca="1" si="43"/>
        <v>1</v>
      </c>
      <c r="DV76">
        <f t="shared" ca="1" si="43"/>
        <v>0</v>
      </c>
      <c r="DW76">
        <f t="shared" ca="1" si="43"/>
        <v>0</v>
      </c>
      <c r="DX76">
        <f t="shared" ca="1" si="43"/>
        <v>1</v>
      </c>
      <c r="DY76">
        <f t="shared" ca="1" si="43"/>
        <v>1</v>
      </c>
      <c r="DZ76">
        <f t="shared" ca="1" si="43"/>
        <v>1205</v>
      </c>
      <c r="EA76">
        <f t="shared" ca="1" si="43"/>
        <v>7051</v>
      </c>
      <c r="EB76">
        <f t="shared" ca="1" si="43"/>
        <v>774</v>
      </c>
      <c r="EC76">
        <f t="shared" ca="1" si="43"/>
        <v>0</v>
      </c>
      <c r="ED76">
        <f t="shared" ca="1" si="43"/>
        <v>0</v>
      </c>
      <c r="EE76">
        <f t="shared" ca="1" si="43"/>
        <v>0</v>
      </c>
      <c r="EK76" cm="1">
        <f t="array" aca="1" ref="EK76" ca="1">IF(ISNA(E76),0,OFFSET(INDIRECT("'"&amp;EK$67&amp;"'!g1"),E76-1,)*CL76)</f>
        <v>1</v>
      </c>
      <c r="EL76" cm="1">
        <f t="array" aca="1" ref="EL76" ca="1">IF(ISNA(F76),0,OFFSET(INDIRECT("'"&amp;EL$67&amp;"'!g1"),F76-1,)*CM76)</f>
        <v>1</v>
      </c>
      <c r="EM76" cm="1">
        <f t="array" aca="1" ref="EM76" ca="1">IF(ISNA(G76),0,OFFSET(INDIRECT("'"&amp;EM$67&amp;"'!g1"),G76-1,)*CN76)</f>
        <v>0</v>
      </c>
      <c r="EN76" cm="1">
        <f t="array" aca="1" ref="EN76" ca="1">IF(ISNA(H76),0,OFFSET(INDIRECT("'"&amp;EN$67&amp;"'!g1"),H76-1,)*CO76)</f>
        <v>0</v>
      </c>
      <c r="EO76" cm="1">
        <f t="array" aca="1" ref="EO76" ca="1">IF(ISNA(I76),0,OFFSET(INDIRECT("'"&amp;EO$67&amp;"'!g1"),I76-1,)*CP76)</f>
        <v>1</v>
      </c>
      <c r="EP76" cm="1">
        <f t="array" aca="1" ref="EP76" ca="1">IF(ISNA(J76),0,OFFSET(INDIRECT("'"&amp;EP$67&amp;"'!g1"),J76-1,)*CQ76)</f>
        <v>1</v>
      </c>
      <c r="EQ76" cm="1">
        <f t="array" aca="1" ref="EQ76" ca="1">IF(ISNA(K76),0,OFFSET(INDIRECT("'"&amp;EQ$67&amp;"'!g1"),K76-1,)*CR76)</f>
        <v>1205</v>
      </c>
      <c r="ER76" cm="1">
        <f t="array" aca="1" ref="ER76" ca="1">IF(ISNA(L76),0,OFFSET(INDIRECT("'"&amp;ER$67&amp;"'!g1"),L76-1,)*CS76)</f>
        <v>7051</v>
      </c>
      <c r="ES76" cm="1">
        <f t="array" aca="1" ref="ES76" ca="1">IF(ISNA(M76),0,OFFSET(INDIRECT("'"&amp;ES$67&amp;"'!g1"),M76-1,)*CT76)</f>
        <v>774</v>
      </c>
      <c r="ET76" cm="1">
        <f t="array" aca="1" ref="ET76" ca="1">IF(ISNA(N76),0,OFFSET(INDIRECT("'"&amp;ET$67&amp;"'!g1"),N76-1,)*CU76)</f>
        <v>0</v>
      </c>
      <c r="EU76" cm="1">
        <f t="array" aca="1" ref="EU76" ca="1">IF(ISNA(O76),0,OFFSET(INDIRECT("'"&amp;EU$67&amp;"'!g1"),O76-1,)*CV76)</f>
        <v>0</v>
      </c>
      <c r="EV76" cm="1">
        <f t="array" aca="1" ref="EV76" ca="1">IF(ISNA(P76),0,OFFSET(INDIRECT("'"&amp;EV$67&amp;"'!g1"),P76-1,)*CW76)</f>
        <v>0</v>
      </c>
      <c r="FB76" s="10" cm="1">
        <f t="array" aca="1" ref="FB76" ca="1">IF(ISNA(E76),0,OFFSET(INDIRECT("'"&amp;EK$67&amp;"'!h1"),E76-1,))</f>
        <v>1</v>
      </c>
      <c r="FC76" s="10" cm="1">
        <f t="array" aca="1" ref="FC76" ca="1">IF(ISNA(F76),0,OFFSET(INDIRECT("'"&amp;EL$67&amp;"'!h1"),F76-1,))</f>
        <v>1</v>
      </c>
      <c r="FD76" s="10" cm="1">
        <f t="array" aca="1" ref="FD76" ca="1">IF(ISNA(G76),0,OFFSET(INDIRECT("'"&amp;EM$67&amp;"'!h1"),G76-1,))</f>
        <v>1</v>
      </c>
      <c r="FE76" s="10" cm="1">
        <f t="array" aca="1" ref="FE76" ca="1">IF(ISNA(H76),0,OFFSET(INDIRECT("'"&amp;EN$67&amp;"'!h1"),H76-1,))</f>
        <v>1</v>
      </c>
      <c r="FF76" s="10" cm="1">
        <f t="array" aca="1" ref="FF76" ca="1">IF(ISNA(I76),0,OFFSET(INDIRECT("'"&amp;EO$67&amp;"'!h1"),I76-1,))</f>
        <v>1</v>
      </c>
      <c r="FG76" s="10" cm="1">
        <f t="array" aca="1" ref="FG76" ca="1">IF(ISNA(J76),0,OFFSET(INDIRECT("'"&amp;EP$67&amp;"'!h1"),J76-1,))</f>
        <v>1</v>
      </c>
      <c r="FH76" s="10" cm="1">
        <f t="array" aca="1" ref="FH76" ca="1">IF(ISNA(K76),0,OFFSET(INDIRECT("'"&amp;EQ$67&amp;"'!h1"),K76-1,))</f>
        <v>10000</v>
      </c>
      <c r="FI76" s="10" cm="1">
        <f t="array" aca="1" ref="FI76" ca="1">IF(ISNA(L76),0,OFFSET(INDIRECT("'"&amp;ER$67&amp;"'!h1"),L76-1,))</f>
        <v>10000</v>
      </c>
      <c r="FJ76" s="10" cm="1">
        <f t="array" aca="1" ref="FJ76" ca="1">IF(ISNA(M76),0,OFFSET(INDIRECT("'"&amp;ES$67&amp;"'!h1"),M76-1,))</f>
        <v>10000</v>
      </c>
      <c r="FK76" s="10" cm="1">
        <f t="array" aca="1" ref="FK76" ca="1">IF(ISNA(N76),0,OFFSET(INDIRECT("'"&amp;ET$67&amp;"'!h1"),N76-1,))</f>
        <v>1</v>
      </c>
      <c r="FL76" s="10" cm="1">
        <f t="array" aca="1" ref="FL76" ca="1">IF(ISNA(O76),0,OFFSET(INDIRECT("'"&amp;EU$67&amp;"'!h1"),O76-1,))</f>
        <v>1</v>
      </c>
      <c r="FM76" s="10" cm="1">
        <f t="array" aca="1" ref="FM76" ca="1">IF(ISNA(P76),0,OFFSET(INDIRECT("'"&amp;EV$67&amp;"'!h1"),P76-1,))</f>
        <v>9</v>
      </c>
      <c r="FN76" s="10"/>
      <c r="FO76" s="10"/>
      <c r="FP76" s="10"/>
      <c r="FQ76" s="10"/>
      <c r="FS76">
        <f t="shared" ca="1" si="55"/>
        <v>155</v>
      </c>
      <c r="FT76">
        <f t="shared" ca="1" si="56"/>
        <v>7.1110872915014598</v>
      </c>
      <c r="FU76">
        <f t="shared" ca="1" si="57"/>
        <v>1205</v>
      </c>
      <c r="FV76">
        <f t="shared" ca="1" si="58"/>
        <v>10000</v>
      </c>
      <c r="FW76" s="4">
        <f t="shared" ca="1" si="59"/>
        <v>0.1205</v>
      </c>
      <c r="FX76" s="5">
        <f t="shared" ca="1" si="60"/>
        <v>5.9013172543580577E-3</v>
      </c>
      <c r="FZ76" s="13">
        <f t="shared" ca="1" si="44"/>
        <v>155</v>
      </c>
      <c r="GA76" s="23">
        <f t="shared" ca="1" si="61"/>
        <v>0</v>
      </c>
      <c r="GB76" s="23">
        <f t="shared" ca="1" si="45"/>
        <v>0</v>
      </c>
      <c r="GC76" s="23">
        <f t="shared" ca="1" si="45"/>
        <v>2.1</v>
      </c>
      <c r="GD76" s="23" t="e">
        <f t="shared" ca="1" si="45"/>
        <v>#N/A</v>
      </c>
      <c r="GE76" s="23">
        <f t="shared" ca="1" si="45"/>
        <v>0</v>
      </c>
      <c r="GF76" s="23">
        <f t="shared" ca="1" si="45"/>
        <v>0</v>
      </c>
      <c r="GG76" s="23">
        <f t="shared" ca="1" si="45"/>
        <v>0</v>
      </c>
      <c r="GH76" s="23">
        <f t="shared" ca="1" si="45"/>
        <v>0</v>
      </c>
      <c r="GI76" s="23">
        <f t="shared" ca="1" si="45"/>
        <v>0</v>
      </c>
      <c r="GJ76" s="23" t="e">
        <f t="shared" ca="1" si="45"/>
        <v>#N/A</v>
      </c>
      <c r="GK76" s="23" t="e">
        <f t="shared" ca="1" si="45"/>
        <v>#N/A</v>
      </c>
      <c r="GL76" s="23" t="e">
        <f t="shared" ca="1" si="45"/>
        <v>#N/A</v>
      </c>
      <c r="GM76" s="23"/>
      <c r="GN76">
        <f t="shared" ca="1" si="62"/>
        <v>155</v>
      </c>
      <c r="GO76" s="5" t="e">
        <f t="shared" ca="1" si="63"/>
        <v>#N/A</v>
      </c>
      <c r="GP76" s="5" t="e">
        <f t="shared" ca="1" si="46"/>
        <v>#N/A</v>
      </c>
      <c r="GQ76" s="5" t="e">
        <f t="shared" ca="1" si="46"/>
        <v>#N/A</v>
      </c>
      <c r="GR76" s="5" t="e">
        <f t="shared" ca="1" si="46"/>
        <v>#N/A</v>
      </c>
      <c r="GS76" s="5">
        <f t="shared" ca="1" si="46"/>
        <v>91.853064750000996</v>
      </c>
      <c r="GT76" s="5">
        <f t="shared" ca="1" si="64"/>
        <v>0.58857724303379599</v>
      </c>
      <c r="GU76" s="5">
        <f t="shared" ca="1" si="47"/>
        <v>5.9013172543580577E-3</v>
      </c>
      <c r="GV76" s="5">
        <f t="shared" ca="1" si="47"/>
        <v>1.0849458492109914E-3</v>
      </c>
      <c r="GW76" s="5">
        <f t="shared" ca="1" si="47"/>
        <v>0.23923135512431395</v>
      </c>
      <c r="GX76" s="5" t="e">
        <f t="shared" ca="1" si="47"/>
        <v>#N/A</v>
      </c>
      <c r="GY76" s="5" t="e">
        <f t="shared" ca="1" si="47"/>
        <v>#N/A</v>
      </c>
      <c r="GZ76" s="5" t="e">
        <f t="shared" ca="1" si="47"/>
        <v>#N/A</v>
      </c>
      <c r="HB76" s="13">
        <f t="shared" ca="1" si="48"/>
        <v>155</v>
      </c>
      <c r="HC76" s="4">
        <f t="shared" ca="1" si="65"/>
        <v>1</v>
      </c>
      <c r="HD76" s="4">
        <f t="shared" ca="1" si="49"/>
        <v>1</v>
      </c>
      <c r="HE76" s="4">
        <f t="shared" ca="1" si="49"/>
        <v>0</v>
      </c>
      <c r="HF76" s="4">
        <f t="shared" ca="1" si="49"/>
        <v>0</v>
      </c>
      <c r="HG76" s="4">
        <f t="shared" ca="1" si="49"/>
        <v>1</v>
      </c>
      <c r="HH76" s="4">
        <f t="shared" ca="1" si="49"/>
        <v>1</v>
      </c>
      <c r="HI76" s="4">
        <f t="shared" ca="1" si="49"/>
        <v>0.1205</v>
      </c>
      <c r="HJ76" s="4">
        <f t="shared" ca="1" si="49"/>
        <v>0.70509999999999995</v>
      </c>
      <c r="HK76" s="4">
        <f t="shared" ca="1" si="49"/>
        <v>7.7399999999999997E-2</v>
      </c>
      <c r="HL76" s="4">
        <f t="shared" ca="1" si="49"/>
        <v>0</v>
      </c>
      <c r="HM76" s="4">
        <f t="shared" ca="1" si="49"/>
        <v>0</v>
      </c>
      <c r="HN76" s="4">
        <f t="shared" ca="1" si="49"/>
        <v>0</v>
      </c>
    </row>
    <row r="77" spans="1:222" x14ac:dyDescent="0.2">
      <c r="A77" t="str" cm="1">
        <f t="array" aca="1" ref="A77" ca="1">INDIRECT($A$67&amp;"!A"&amp;ROW(C10)+$B$64)</f>
        <v>[[210,86,24]]</v>
      </c>
      <c r="B77" cm="1">
        <f t="array" aca="1" ref="B77" ca="1">INDIRECT($A$67&amp;"!b"&amp;ROW(D10)+$B$64)</f>
        <v>210</v>
      </c>
      <c r="C77">
        <f t="shared" ca="1" si="50"/>
        <v>24</v>
      </c>
      <c r="E77">
        <f t="shared" ca="1" si="37"/>
        <v>34</v>
      </c>
      <c r="F77">
        <f t="shared" ca="1" si="37"/>
        <v>35</v>
      </c>
      <c r="G77">
        <f t="shared" ca="1" si="37"/>
        <v>34</v>
      </c>
      <c r="H77">
        <f t="shared" ca="1" si="37"/>
        <v>34</v>
      </c>
      <c r="I77">
        <f t="shared" ca="1" si="37"/>
        <v>37</v>
      </c>
      <c r="J77">
        <f t="shared" ca="1" si="37"/>
        <v>34</v>
      </c>
      <c r="K77">
        <f t="shared" ca="1" si="37"/>
        <v>41</v>
      </c>
      <c r="L77">
        <f t="shared" ca="1" si="37"/>
        <v>43</v>
      </c>
      <c r="M77">
        <f t="shared" ca="1" si="37"/>
        <v>40</v>
      </c>
      <c r="N77">
        <f t="shared" ca="1" si="37"/>
        <v>38</v>
      </c>
      <c r="O77">
        <f t="shared" ca="1" si="37"/>
        <v>38</v>
      </c>
      <c r="P77">
        <f t="shared" ca="1" si="37"/>
        <v>38</v>
      </c>
      <c r="V77" cm="1">
        <f t="array" aca="1" ref="V77" ca="1">IF(ISNA(E77),,OFFSET(INDIRECT("'"&amp;V$67&amp;"'!d1"),E77-1,))</f>
        <v>24</v>
      </c>
      <c r="W77" cm="1">
        <f t="array" aca="1" ref="W77" ca="1">IF(ISNA(F77),,OFFSET(INDIRECT("'"&amp;W$67&amp;"'!d1"),F77-1,))</f>
        <v>24</v>
      </c>
      <c r="X77" cm="1">
        <f t="array" aca="1" ref="X77" ca="1">IF(ISNA(G77),,OFFSET(INDIRECT("'"&amp;X$67&amp;"'!d1"),G77-1,))</f>
        <v>96</v>
      </c>
      <c r="Y77" cm="1">
        <f t="array" aca="1" ref="Y77" ca="1">IF(ISNA(H77),,OFFSET(INDIRECT("'"&amp;Y$67&amp;"'!d1"),H77-1,))</f>
        <v>0</v>
      </c>
      <c r="Z77" cm="1">
        <f t="array" aca="1" ref="Z77" ca="1">IF(ISNA(I77),,OFFSET(INDIRECT("'"&amp;Z$67&amp;"'!d1"),I77-1,))</f>
        <v>24</v>
      </c>
      <c r="AA77" cm="1">
        <f t="array" aca="1" ref="AA77" ca="1">IF(ISNA(J77),,OFFSET(INDIRECT("'"&amp;AA$67&amp;"'!d1"),J77-1,))</f>
        <v>24</v>
      </c>
      <c r="AB77" cm="1">
        <f t="array" aca="1" ref="AB77" ca="1">IF(ISNA(K77),,OFFSET(INDIRECT("'"&amp;AB$67&amp;"'!d1"),K77-1,))</f>
        <v>24</v>
      </c>
      <c r="AC77" cm="1">
        <f t="array" aca="1" ref="AC77" ca="1">IF(ISNA(L77),,OFFSET(INDIRECT("'"&amp;AC$67&amp;"'!d1"),L77-1,))</f>
        <v>24</v>
      </c>
      <c r="AD77" cm="1">
        <f t="array" aca="1" ref="AD77" ca="1">IF(ISNA(M77),,OFFSET(INDIRECT("'"&amp;AD$67&amp;"'!d1"),M77-1,))</f>
        <v>24</v>
      </c>
      <c r="AE77" cm="1">
        <f t="array" aca="1" ref="AE77" ca="1">IF(ISNA(N77),,OFFSET(INDIRECT("'"&amp;AE$67&amp;"'!d1"),N77-1,))</f>
        <v>0</v>
      </c>
      <c r="AF77" cm="1">
        <f t="array" aca="1" ref="AF77" ca="1">IF(ISNA(O77),,OFFSET(INDIRECT("'"&amp;AF$67&amp;"'!d1"),O77-1,))</f>
        <v>0</v>
      </c>
      <c r="AG77" cm="1">
        <f t="array" aca="1" ref="AG77" ca="1">IF(ISNA(P77),,OFFSET(INDIRECT("'"&amp;AG$67&amp;"'!d1"),P77-1,))</f>
        <v>0</v>
      </c>
      <c r="AM77">
        <f t="shared" ca="1" si="51"/>
        <v>0</v>
      </c>
      <c r="AN77">
        <f t="shared" ca="1" si="38"/>
        <v>0</v>
      </c>
      <c r="AO77">
        <f t="shared" ca="1" si="38"/>
        <v>0</v>
      </c>
      <c r="AP77">
        <f t="shared" ca="1" si="38"/>
        <v>0</v>
      </c>
      <c r="AQ77">
        <f t="shared" ca="1" si="52"/>
        <v>0</v>
      </c>
      <c r="AV77" t="str">
        <f t="shared" ca="1" si="53"/>
        <v/>
      </c>
      <c r="AW77" t="str">
        <f t="shared" ca="1" si="39"/>
        <v/>
      </c>
      <c r="AX77" t="str">
        <f t="shared" ca="1" si="39"/>
        <v/>
      </c>
      <c r="AY77" t="str">
        <f t="shared" ca="1" si="39"/>
        <v/>
      </c>
      <c r="AZ77" t="str">
        <f t="shared" ca="1" si="39"/>
        <v/>
      </c>
      <c r="BD77">
        <f t="shared" ca="1" si="40"/>
        <v>1</v>
      </c>
      <c r="BE77">
        <f t="shared" ca="1" si="40"/>
        <v>1</v>
      </c>
      <c r="BF77">
        <f t="shared" ca="1" si="40"/>
        <v>1</v>
      </c>
      <c r="BG77">
        <f t="shared" ca="1" si="40"/>
        <v>0</v>
      </c>
      <c r="BH77">
        <f t="shared" ca="1" si="40"/>
        <v>1</v>
      </c>
      <c r="BI77">
        <f t="shared" ca="1" si="40"/>
        <v>1</v>
      </c>
      <c r="BJ77">
        <f t="shared" ca="1" si="40"/>
        <v>1</v>
      </c>
      <c r="BK77">
        <f t="shared" ca="1" si="40"/>
        <v>1</v>
      </c>
      <c r="BL77">
        <f t="shared" ca="1" si="40"/>
        <v>1</v>
      </c>
      <c r="BM77">
        <f t="shared" ca="1" si="40"/>
        <v>0</v>
      </c>
      <c r="BN77">
        <f t="shared" ca="1" si="40"/>
        <v>0</v>
      </c>
      <c r="BO77">
        <f t="shared" ca="1" si="40"/>
        <v>0</v>
      </c>
      <c r="BU77">
        <f t="shared" ca="1" si="41"/>
        <v>24</v>
      </c>
      <c r="BV77">
        <f t="shared" ca="1" si="41"/>
        <v>24</v>
      </c>
      <c r="BW77">
        <f t="shared" ca="1" si="41"/>
        <v>96</v>
      </c>
      <c r="BX77">
        <f t="shared" ca="1" si="41"/>
        <v>210</v>
      </c>
      <c r="BY77">
        <f t="shared" ca="1" si="41"/>
        <v>24</v>
      </c>
      <c r="BZ77">
        <f t="shared" ca="1" si="41"/>
        <v>24</v>
      </c>
      <c r="CA77">
        <f t="shared" ca="1" si="41"/>
        <v>24</v>
      </c>
      <c r="CB77">
        <f t="shared" ca="1" si="41"/>
        <v>24</v>
      </c>
      <c r="CC77">
        <f t="shared" ca="1" si="41"/>
        <v>24</v>
      </c>
      <c r="CD77">
        <f t="shared" ca="1" si="41"/>
        <v>210</v>
      </c>
      <c r="CE77">
        <f t="shared" ca="1" si="41"/>
        <v>210</v>
      </c>
      <c r="CF77">
        <f t="shared" ca="1" si="41"/>
        <v>210</v>
      </c>
      <c r="CL77">
        <f t="shared" ca="1" si="42"/>
        <v>1</v>
      </c>
      <c r="CM77">
        <f t="shared" ca="1" si="42"/>
        <v>1</v>
      </c>
      <c r="CN77">
        <f t="shared" ca="1" si="42"/>
        <v>0</v>
      </c>
      <c r="CO77">
        <f t="shared" ca="1" si="42"/>
        <v>0</v>
      </c>
      <c r="CP77">
        <f t="shared" ca="1" si="42"/>
        <v>1</v>
      </c>
      <c r="CQ77">
        <f t="shared" ca="1" si="42"/>
        <v>1</v>
      </c>
      <c r="CR77">
        <f t="shared" ca="1" si="42"/>
        <v>1</v>
      </c>
      <c r="CS77">
        <f t="shared" ca="1" si="42"/>
        <v>1</v>
      </c>
      <c r="CT77">
        <f t="shared" ca="1" si="42"/>
        <v>1</v>
      </c>
      <c r="CU77">
        <f t="shared" ca="1" si="42"/>
        <v>0</v>
      </c>
      <c r="CV77">
        <f t="shared" ca="1" si="42"/>
        <v>0</v>
      </c>
      <c r="CW77">
        <f t="shared" ca="1" si="42"/>
        <v>0</v>
      </c>
      <c r="DC77" cm="1">
        <f t="array" aca="1" ref="DC77" ca="1">IF(ISNA(E77),,OFFSET(INDIRECT("'"&amp;DT$67&amp;"'!f1"),E77-1,))*1</f>
        <v>28884.953653999601</v>
      </c>
      <c r="DD77" cm="1">
        <f t="array" aca="1" ref="DD77" ca="1">IF(ISNA(F77),,OFFSET(INDIRECT("'"&amp;DU$67&amp;"'!f1"),F77-1,))*1</f>
        <v>28818.351760025998</v>
      </c>
      <c r="DE77" cm="1">
        <f t="array" aca="1" ref="DE77" ca="1">IF(ISNA(G77),,OFFSET(INDIRECT("'"&amp;DV$67&amp;"'!f1"),G77-1,))*1</f>
        <v>28800.268861443699</v>
      </c>
      <c r="DF77" cm="1">
        <f t="array" aca="1" ref="DF77" ca="1">IF(ISNA(H77),,OFFSET(INDIRECT("'"&amp;DW$67&amp;"'!f1"),H77-1,))*1</f>
        <v>28800.133111497002</v>
      </c>
      <c r="DG77" cm="1">
        <f t="array" aca="1" ref="DG77" ca="1">IF(ISNA(I77),,OFFSET(INDIRECT("'"&amp;DX$67&amp;"'!f1"),I77-1,))*1</f>
        <v>28800.021253290899</v>
      </c>
      <c r="DH77" cm="1">
        <f t="array" aca="1" ref="DH77" ca="1">IF(ISNA(J77),,OFFSET(INDIRECT("'"&amp;DY$67&amp;"'!f1"),J77-1,))*1</f>
        <v>1.1746650910936201</v>
      </c>
      <c r="DI77" cm="1">
        <f t="array" aca="1" ref="DI77" ca="1">IF(ISNA(K77),,OFFSET(INDIRECT("'"&amp;DZ$67&amp;"'!f1"),K77-1,))*1</f>
        <v>12.421072865836299</v>
      </c>
      <c r="DJ77" cm="1">
        <f t="array" aca="1" ref="DJ77" ca="1">IF(ISNA(L77),,OFFSET(INDIRECT("'"&amp;EA$67&amp;"'!f1"),L77-1,))*1</f>
        <v>12.9100893111899</v>
      </c>
      <c r="DK77" cm="1">
        <f t="array" aca="1" ref="DK77" ca="1">IF(ISNA(M77),,OFFSET(INDIRECT("'"&amp;EB$67&amp;"'!f1"),M77-1,))*1</f>
        <v>450.36113356379701</v>
      </c>
      <c r="DL77" cm="1">
        <f t="array" aca="1" ref="DL77" ca="1">IF(ISNA(N77),,OFFSET(INDIRECT("'"&amp;EC$67&amp;"'!f1"),N77-1,))*1</f>
        <v>4.7588980756699997E-2</v>
      </c>
      <c r="DM77" cm="1">
        <f t="array" aca="1" ref="DM77" ca="1">IF(ISNA(O77),,OFFSET(INDIRECT("'"&amp;ED$67&amp;"'!f1"),O77-1,))*1</f>
        <v>5.1067760214209501E-2</v>
      </c>
      <c r="DN77" cm="1">
        <f t="array" aca="1" ref="DN77" ca="1">IF(ISNA(P77),,OFFSET(INDIRECT("'"&amp;EE$67&amp;"'!f1"),P77-1,))*1</f>
        <v>0.107663478702306</v>
      </c>
      <c r="DT77">
        <f t="shared" ca="1" si="54"/>
        <v>1</v>
      </c>
      <c r="DU77">
        <f t="shared" ca="1" si="43"/>
        <v>1</v>
      </c>
      <c r="DV77">
        <f t="shared" ca="1" si="43"/>
        <v>0</v>
      </c>
      <c r="DW77">
        <f t="shared" ca="1" si="43"/>
        <v>0</v>
      </c>
      <c r="DX77">
        <f t="shared" ca="1" si="43"/>
        <v>1</v>
      </c>
      <c r="DY77">
        <f t="shared" ca="1" si="43"/>
        <v>1</v>
      </c>
      <c r="DZ77">
        <f t="shared" ca="1" si="43"/>
        <v>207</v>
      </c>
      <c r="EA77">
        <f t="shared" ca="1" si="43"/>
        <v>5405</v>
      </c>
      <c r="EB77">
        <f t="shared" ca="1" si="43"/>
        <v>116</v>
      </c>
      <c r="EC77">
        <f t="shared" ca="1" si="43"/>
        <v>0</v>
      </c>
      <c r="ED77">
        <f t="shared" ca="1" si="43"/>
        <v>0</v>
      </c>
      <c r="EE77">
        <f t="shared" ca="1" si="43"/>
        <v>0</v>
      </c>
      <c r="EK77" cm="1">
        <f t="array" aca="1" ref="EK77" ca="1">IF(ISNA(E77),0,OFFSET(INDIRECT("'"&amp;EK$67&amp;"'!g1"),E77-1,)*CL77)</f>
        <v>1</v>
      </c>
      <c r="EL77" cm="1">
        <f t="array" aca="1" ref="EL77" ca="1">IF(ISNA(F77),0,OFFSET(INDIRECT("'"&amp;EL$67&amp;"'!g1"),F77-1,)*CM77)</f>
        <v>1</v>
      </c>
      <c r="EM77" cm="1">
        <f t="array" aca="1" ref="EM77" ca="1">IF(ISNA(G77),0,OFFSET(INDIRECT("'"&amp;EM$67&amp;"'!g1"),G77-1,)*CN77)</f>
        <v>0</v>
      </c>
      <c r="EN77" cm="1">
        <f t="array" aca="1" ref="EN77" ca="1">IF(ISNA(H77),0,OFFSET(INDIRECT("'"&amp;EN$67&amp;"'!g1"),H77-1,)*CO77)</f>
        <v>0</v>
      </c>
      <c r="EO77" cm="1">
        <f t="array" aca="1" ref="EO77" ca="1">IF(ISNA(I77),0,OFFSET(INDIRECT("'"&amp;EO$67&amp;"'!g1"),I77-1,)*CP77)</f>
        <v>1</v>
      </c>
      <c r="EP77" cm="1">
        <f t="array" aca="1" ref="EP77" ca="1">IF(ISNA(J77),0,OFFSET(INDIRECT("'"&amp;EP$67&amp;"'!g1"),J77-1,)*CQ77)</f>
        <v>1</v>
      </c>
      <c r="EQ77" cm="1">
        <f t="array" aca="1" ref="EQ77" ca="1">IF(ISNA(K77),0,OFFSET(INDIRECT("'"&amp;EQ$67&amp;"'!g1"),K77-1,)*CR77)</f>
        <v>207</v>
      </c>
      <c r="ER77" cm="1">
        <f t="array" aca="1" ref="ER77" ca="1">IF(ISNA(L77),0,OFFSET(INDIRECT("'"&amp;ER$67&amp;"'!g1"),L77-1,)*CS77)</f>
        <v>5405</v>
      </c>
      <c r="ES77" cm="1">
        <f t="array" aca="1" ref="ES77" ca="1">IF(ISNA(M77),0,OFFSET(INDIRECT("'"&amp;ES$67&amp;"'!g1"),M77-1,)*CT77)</f>
        <v>116</v>
      </c>
      <c r="ET77" cm="1">
        <f t="array" aca="1" ref="ET77" ca="1">IF(ISNA(N77),0,OFFSET(INDIRECT("'"&amp;ET$67&amp;"'!g1"),N77-1,)*CU77)</f>
        <v>0</v>
      </c>
      <c r="EU77" cm="1">
        <f t="array" aca="1" ref="EU77" ca="1">IF(ISNA(O77),0,OFFSET(INDIRECT("'"&amp;EU$67&amp;"'!g1"),O77-1,)*CV77)</f>
        <v>0</v>
      </c>
      <c r="EV77" cm="1">
        <f t="array" aca="1" ref="EV77" ca="1">IF(ISNA(P77),0,OFFSET(INDIRECT("'"&amp;EV$67&amp;"'!g1"),P77-1,)*CW77)</f>
        <v>0</v>
      </c>
      <c r="FB77" s="10" cm="1">
        <f t="array" aca="1" ref="FB77" ca="1">IF(ISNA(E77),0,OFFSET(INDIRECT("'"&amp;EK$67&amp;"'!h1"),E77-1,))</f>
        <v>1</v>
      </c>
      <c r="FC77" s="10" cm="1">
        <f t="array" aca="1" ref="FC77" ca="1">IF(ISNA(F77),0,OFFSET(INDIRECT("'"&amp;EL$67&amp;"'!h1"),F77-1,))</f>
        <v>1</v>
      </c>
      <c r="FD77" s="10" cm="1">
        <f t="array" aca="1" ref="FD77" ca="1">IF(ISNA(G77),0,OFFSET(INDIRECT("'"&amp;EM$67&amp;"'!h1"),G77-1,))</f>
        <v>1</v>
      </c>
      <c r="FE77" s="10" cm="1">
        <f t="array" aca="1" ref="FE77" ca="1">IF(ISNA(H77),0,OFFSET(INDIRECT("'"&amp;EN$67&amp;"'!h1"),H77-1,))</f>
        <v>1</v>
      </c>
      <c r="FF77" s="10" cm="1">
        <f t="array" aca="1" ref="FF77" ca="1">IF(ISNA(I77),0,OFFSET(INDIRECT("'"&amp;EO$67&amp;"'!h1"),I77-1,))</f>
        <v>1</v>
      </c>
      <c r="FG77" s="10" cm="1">
        <f t="array" aca="1" ref="FG77" ca="1">IF(ISNA(J77),0,OFFSET(INDIRECT("'"&amp;EP$67&amp;"'!h1"),J77-1,))</f>
        <v>1</v>
      </c>
      <c r="FH77" s="10" cm="1">
        <f t="array" aca="1" ref="FH77" ca="1">IF(ISNA(K77),0,OFFSET(INDIRECT("'"&amp;EQ$67&amp;"'!h1"),K77-1,))</f>
        <v>10000</v>
      </c>
      <c r="FI77" s="10" cm="1">
        <f t="array" aca="1" ref="FI77" ca="1">IF(ISNA(L77),0,OFFSET(INDIRECT("'"&amp;ER$67&amp;"'!h1"),L77-1,))</f>
        <v>10000</v>
      </c>
      <c r="FJ77" s="10" cm="1">
        <f t="array" aca="1" ref="FJ77" ca="1">IF(ISNA(M77),0,OFFSET(INDIRECT("'"&amp;ES$67&amp;"'!h1"),M77-1,))</f>
        <v>10000</v>
      </c>
      <c r="FK77" s="10" cm="1">
        <f t="array" aca="1" ref="FK77" ca="1">IF(ISNA(N77),0,OFFSET(INDIRECT("'"&amp;ET$67&amp;"'!h1"),N77-1,))</f>
        <v>1</v>
      </c>
      <c r="FL77" s="10" cm="1">
        <f t="array" aca="1" ref="FL77" ca="1">IF(ISNA(O77),0,OFFSET(INDIRECT("'"&amp;EU$67&amp;"'!h1"),O77-1,))</f>
        <v>1</v>
      </c>
      <c r="FM77" s="10" cm="1">
        <f t="array" aca="1" ref="FM77" ca="1">IF(ISNA(P77),0,OFFSET(INDIRECT("'"&amp;EV$67&amp;"'!h1"),P77-1,))</f>
        <v>9</v>
      </c>
      <c r="FN77" s="10"/>
      <c r="FO77" s="10"/>
      <c r="FP77" s="10"/>
      <c r="FQ77" s="10"/>
      <c r="FS77">
        <f t="shared" ca="1" si="55"/>
        <v>210</v>
      </c>
      <c r="FT77">
        <f t="shared" ca="1" si="56"/>
        <v>12.421072865836299</v>
      </c>
      <c r="FU77">
        <f t="shared" ca="1" si="57"/>
        <v>207</v>
      </c>
      <c r="FV77">
        <f t="shared" ca="1" si="58"/>
        <v>10000</v>
      </c>
      <c r="FW77" s="4">
        <f t="shared" ca="1" si="59"/>
        <v>2.07E-2</v>
      </c>
      <c r="FX77" s="5">
        <f t="shared" ca="1" si="60"/>
        <v>6.0005182926745407E-2</v>
      </c>
      <c r="FZ77" s="13">
        <f t="shared" ca="1" si="44"/>
        <v>210</v>
      </c>
      <c r="GA77" s="23">
        <f t="shared" ca="1" si="61"/>
        <v>0</v>
      </c>
      <c r="GB77" s="23">
        <f t="shared" ca="1" si="45"/>
        <v>0</v>
      </c>
      <c r="GC77" s="23">
        <f t="shared" ca="1" si="45"/>
        <v>3</v>
      </c>
      <c r="GD77" s="23" t="e">
        <f t="shared" ca="1" si="45"/>
        <v>#N/A</v>
      </c>
      <c r="GE77" s="23">
        <f t="shared" ca="1" si="45"/>
        <v>0</v>
      </c>
      <c r="GF77" s="23">
        <f t="shared" ca="1" si="45"/>
        <v>0</v>
      </c>
      <c r="GG77" s="23">
        <f t="shared" ca="1" si="45"/>
        <v>0</v>
      </c>
      <c r="GH77" s="23">
        <f t="shared" ca="1" si="45"/>
        <v>0</v>
      </c>
      <c r="GI77" s="23">
        <f t="shared" ca="1" si="45"/>
        <v>0</v>
      </c>
      <c r="GJ77" s="23" t="e">
        <f t="shared" ca="1" si="45"/>
        <v>#N/A</v>
      </c>
      <c r="GK77" s="23" t="e">
        <f t="shared" ca="1" si="45"/>
        <v>#N/A</v>
      </c>
      <c r="GL77" s="23" t="e">
        <f t="shared" ca="1" si="45"/>
        <v>#N/A</v>
      </c>
      <c r="GM77" s="23"/>
      <c r="GN77">
        <f t="shared" ca="1" si="62"/>
        <v>210</v>
      </c>
      <c r="GO77" s="5" t="e">
        <f t="shared" ca="1" si="63"/>
        <v>#N/A</v>
      </c>
      <c r="GP77" s="5" t="e">
        <f t="shared" ca="1" si="46"/>
        <v>#N/A</v>
      </c>
      <c r="GQ77" s="5" t="e">
        <f t="shared" ca="1" si="46"/>
        <v>#N/A</v>
      </c>
      <c r="GR77" s="5" t="e">
        <f t="shared" ca="1" si="46"/>
        <v>#N/A</v>
      </c>
      <c r="GS77" s="5" t="e">
        <f t="shared" ca="1" si="46"/>
        <v>#N/A</v>
      </c>
      <c r="GT77" s="5">
        <f t="shared" ca="1" si="64"/>
        <v>1.1746650910936201</v>
      </c>
      <c r="GU77" s="5">
        <f t="shared" ca="1" si="47"/>
        <v>6.0005182926745407E-2</v>
      </c>
      <c r="GV77" s="5">
        <f t="shared" ca="1" si="47"/>
        <v>2.3885456634948937E-3</v>
      </c>
      <c r="GW77" s="5">
        <f t="shared" ca="1" si="47"/>
        <v>3.8824235652051469</v>
      </c>
      <c r="GX77" s="5" t="e">
        <f t="shared" ca="1" si="47"/>
        <v>#N/A</v>
      </c>
      <c r="GY77" s="5" t="e">
        <f t="shared" ca="1" si="47"/>
        <v>#N/A</v>
      </c>
      <c r="GZ77" s="5" t="e">
        <f t="shared" ca="1" si="47"/>
        <v>#N/A</v>
      </c>
      <c r="HB77" s="13">
        <f t="shared" ca="1" si="48"/>
        <v>210</v>
      </c>
      <c r="HC77" s="4">
        <f t="shared" ca="1" si="65"/>
        <v>1</v>
      </c>
      <c r="HD77" s="4">
        <f t="shared" ca="1" si="49"/>
        <v>1</v>
      </c>
      <c r="HE77" s="4">
        <f t="shared" ca="1" si="49"/>
        <v>0</v>
      </c>
      <c r="HF77" s="4">
        <f t="shared" ca="1" si="49"/>
        <v>0</v>
      </c>
      <c r="HG77" s="4">
        <f t="shared" ca="1" si="49"/>
        <v>1</v>
      </c>
      <c r="HH77" s="4">
        <f t="shared" ca="1" si="49"/>
        <v>1</v>
      </c>
      <c r="HI77" s="4">
        <f t="shared" ca="1" si="49"/>
        <v>2.07E-2</v>
      </c>
      <c r="HJ77" s="4">
        <f t="shared" ca="1" si="49"/>
        <v>0.54049999999999998</v>
      </c>
      <c r="HK77" s="4">
        <f t="shared" ca="1" si="49"/>
        <v>1.1599999999999999E-2</v>
      </c>
      <c r="HL77" s="4">
        <f t="shared" ca="1" si="49"/>
        <v>0</v>
      </c>
      <c r="HM77" s="4">
        <f t="shared" ca="1" si="49"/>
        <v>0</v>
      </c>
      <c r="HN77" s="4">
        <f t="shared" ca="1" si="49"/>
        <v>0</v>
      </c>
    </row>
    <row r="78" spans="1:222" x14ac:dyDescent="0.2">
      <c r="A78" t="str" cm="1">
        <f t="array" aca="1" ref="A78" ca="1">INDIRECT($A$67&amp;"!A"&amp;ROW(C11)+$B$64)</f>
        <v>[[260,106,22]]</v>
      </c>
      <c r="B78" cm="1">
        <f t="array" aca="1" ref="B78" ca="1">INDIRECT($A$67&amp;"!b"&amp;ROW(D11)+$B$64)</f>
        <v>260</v>
      </c>
      <c r="C78">
        <f t="shared" ca="1" si="50"/>
        <v>22</v>
      </c>
      <c r="E78">
        <f t="shared" ca="1" si="37"/>
        <v>35</v>
      </c>
      <c r="F78">
        <f t="shared" ca="1" si="37"/>
        <v>36</v>
      </c>
      <c r="G78">
        <f t="shared" ca="1" si="37"/>
        <v>35</v>
      </c>
      <c r="H78">
        <f t="shared" ca="1" si="37"/>
        <v>35</v>
      </c>
      <c r="I78">
        <f t="shared" ca="1" si="37"/>
        <v>38</v>
      </c>
      <c r="J78">
        <f t="shared" ca="1" si="37"/>
        <v>35</v>
      </c>
      <c r="K78">
        <f t="shared" ca="1" si="37"/>
        <v>42</v>
      </c>
      <c r="L78">
        <f t="shared" ca="1" si="37"/>
        <v>44</v>
      </c>
      <c r="M78">
        <f t="shared" ca="1" si="37"/>
        <v>41</v>
      </c>
      <c r="N78">
        <f t="shared" ca="1" si="37"/>
        <v>39</v>
      </c>
      <c r="O78">
        <f t="shared" ca="1" si="37"/>
        <v>39</v>
      </c>
      <c r="P78">
        <f t="shared" ca="1" si="37"/>
        <v>39</v>
      </c>
      <c r="V78" cm="1">
        <f t="array" aca="1" ref="V78" ca="1">IF(ISNA(E78),,OFFSET(INDIRECT("'"&amp;V$67&amp;"'!d1"),E78-1,))</f>
        <v>22</v>
      </c>
      <c r="W78" cm="1">
        <f t="array" aca="1" ref="W78" ca="1">IF(ISNA(F78),,OFFSET(INDIRECT("'"&amp;W$67&amp;"'!d1"),F78-1,))</f>
        <v>22</v>
      </c>
      <c r="X78" cm="1">
        <f t="array" aca="1" ref="X78" ca="1">IF(ISNA(G78),,OFFSET(INDIRECT("'"&amp;X$67&amp;"'!d1"),G78-1,))</f>
        <v>104</v>
      </c>
      <c r="Y78" cm="1">
        <f t="array" aca="1" ref="Y78" ca="1">IF(ISNA(H78),,OFFSET(INDIRECT("'"&amp;Y$67&amp;"'!d1"),H78-1,))</f>
        <v>0</v>
      </c>
      <c r="Z78" cm="1">
        <f t="array" aca="1" ref="Z78" ca="1">IF(ISNA(I78),,OFFSET(INDIRECT("'"&amp;Z$67&amp;"'!d1"),I78-1,))</f>
        <v>22</v>
      </c>
      <c r="AA78" cm="1">
        <f t="array" aca="1" ref="AA78" ca="1">IF(ISNA(J78),,OFFSET(INDIRECT("'"&amp;AA$67&amp;"'!d1"),J78-1,))</f>
        <v>22</v>
      </c>
      <c r="AB78" cm="1">
        <f t="array" aca="1" ref="AB78" ca="1">IF(ISNA(K78),,OFFSET(INDIRECT("'"&amp;AB$67&amp;"'!d1"),K78-1,))</f>
        <v>22</v>
      </c>
      <c r="AC78" cm="1">
        <f t="array" aca="1" ref="AC78" ca="1">IF(ISNA(L78),,OFFSET(INDIRECT("'"&amp;AC$67&amp;"'!d1"),L78-1,))</f>
        <v>22</v>
      </c>
      <c r="AD78" cm="1">
        <f t="array" aca="1" ref="AD78" ca="1">IF(ISNA(M78),,OFFSET(INDIRECT("'"&amp;AD$67&amp;"'!d1"),M78-1,))</f>
        <v>22</v>
      </c>
      <c r="AE78" cm="1">
        <f t="array" aca="1" ref="AE78" ca="1">IF(ISNA(N78),,OFFSET(INDIRECT("'"&amp;AE$67&amp;"'!d1"),N78-1,))</f>
        <v>0</v>
      </c>
      <c r="AF78" cm="1">
        <f t="array" aca="1" ref="AF78" ca="1">IF(ISNA(O78),,OFFSET(INDIRECT("'"&amp;AF$67&amp;"'!d1"),O78-1,))</f>
        <v>0</v>
      </c>
      <c r="AG78" cm="1">
        <f t="array" aca="1" ref="AG78" ca="1">IF(ISNA(P78),,OFFSET(INDIRECT("'"&amp;AG$67&amp;"'!d1"),P78-1,))</f>
        <v>0</v>
      </c>
      <c r="AM78">
        <f t="shared" ca="1" si="51"/>
        <v>0</v>
      </c>
      <c r="AN78">
        <f t="shared" ca="1" si="38"/>
        <v>0</v>
      </c>
      <c r="AO78">
        <f t="shared" ca="1" si="38"/>
        <v>0</v>
      </c>
      <c r="AP78">
        <f t="shared" ca="1" si="38"/>
        <v>0</v>
      </c>
      <c r="AQ78">
        <f t="shared" ca="1" si="52"/>
        <v>0</v>
      </c>
      <c r="AV78" t="str">
        <f t="shared" ca="1" si="53"/>
        <v/>
      </c>
      <c r="AW78" t="str">
        <f t="shared" ca="1" si="39"/>
        <v/>
      </c>
      <c r="AX78" t="str">
        <f t="shared" ca="1" si="39"/>
        <v/>
      </c>
      <c r="AY78" t="str">
        <f t="shared" ca="1" si="39"/>
        <v/>
      </c>
      <c r="AZ78" t="str">
        <f t="shared" ca="1" si="39"/>
        <v/>
      </c>
      <c r="BD78">
        <f t="shared" ca="1" si="40"/>
        <v>1</v>
      </c>
      <c r="BE78">
        <f t="shared" ca="1" si="40"/>
        <v>1</v>
      </c>
      <c r="BF78">
        <f t="shared" ca="1" si="40"/>
        <v>1</v>
      </c>
      <c r="BG78">
        <f t="shared" ca="1" si="40"/>
        <v>0</v>
      </c>
      <c r="BH78">
        <f t="shared" ca="1" si="40"/>
        <v>1</v>
      </c>
      <c r="BI78">
        <f t="shared" ca="1" si="40"/>
        <v>1</v>
      </c>
      <c r="BJ78">
        <f t="shared" ca="1" si="40"/>
        <v>1</v>
      </c>
      <c r="BK78">
        <f t="shared" ca="1" si="40"/>
        <v>1</v>
      </c>
      <c r="BL78">
        <f t="shared" ca="1" si="40"/>
        <v>1</v>
      </c>
      <c r="BM78">
        <f t="shared" ca="1" si="40"/>
        <v>0</v>
      </c>
      <c r="BN78">
        <f t="shared" ca="1" si="40"/>
        <v>0</v>
      </c>
      <c r="BO78">
        <f t="shared" ca="1" si="40"/>
        <v>0</v>
      </c>
      <c r="BU78">
        <f t="shared" ca="1" si="41"/>
        <v>22</v>
      </c>
      <c r="BV78">
        <f t="shared" ca="1" si="41"/>
        <v>22</v>
      </c>
      <c r="BW78">
        <f t="shared" ca="1" si="41"/>
        <v>104</v>
      </c>
      <c r="BX78">
        <f t="shared" ca="1" si="41"/>
        <v>260</v>
      </c>
      <c r="BY78">
        <f t="shared" ca="1" si="41"/>
        <v>22</v>
      </c>
      <c r="BZ78">
        <f t="shared" ca="1" si="41"/>
        <v>22</v>
      </c>
      <c r="CA78">
        <f t="shared" ca="1" si="41"/>
        <v>22</v>
      </c>
      <c r="CB78">
        <f t="shared" ca="1" si="41"/>
        <v>22</v>
      </c>
      <c r="CC78">
        <f t="shared" ca="1" si="41"/>
        <v>22</v>
      </c>
      <c r="CD78">
        <f t="shared" ca="1" si="41"/>
        <v>260</v>
      </c>
      <c r="CE78">
        <f t="shared" ca="1" si="41"/>
        <v>260</v>
      </c>
      <c r="CF78">
        <f t="shared" ca="1" si="41"/>
        <v>260</v>
      </c>
      <c r="CL78">
        <f t="shared" ca="1" si="42"/>
        <v>1</v>
      </c>
      <c r="CM78">
        <f t="shared" ca="1" si="42"/>
        <v>1</v>
      </c>
      <c r="CN78">
        <f t="shared" ca="1" si="42"/>
        <v>0</v>
      </c>
      <c r="CO78">
        <f t="shared" ca="1" si="42"/>
        <v>0</v>
      </c>
      <c r="CP78">
        <f t="shared" ca="1" si="42"/>
        <v>1</v>
      </c>
      <c r="CQ78">
        <f t="shared" ca="1" si="42"/>
        <v>1</v>
      </c>
      <c r="CR78">
        <f t="shared" ca="1" si="42"/>
        <v>1</v>
      </c>
      <c r="CS78">
        <f t="shared" ca="1" si="42"/>
        <v>1</v>
      </c>
      <c r="CT78">
        <f t="shared" ca="1" si="42"/>
        <v>1</v>
      </c>
      <c r="CU78">
        <f t="shared" ca="1" si="42"/>
        <v>0</v>
      </c>
      <c r="CV78">
        <f t="shared" ca="1" si="42"/>
        <v>0</v>
      </c>
      <c r="CW78">
        <f t="shared" ca="1" si="42"/>
        <v>0</v>
      </c>
      <c r="DC78" cm="1">
        <f t="array" aca="1" ref="DC78" ca="1">IF(ISNA(E78),,OFFSET(INDIRECT("'"&amp;DT$67&amp;"'!f1"),E78-1,))*1</f>
        <v>28871.741809310301</v>
      </c>
      <c r="DD78" cm="1">
        <f t="array" aca="1" ref="DD78" ca="1">IF(ISNA(F78),,OFFSET(INDIRECT("'"&amp;DU$67&amp;"'!f1"),F78-1,))*1</f>
        <v>28814.662353338601</v>
      </c>
      <c r="DE78" cm="1">
        <f t="array" aca="1" ref="DE78" ca="1">IF(ISNA(G78),,OFFSET(INDIRECT("'"&amp;DV$67&amp;"'!f1"),G78-1,))*1</f>
        <v>28800.28173328</v>
      </c>
      <c r="DF78" cm="1">
        <f t="array" aca="1" ref="DF78" ca="1">IF(ISNA(H78),,OFFSET(INDIRECT("'"&amp;DW$67&amp;"'!f1"),H78-1,))*1</f>
        <v>28801.5275958403</v>
      </c>
      <c r="DG78" cm="1">
        <f t="array" aca="1" ref="DG78" ca="1">IF(ISNA(I78),,OFFSET(INDIRECT("'"&amp;DX$67&amp;"'!f1"),I78-1,))*1</f>
        <v>28800.072382709001</v>
      </c>
      <c r="DH78" cm="1">
        <f t="array" aca="1" ref="DH78" ca="1">IF(ISNA(J78),,OFFSET(INDIRECT("'"&amp;DY$67&amp;"'!f1"),J78-1,))*1</f>
        <v>1.7351358570158399</v>
      </c>
      <c r="DI78" cm="1">
        <f t="array" aca="1" ref="DI78" ca="1">IF(ISNA(K78),,OFFSET(INDIRECT("'"&amp;DZ$67&amp;"'!f1"),K78-1,))*1</f>
        <v>18.216560476459499</v>
      </c>
      <c r="DJ78" cm="1">
        <f t="array" aca="1" ref="DJ78" ca="1">IF(ISNA(L78),,OFFSET(INDIRECT("'"&amp;EA$67&amp;"'!f1"),L78-1,))*1</f>
        <v>17.8435007883235</v>
      </c>
      <c r="DK78" cm="1">
        <f t="array" aca="1" ref="DK78" ca="1">IF(ISNA(M78),,OFFSET(INDIRECT("'"&amp;EB$67&amp;"'!f1"),M78-1,))*1</f>
        <v>987.60662212129603</v>
      </c>
      <c r="DL78" cm="1">
        <f t="array" aca="1" ref="DL78" ca="1">IF(ISNA(N78),,OFFSET(INDIRECT("'"&amp;EC$67&amp;"'!f1"),N78-1,))*1</f>
        <v>6.6688789986073901E-2</v>
      </c>
      <c r="DM78" cm="1">
        <f t="array" aca="1" ref="DM78" ca="1">IF(ISNA(O78),,OFFSET(INDIRECT("'"&amp;ED$67&amp;"'!f1"),O78-1,))*1</f>
        <v>7.3685082606971194E-2</v>
      </c>
      <c r="DN78" cm="1">
        <f t="array" aca="1" ref="DN78" ca="1">IF(ISNA(P78),,OFFSET(INDIRECT("'"&amp;EE$67&amp;"'!f1"),P78-1,))*1</f>
        <v>0.171104086562991</v>
      </c>
      <c r="DT78">
        <f t="shared" ca="1" si="54"/>
        <v>1</v>
      </c>
      <c r="DU78">
        <f t="shared" ca="1" si="43"/>
        <v>1</v>
      </c>
      <c r="DV78">
        <f t="shared" ca="1" si="43"/>
        <v>0</v>
      </c>
      <c r="DW78">
        <f t="shared" ca="1" si="43"/>
        <v>0</v>
      </c>
      <c r="DX78">
        <f t="shared" ca="1" si="43"/>
        <v>1</v>
      </c>
      <c r="DY78">
        <f t="shared" ca="1" si="43"/>
        <v>1</v>
      </c>
      <c r="DZ78">
        <f t="shared" ca="1" si="43"/>
        <v>70</v>
      </c>
      <c r="EA78">
        <f t="shared" ca="1" si="43"/>
        <v>4726</v>
      </c>
      <c r="EB78">
        <f t="shared" ca="1" si="43"/>
        <v>38</v>
      </c>
      <c r="EC78">
        <f t="shared" ca="1" si="43"/>
        <v>0</v>
      </c>
      <c r="ED78">
        <f t="shared" ca="1" si="43"/>
        <v>0</v>
      </c>
      <c r="EE78">
        <f t="shared" ca="1" si="43"/>
        <v>0</v>
      </c>
      <c r="EK78" cm="1">
        <f t="array" aca="1" ref="EK78" ca="1">IF(ISNA(E78),0,OFFSET(INDIRECT("'"&amp;EK$67&amp;"'!g1"),E78-1,)*CL78)</f>
        <v>1</v>
      </c>
      <c r="EL78" cm="1">
        <f t="array" aca="1" ref="EL78" ca="1">IF(ISNA(F78),0,OFFSET(INDIRECT("'"&amp;EL$67&amp;"'!g1"),F78-1,)*CM78)</f>
        <v>1</v>
      </c>
      <c r="EM78" cm="1">
        <f t="array" aca="1" ref="EM78" ca="1">IF(ISNA(G78),0,OFFSET(INDIRECT("'"&amp;EM$67&amp;"'!g1"),G78-1,)*CN78)</f>
        <v>0</v>
      </c>
      <c r="EN78" cm="1">
        <f t="array" aca="1" ref="EN78" ca="1">IF(ISNA(H78),0,OFFSET(INDIRECT("'"&amp;EN$67&amp;"'!g1"),H78-1,)*CO78)</f>
        <v>0</v>
      </c>
      <c r="EO78" cm="1">
        <f t="array" aca="1" ref="EO78" ca="1">IF(ISNA(I78),0,OFFSET(INDIRECT("'"&amp;EO$67&amp;"'!g1"),I78-1,)*CP78)</f>
        <v>1</v>
      </c>
      <c r="EP78" cm="1">
        <f t="array" aca="1" ref="EP78" ca="1">IF(ISNA(J78),0,OFFSET(INDIRECT("'"&amp;EP$67&amp;"'!g1"),J78-1,)*CQ78)</f>
        <v>1</v>
      </c>
      <c r="EQ78" cm="1">
        <f t="array" aca="1" ref="EQ78" ca="1">IF(ISNA(K78),0,OFFSET(INDIRECT("'"&amp;EQ$67&amp;"'!g1"),K78-1,)*CR78)</f>
        <v>70</v>
      </c>
      <c r="ER78" cm="1">
        <f t="array" aca="1" ref="ER78" ca="1">IF(ISNA(L78),0,OFFSET(INDIRECT("'"&amp;ER$67&amp;"'!g1"),L78-1,)*CS78)</f>
        <v>4726</v>
      </c>
      <c r="ES78" cm="1">
        <f t="array" aca="1" ref="ES78" ca="1">IF(ISNA(M78),0,OFFSET(INDIRECT("'"&amp;ES$67&amp;"'!g1"),M78-1,)*CT78)</f>
        <v>38</v>
      </c>
      <c r="ET78" cm="1">
        <f t="array" aca="1" ref="ET78" ca="1">IF(ISNA(N78),0,OFFSET(INDIRECT("'"&amp;ET$67&amp;"'!g1"),N78-1,)*CU78)</f>
        <v>0</v>
      </c>
      <c r="EU78" cm="1">
        <f t="array" aca="1" ref="EU78" ca="1">IF(ISNA(O78),0,OFFSET(INDIRECT("'"&amp;EU$67&amp;"'!g1"),O78-1,)*CV78)</f>
        <v>0</v>
      </c>
      <c r="EV78" cm="1">
        <f t="array" aca="1" ref="EV78" ca="1">IF(ISNA(P78),0,OFFSET(INDIRECT("'"&amp;EV$67&amp;"'!g1"),P78-1,)*CW78)</f>
        <v>0</v>
      </c>
      <c r="FB78" s="10" cm="1">
        <f t="array" aca="1" ref="FB78" ca="1">IF(ISNA(E78),0,OFFSET(INDIRECT("'"&amp;EK$67&amp;"'!h1"),E78-1,))</f>
        <v>1</v>
      </c>
      <c r="FC78" s="10" cm="1">
        <f t="array" aca="1" ref="FC78" ca="1">IF(ISNA(F78),0,OFFSET(INDIRECT("'"&amp;EL$67&amp;"'!h1"),F78-1,))</f>
        <v>1</v>
      </c>
      <c r="FD78" s="10" cm="1">
        <f t="array" aca="1" ref="FD78" ca="1">IF(ISNA(G78),0,OFFSET(INDIRECT("'"&amp;EM$67&amp;"'!h1"),G78-1,))</f>
        <v>1</v>
      </c>
      <c r="FE78" s="10" cm="1">
        <f t="array" aca="1" ref="FE78" ca="1">IF(ISNA(H78),0,OFFSET(INDIRECT("'"&amp;EN$67&amp;"'!h1"),H78-1,))</f>
        <v>1</v>
      </c>
      <c r="FF78" s="10" cm="1">
        <f t="array" aca="1" ref="FF78" ca="1">IF(ISNA(I78),0,OFFSET(INDIRECT("'"&amp;EO$67&amp;"'!h1"),I78-1,))</f>
        <v>1</v>
      </c>
      <c r="FG78" s="10" cm="1">
        <f t="array" aca="1" ref="FG78" ca="1">IF(ISNA(J78),0,OFFSET(INDIRECT("'"&amp;EP$67&amp;"'!h1"),J78-1,))</f>
        <v>1</v>
      </c>
      <c r="FH78" s="10" cm="1">
        <f t="array" aca="1" ref="FH78" ca="1">IF(ISNA(K78),0,OFFSET(INDIRECT("'"&amp;EQ$67&amp;"'!h1"),K78-1,))</f>
        <v>10000</v>
      </c>
      <c r="FI78" s="10" cm="1">
        <f t="array" aca="1" ref="FI78" ca="1">IF(ISNA(L78),0,OFFSET(INDIRECT("'"&amp;ER$67&amp;"'!h1"),L78-1,))</f>
        <v>10000</v>
      </c>
      <c r="FJ78" s="10" cm="1">
        <f t="array" aca="1" ref="FJ78" ca="1">IF(ISNA(M78),0,OFFSET(INDIRECT("'"&amp;ES$67&amp;"'!h1"),M78-1,))</f>
        <v>10000</v>
      </c>
      <c r="FK78" s="10" cm="1">
        <f t="array" aca="1" ref="FK78" ca="1">IF(ISNA(N78),0,OFFSET(INDIRECT("'"&amp;ET$67&amp;"'!h1"),N78-1,))</f>
        <v>1</v>
      </c>
      <c r="FL78" s="10" cm="1">
        <f t="array" aca="1" ref="FL78" ca="1">IF(ISNA(O78),0,OFFSET(INDIRECT("'"&amp;EU$67&amp;"'!h1"),O78-1,))</f>
        <v>1</v>
      </c>
      <c r="FM78" s="10" cm="1">
        <f t="array" aca="1" ref="FM78" ca="1">IF(ISNA(P78),0,OFFSET(INDIRECT("'"&amp;EV$67&amp;"'!h1"),P78-1,))</f>
        <v>9</v>
      </c>
      <c r="FN78" s="10"/>
      <c r="FO78" s="10"/>
      <c r="FP78" s="10"/>
      <c r="FQ78" s="10"/>
      <c r="FS78">
        <f t="shared" ca="1" si="55"/>
        <v>260</v>
      </c>
      <c r="FT78">
        <f t="shared" ca="1" si="56"/>
        <v>18.216560476459499</v>
      </c>
      <c r="FU78">
        <f t="shared" ca="1" si="57"/>
        <v>70</v>
      </c>
      <c r="FV78">
        <f t="shared" ca="1" si="58"/>
        <v>10000</v>
      </c>
      <c r="FW78" s="4">
        <f t="shared" ca="1" si="59"/>
        <v>7.0000000000000001E-3</v>
      </c>
      <c r="FX78" s="5">
        <f t="shared" ca="1" si="60"/>
        <v>0.26023657823513568</v>
      </c>
      <c r="FZ78" s="13">
        <f t="shared" ca="1" si="44"/>
        <v>260</v>
      </c>
      <c r="GA78" s="23">
        <f t="shared" ca="1" si="61"/>
        <v>0</v>
      </c>
      <c r="GB78" s="23">
        <f t="shared" ca="1" si="45"/>
        <v>0</v>
      </c>
      <c r="GC78" s="23">
        <f t="shared" ca="1" si="45"/>
        <v>3.7272727272727271</v>
      </c>
      <c r="GD78" s="23" t="e">
        <f t="shared" ca="1" si="45"/>
        <v>#N/A</v>
      </c>
      <c r="GE78" s="23">
        <f t="shared" ca="1" si="45"/>
        <v>0</v>
      </c>
      <c r="GF78" s="23">
        <f t="shared" ca="1" si="45"/>
        <v>0</v>
      </c>
      <c r="GG78" s="23">
        <f t="shared" ca="1" si="45"/>
        <v>0</v>
      </c>
      <c r="GH78" s="23">
        <f t="shared" ca="1" si="45"/>
        <v>0</v>
      </c>
      <c r="GI78" s="23">
        <f t="shared" ca="1" si="45"/>
        <v>0</v>
      </c>
      <c r="GJ78" s="23" t="e">
        <f t="shared" ca="1" si="45"/>
        <v>#N/A</v>
      </c>
      <c r="GK78" s="23" t="e">
        <f t="shared" ca="1" si="45"/>
        <v>#N/A</v>
      </c>
      <c r="GL78" s="23" t="e">
        <f t="shared" ca="1" si="45"/>
        <v>#N/A</v>
      </c>
      <c r="GM78" s="23"/>
      <c r="GN78">
        <f t="shared" ca="1" si="62"/>
        <v>260</v>
      </c>
      <c r="GO78" s="5" t="e">
        <f t="shared" ca="1" si="63"/>
        <v>#N/A</v>
      </c>
      <c r="GP78" s="5" t="e">
        <f t="shared" ca="1" si="46"/>
        <v>#N/A</v>
      </c>
      <c r="GQ78" s="5" t="e">
        <f t="shared" ca="1" si="46"/>
        <v>#N/A</v>
      </c>
      <c r="GR78" s="5" t="e">
        <f t="shared" ca="1" si="46"/>
        <v>#N/A</v>
      </c>
      <c r="GS78" s="5" t="e">
        <f t="shared" ca="1" si="46"/>
        <v>#N/A</v>
      </c>
      <c r="GT78" s="5">
        <f t="shared" ca="1" si="64"/>
        <v>1.7351358570158399</v>
      </c>
      <c r="GU78" s="5">
        <f t="shared" ca="1" si="47"/>
        <v>0.26023657823513568</v>
      </c>
      <c r="GV78" s="5">
        <f t="shared" ca="1" si="47"/>
        <v>3.7756032137798348E-3</v>
      </c>
      <c r="GW78" s="5">
        <f t="shared" ca="1" si="47"/>
        <v>25.989647950560421</v>
      </c>
      <c r="GX78" s="5" t="e">
        <f t="shared" ca="1" si="47"/>
        <v>#N/A</v>
      </c>
      <c r="GY78" s="5" t="e">
        <f t="shared" ca="1" si="47"/>
        <v>#N/A</v>
      </c>
      <c r="GZ78" s="5" t="e">
        <f t="shared" ca="1" si="47"/>
        <v>#N/A</v>
      </c>
      <c r="HB78" s="13">
        <f t="shared" ca="1" si="48"/>
        <v>260</v>
      </c>
      <c r="HC78" s="4">
        <f t="shared" ca="1" si="65"/>
        <v>1</v>
      </c>
      <c r="HD78" s="4">
        <f t="shared" ca="1" si="49"/>
        <v>1</v>
      </c>
      <c r="HE78" s="4">
        <f t="shared" ca="1" si="49"/>
        <v>0</v>
      </c>
      <c r="HF78" s="4">
        <f t="shared" ca="1" si="49"/>
        <v>0</v>
      </c>
      <c r="HG78" s="4">
        <f t="shared" ca="1" si="49"/>
        <v>1</v>
      </c>
      <c r="HH78" s="4">
        <f t="shared" ca="1" si="49"/>
        <v>1</v>
      </c>
      <c r="HI78" s="4">
        <f t="shared" ca="1" si="49"/>
        <v>7.0000000000000001E-3</v>
      </c>
      <c r="HJ78" s="4">
        <f t="shared" ca="1" si="49"/>
        <v>0.47260000000000002</v>
      </c>
      <c r="HK78" s="4">
        <f t="shared" ca="1" si="49"/>
        <v>3.8E-3</v>
      </c>
      <c r="HL78" s="4">
        <f t="shared" ca="1" si="49"/>
        <v>0</v>
      </c>
      <c r="HM78" s="4">
        <f t="shared" ca="1" si="49"/>
        <v>0</v>
      </c>
      <c r="HN78" s="4">
        <f t="shared" ca="1" si="49"/>
        <v>0</v>
      </c>
    </row>
    <row r="79" spans="1:222" x14ac:dyDescent="0.2">
      <c r="A79" t="str" cm="1">
        <f t="array" aca="1" ref="A79" ca="1">INDIRECT($A$67&amp;"!A"&amp;ROW(C12)+$B$64)</f>
        <v>[[290,118,20]]</v>
      </c>
      <c r="B79" cm="1">
        <f t="array" aca="1" ref="B79" ca="1">INDIRECT($A$67&amp;"!b"&amp;ROW(D12)+$B$64)</f>
        <v>290</v>
      </c>
      <c r="C79">
        <f t="shared" ca="1" si="50"/>
        <v>20</v>
      </c>
      <c r="E79">
        <f t="shared" ca="1" si="37"/>
        <v>36</v>
      </c>
      <c r="F79">
        <f t="shared" ca="1" si="37"/>
        <v>37</v>
      </c>
      <c r="G79">
        <f t="shared" ca="1" si="37"/>
        <v>36</v>
      </c>
      <c r="H79">
        <f t="shared" ca="1" si="37"/>
        <v>36</v>
      </c>
      <c r="I79">
        <f t="shared" ca="1" si="37"/>
        <v>39</v>
      </c>
      <c r="J79">
        <f t="shared" ca="1" si="37"/>
        <v>36</v>
      </c>
      <c r="K79">
        <f t="shared" ca="1" si="37"/>
        <v>43</v>
      </c>
      <c r="L79">
        <f t="shared" ca="1" si="37"/>
        <v>45</v>
      </c>
      <c r="M79">
        <f t="shared" ca="1" si="37"/>
        <v>42</v>
      </c>
      <c r="N79">
        <f t="shared" ca="1" si="37"/>
        <v>40</v>
      </c>
      <c r="O79">
        <f t="shared" ca="1" si="37"/>
        <v>40</v>
      </c>
      <c r="P79">
        <f t="shared" ca="1" si="37"/>
        <v>40</v>
      </c>
      <c r="V79" cm="1">
        <f t="array" aca="1" ref="V79" ca="1">IF(ISNA(E79),,OFFSET(INDIRECT("'"&amp;V$67&amp;"'!d1"),E79-1,))</f>
        <v>20</v>
      </c>
      <c r="W79" cm="1">
        <f t="array" aca="1" ref="W79" ca="1">IF(ISNA(F79),,OFFSET(INDIRECT("'"&amp;W$67&amp;"'!d1"),F79-1,))</f>
        <v>20</v>
      </c>
      <c r="X79" cm="1">
        <f t="array" aca="1" ref="X79" ca="1">IF(ISNA(G79),,OFFSET(INDIRECT("'"&amp;X$67&amp;"'!d1"),G79-1,))</f>
        <v>116</v>
      </c>
      <c r="Y79" cm="1">
        <f t="array" aca="1" ref="Y79" ca="1">IF(ISNA(H79),,OFFSET(INDIRECT("'"&amp;Y$67&amp;"'!d1"),H79-1,))</f>
        <v>0</v>
      </c>
      <c r="Z79" cm="1">
        <f t="array" aca="1" ref="Z79" ca="1">IF(ISNA(I79),,OFFSET(INDIRECT("'"&amp;Z$67&amp;"'!d1"),I79-1,))</f>
        <v>20</v>
      </c>
      <c r="AA79" cm="1">
        <f t="array" aca="1" ref="AA79" ca="1">IF(ISNA(J79),,OFFSET(INDIRECT("'"&amp;AA$67&amp;"'!d1"),J79-1,))</f>
        <v>20</v>
      </c>
      <c r="AB79" cm="1">
        <f t="array" aca="1" ref="AB79" ca="1">IF(ISNA(K79),,OFFSET(INDIRECT("'"&amp;AB$67&amp;"'!d1"),K79-1,))</f>
        <v>20</v>
      </c>
      <c r="AC79" cm="1">
        <f t="array" aca="1" ref="AC79" ca="1">IF(ISNA(L79),,OFFSET(INDIRECT("'"&amp;AC$67&amp;"'!d1"),L79-1,))</f>
        <v>20</v>
      </c>
      <c r="AD79" cm="1">
        <f t="array" aca="1" ref="AD79" ca="1">IF(ISNA(M79),,OFFSET(INDIRECT("'"&amp;AD$67&amp;"'!d1"),M79-1,))</f>
        <v>20</v>
      </c>
      <c r="AE79" cm="1">
        <f t="array" aca="1" ref="AE79" ca="1">IF(ISNA(N79),,OFFSET(INDIRECT("'"&amp;AE$67&amp;"'!d1"),N79-1,))</f>
        <v>0</v>
      </c>
      <c r="AF79" cm="1">
        <f t="array" aca="1" ref="AF79" ca="1">IF(ISNA(O79),,OFFSET(INDIRECT("'"&amp;AF$67&amp;"'!d1"),O79-1,))</f>
        <v>0</v>
      </c>
      <c r="AG79" cm="1">
        <f t="array" aca="1" ref="AG79" ca="1">IF(ISNA(P79),,OFFSET(INDIRECT("'"&amp;AG$67&amp;"'!d1"),P79-1,))</f>
        <v>0</v>
      </c>
      <c r="AM79">
        <f t="shared" ca="1" si="51"/>
        <v>0</v>
      </c>
      <c r="AN79">
        <f t="shared" ca="1" si="38"/>
        <v>0</v>
      </c>
      <c r="AO79">
        <f t="shared" ca="1" si="38"/>
        <v>0</v>
      </c>
      <c r="AP79">
        <f t="shared" ca="1" si="38"/>
        <v>0</v>
      </c>
      <c r="AQ79">
        <f t="shared" ca="1" si="52"/>
        <v>0</v>
      </c>
      <c r="AV79" t="str">
        <f t="shared" ca="1" si="53"/>
        <v/>
      </c>
      <c r="AW79" t="str">
        <f t="shared" ca="1" si="39"/>
        <v/>
      </c>
      <c r="AX79" t="str">
        <f t="shared" ca="1" si="39"/>
        <v/>
      </c>
      <c r="AY79" t="str">
        <f t="shared" ca="1" si="39"/>
        <v/>
      </c>
      <c r="AZ79" t="str">
        <f t="shared" ca="1" si="39"/>
        <v/>
      </c>
      <c r="BD79">
        <f t="shared" ca="1" si="40"/>
        <v>1</v>
      </c>
      <c r="BE79">
        <f t="shared" ca="1" si="40"/>
        <v>1</v>
      </c>
      <c r="BF79">
        <f t="shared" ca="1" si="40"/>
        <v>1</v>
      </c>
      <c r="BG79">
        <f t="shared" ca="1" si="40"/>
        <v>0</v>
      </c>
      <c r="BH79">
        <f t="shared" ca="1" si="40"/>
        <v>1</v>
      </c>
      <c r="BI79">
        <f t="shared" ca="1" si="40"/>
        <v>1</v>
      </c>
      <c r="BJ79">
        <f t="shared" ca="1" si="40"/>
        <v>1</v>
      </c>
      <c r="BK79">
        <f t="shared" ca="1" si="40"/>
        <v>1</v>
      </c>
      <c r="BL79">
        <f t="shared" ca="1" si="40"/>
        <v>1</v>
      </c>
      <c r="BM79">
        <f t="shared" ca="1" si="40"/>
        <v>0</v>
      </c>
      <c r="BN79">
        <f t="shared" ca="1" si="40"/>
        <v>0</v>
      </c>
      <c r="BO79">
        <f t="shared" ca="1" si="40"/>
        <v>0</v>
      </c>
      <c r="BU79">
        <f t="shared" ca="1" si="41"/>
        <v>20</v>
      </c>
      <c r="BV79">
        <f t="shared" ca="1" si="41"/>
        <v>20</v>
      </c>
      <c r="BW79">
        <f t="shared" ca="1" si="41"/>
        <v>116</v>
      </c>
      <c r="BX79">
        <f t="shared" ca="1" si="41"/>
        <v>290</v>
      </c>
      <c r="BY79">
        <f t="shared" ca="1" si="41"/>
        <v>20</v>
      </c>
      <c r="BZ79">
        <f t="shared" ca="1" si="41"/>
        <v>20</v>
      </c>
      <c r="CA79">
        <f t="shared" ca="1" si="41"/>
        <v>20</v>
      </c>
      <c r="CB79">
        <f t="shared" ca="1" si="41"/>
        <v>20</v>
      </c>
      <c r="CC79">
        <f t="shared" ca="1" si="41"/>
        <v>20</v>
      </c>
      <c r="CD79">
        <f t="shared" ca="1" si="41"/>
        <v>290</v>
      </c>
      <c r="CE79">
        <f t="shared" ca="1" si="41"/>
        <v>290</v>
      </c>
      <c r="CF79">
        <f t="shared" ca="1" si="41"/>
        <v>290</v>
      </c>
      <c r="CL79">
        <f t="shared" ca="1" si="42"/>
        <v>1</v>
      </c>
      <c r="CM79">
        <f t="shared" ca="1" si="42"/>
        <v>1</v>
      </c>
      <c r="CN79">
        <f t="shared" ca="1" si="42"/>
        <v>0</v>
      </c>
      <c r="CO79">
        <f t="shared" ca="1" si="42"/>
        <v>0</v>
      </c>
      <c r="CP79">
        <f t="shared" ca="1" si="42"/>
        <v>1</v>
      </c>
      <c r="CQ79">
        <f t="shared" ca="1" si="42"/>
        <v>1</v>
      </c>
      <c r="CR79">
        <f t="shared" ca="1" si="42"/>
        <v>1</v>
      </c>
      <c r="CS79">
        <f t="shared" ca="1" si="42"/>
        <v>1</v>
      </c>
      <c r="CT79">
        <f t="shared" ca="1" si="42"/>
        <v>1</v>
      </c>
      <c r="CU79">
        <f t="shared" ca="1" si="42"/>
        <v>0</v>
      </c>
      <c r="CV79">
        <f t="shared" ca="1" si="42"/>
        <v>0</v>
      </c>
      <c r="CW79">
        <f t="shared" ca="1" si="42"/>
        <v>0</v>
      </c>
      <c r="DC79" cm="1">
        <f t="array" aca="1" ref="DC79" ca="1">IF(ISNA(E79),,OFFSET(INDIRECT("'"&amp;DT$67&amp;"'!f1"),E79-1,))*1</f>
        <v>28864.301873810498</v>
      </c>
      <c r="DD79" cm="1">
        <f t="array" aca="1" ref="DD79" ca="1">IF(ISNA(F79),,OFFSET(INDIRECT("'"&amp;DU$67&amp;"'!f1"),F79-1,))*1</f>
        <v>28817.793277174202</v>
      </c>
      <c r="DE79" cm="1">
        <f t="array" aca="1" ref="DE79" ca="1">IF(ISNA(G79),,OFFSET(INDIRECT("'"&amp;DV$67&amp;"'!f1"),G79-1,))*1</f>
        <v>28800.3302095904</v>
      </c>
      <c r="DF79" cm="1">
        <f t="array" aca="1" ref="DF79" ca="1">IF(ISNA(H79),,OFFSET(INDIRECT("'"&amp;DW$67&amp;"'!f1"),H79-1,))*1</f>
        <v>28800.1308175995</v>
      </c>
      <c r="DG79" cm="1">
        <f t="array" aca="1" ref="DG79" ca="1">IF(ISNA(I79),,OFFSET(INDIRECT("'"&amp;DX$67&amp;"'!f1"),I79-1,))*1</f>
        <v>28800.046697916001</v>
      </c>
      <c r="DH79" cm="1">
        <f t="array" aca="1" ref="DH79" ca="1">IF(ISNA(J79),,OFFSET(INDIRECT("'"&amp;DY$67&amp;"'!f1"),J79-1,))*1</f>
        <v>2.1254388228990102</v>
      </c>
      <c r="DI79" cm="1">
        <f t="array" aca="1" ref="DI79" ca="1">IF(ISNA(K79),,OFFSET(INDIRECT("'"&amp;DZ$67&amp;"'!f1"),K79-1,))*1</f>
        <v>22.993069109506902</v>
      </c>
      <c r="DJ79" cm="1">
        <f t="array" aca="1" ref="DJ79" ca="1">IF(ISNA(L79),,OFFSET(INDIRECT("'"&amp;EA$67&amp;"'!f1"),L79-1,))*1</f>
        <v>22.7706303671002</v>
      </c>
      <c r="DK79" cm="1">
        <f t="array" aca="1" ref="DK79" ca="1">IF(ISNA(M79),,OFFSET(INDIRECT("'"&amp;EB$67&amp;"'!f1"),M79-1,))*1</f>
        <v>1711.2587923589099</v>
      </c>
      <c r="DL79" cm="1">
        <f t="array" aca="1" ref="DL79" ca="1">IF(ISNA(N79),,OFFSET(INDIRECT("'"&amp;EC$67&amp;"'!f1"),N79-1,))*1</f>
        <v>8.0641729757189695E-2</v>
      </c>
      <c r="DM79" cm="1">
        <f t="array" aca="1" ref="DM79" ca="1">IF(ISNA(O79),,OFFSET(INDIRECT("'"&amp;ED$67&amp;"'!f1"),O79-1,))*1</f>
        <v>8.9022680185735198E-2</v>
      </c>
      <c r="DN79" cm="1">
        <f t="array" aca="1" ref="DN79" ca="1">IF(ISNA(P79),,OFFSET(INDIRECT("'"&amp;EE$67&amp;"'!f1"),P79-1,))*1</f>
        <v>0.247215196490287</v>
      </c>
      <c r="DT79">
        <f t="shared" ca="1" si="54"/>
        <v>1</v>
      </c>
      <c r="DU79">
        <f t="shared" ca="1" si="43"/>
        <v>1</v>
      </c>
      <c r="DV79">
        <f t="shared" ca="1" si="43"/>
        <v>0</v>
      </c>
      <c r="DW79">
        <f t="shared" ca="1" si="43"/>
        <v>0</v>
      </c>
      <c r="DX79">
        <f t="shared" ca="1" si="43"/>
        <v>1</v>
      </c>
      <c r="DY79">
        <f t="shared" ca="1" si="43"/>
        <v>1</v>
      </c>
      <c r="DZ79">
        <f t="shared" ca="1" si="43"/>
        <v>130</v>
      </c>
      <c r="EA79">
        <f t="shared" ca="1" si="43"/>
        <v>5555</v>
      </c>
      <c r="EB79">
        <f t="shared" ca="1" si="43"/>
        <v>58</v>
      </c>
      <c r="EC79">
        <f t="shared" ca="1" si="43"/>
        <v>0</v>
      </c>
      <c r="ED79">
        <f t="shared" ca="1" si="43"/>
        <v>0</v>
      </c>
      <c r="EE79">
        <f t="shared" ca="1" si="43"/>
        <v>0</v>
      </c>
      <c r="EK79" cm="1">
        <f t="array" aca="1" ref="EK79" ca="1">IF(ISNA(E79),0,OFFSET(INDIRECT("'"&amp;EK$67&amp;"'!g1"),E79-1,)*CL79)</f>
        <v>1</v>
      </c>
      <c r="EL79" cm="1">
        <f t="array" aca="1" ref="EL79" ca="1">IF(ISNA(F79),0,OFFSET(INDIRECT("'"&amp;EL$67&amp;"'!g1"),F79-1,)*CM79)</f>
        <v>1</v>
      </c>
      <c r="EM79" cm="1">
        <f t="array" aca="1" ref="EM79" ca="1">IF(ISNA(G79),0,OFFSET(INDIRECT("'"&amp;EM$67&amp;"'!g1"),G79-1,)*CN79)</f>
        <v>0</v>
      </c>
      <c r="EN79" cm="1">
        <f t="array" aca="1" ref="EN79" ca="1">IF(ISNA(H79),0,OFFSET(INDIRECT("'"&amp;EN$67&amp;"'!g1"),H79-1,)*CO79)</f>
        <v>0</v>
      </c>
      <c r="EO79" cm="1">
        <f t="array" aca="1" ref="EO79" ca="1">IF(ISNA(I79),0,OFFSET(INDIRECT("'"&amp;EO$67&amp;"'!g1"),I79-1,)*CP79)</f>
        <v>1</v>
      </c>
      <c r="EP79" cm="1">
        <f t="array" aca="1" ref="EP79" ca="1">IF(ISNA(J79),0,OFFSET(INDIRECT("'"&amp;EP$67&amp;"'!g1"),J79-1,)*CQ79)</f>
        <v>1</v>
      </c>
      <c r="EQ79" cm="1">
        <f t="array" aca="1" ref="EQ79" ca="1">IF(ISNA(K79),0,OFFSET(INDIRECT("'"&amp;EQ$67&amp;"'!g1"),K79-1,)*CR79)</f>
        <v>130</v>
      </c>
      <c r="ER79" cm="1">
        <f t="array" aca="1" ref="ER79" ca="1">IF(ISNA(L79),0,OFFSET(INDIRECT("'"&amp;ER$67&amp;"'!g1"),L79-1,)*CS79)</f>
        <v>5555</v>
      </c>
      <c r="ES79" cm="1">
        <f t="array" aca="1" ref="ES79" ca="1">IF(ISNA(M79),0,OFFSET(INDIRECT("'"&amp;ES$67&amp;"'!g1"),M79-1,)*CT79)</f>
        <v>58</v>
      </c>
      <c r="ET79" cm="1">
        <f t="array" aca="1" ref="ET79" ca="1">IF(ISNA(N79),0,OFFSET(INDIRECT("'"&amp;ET$67&amp;"'!g1"),N79-1,)*CU79)</f>
        <v>0</v>
      </c>
      <c r="EU79" cm="1">
        <f t="array" aca="1" ref="EU79" ca="1">IF(ISNA(O79),0,OFFSET(INDIRECT("'"&amp;EU$67&amp;"'!g1"),O79-1,)*CV79)</f>
        <v>0</v>
      </c>
      <c r="EV79" cm="1">
        <f t="array" aca="1" ref="EV79" ca="1">IF(ISNA(P79),0,OFFSET(INDIRECT("'"&amp;EV$67&amp;"'!g1"),P79-1,)*CW79)</f>
        <v>0</v>
      </c>
      <c r="FB79" s="10" cm="1">
        <f t="array" aca="1" ref="FB79" ca="1">IF(ISNA(E79),0,OFFSET(INDIRECT("'"&amp;EK$67&amp;"'!h1"),E79-1,))</f>
        <v>1</v>
      </c>
      <c r="FC79" s="10" cm="1">
        <f t="array" aca="1" ref="FC79" ca="1">IF(ISNA(F79),0,OFFSET(INDIRECT("'"&amp;EL$67&amp;"'!h1"),F79-1,))</f>
        <v>1</v>
      </c>
      <c r="FD79" s="10" cm="1">
        <f t="array" aca="1" ref="FD79" ca="1">IF(ISNA(G79),0,OFFSET(INDIRECT("'"&amp;EM$67&amp;"'!h1"),G79-1,))</f>
        <v>1</v>
      </c>
      <c r="FE79" s="10" cm="1">
        <f t="array" aca="1" ref="FE79" ca="1">IF(ISNA(H79),0,OFFSET(INDIRECT("'"&amp;EN$67&amp;"'!h1"),H79-1,))</f>
        <v>1</v>
      </c>
      <c r="FF79" s="10" cm="1">
        <f t="array" aca="1" ref="FF79" ca="1">IF(ISNA(I79),0,OFFSET(INDIRECT("'"&amp;EO$67&amp;"'!h1"),I79-1,))</f>
        <v>1</v>
      </c>
      <c r="FG79" s="10" cm="1">
        <f t="array" aca="1" ref="FG79" ca="1">IF(ISNA(J79),0,OFFSET(INDIRECT("'"&amp;EP$67&amp;"'!h1"),J79-1,))</f>
        <v>1</v>
      </c>
      <c r="FH79" s="10" cm="1">
        <f t="array" aca="1" ref="FH79" ca="1">IF(ISNA(K79),0,OFFSET(INDIRECT("'"&amp;EQ$67&amp;"'!h1"),K79-1,))</f>
        <v>10000</v>
      </c>
      <c r="FI79" s="10" cm="1">
        <f t="array" aca="1" ref="FI79" ca="1">IF(ISNA(L79),0,OFFSET(INDIRECT("'"&amp;ER$67&amp;"'!h1"),L79-1,))</f>
        <v>10000</v>
      </c>
      <c r="FJ79" s="10" cm="1">
        <f t="array" aca="1" ref="FJ79" ca="1">IF(ISNA(M79),0,OFFSET(INDIRECT("'"&amp;ES$67&amp;"'!h1"),M79-1,))</f>
        <v>10000</v>
      </c>
      <c r="FK79" s="10" cm="1">
        <f t="array" aca="1" ref="FK79" ca="1">IF(ISNA(N79),0,OFFSET(INDIRECT("'"&amp;ET$67&amp;"'!h1"),N79-1,))</f>
        <v>1</v>
      </c>
      <c r="FL79" s="10" cm="1">
        <f t="array" aca="1" ref="FL79" ca="1">IF(ISNA(O79),0,OFFSET(INDIRECT("'"&amp;EU$67&amp;"'!h1"),O79-1,))</f>
        <v>1</v>
      </c>
      <c r="FM79" s="10" cm="1">
        <f t="array" aca="1" ref="FM79" ca="1">IF(ISNA(P79),0,OFFSET(INDIRECT("'"&amp;EV$67&amp;"'!h1"),P79-1,))</f>
        <v>9</v>
      </c>
      <c r="FN79" s="10"/>
      <c r="FO79" s="10"/>
      <c r="FP79" s="10"/>
      <c r="FQ79" s="10"/>
      <c r="FS79">
        <f t="shared" ca="1" si="55"/>
        <v>290</v>
      </c>
      <c r="FT79">
        <f t="shared" ca="1" si="56"/>
        <v>22.993069109506902</v>
      </c>
      <c r="FU79">
        <f t="shared" ca="1" si="57"/>
        <v>130</v>
      </c>
      <c r="FV79">
        <f t="shared" ca="1" si="58"/>
        <v>10000</v>
      </c>
      <c r="FW79" s="4">
        <f t="shared" ca="1" si="59"/>
        <v>1.2999999999999999E-2</v>
      </c>
      <c r="FX79" s="5">
        <f t="shared" ca="1" si="60"/>
        <v>0.17686976238082233</v>
      </c>
      <c r="FZ79" s="13">
        <f t="shared" ca="1" si="44"/>
        <v>290</v>
      </c>
      <c r="GA79" s="23">
        <f t="shared" ca="1" si="61"/>
        <v>0</v>
      </c>
      <c r="GB79" s="23">
        <f t="shared" ca="1" si="45"/>
        <v>0</v>
      </c>
      <c r="GC79" s="23">
        <f t="shared" ca="1" si="45"/>
        <v>4.8</v>
      </c>
      <c r="GD79" s="23" t="e">
        <f t="shared" ca="1" si="45"/>
        <v>#N/A</v>
      </c>
      <c r="GE79" s="23">
        <f t="shared" ca="1" si="45"/>
        <v>0</v>
      </c>
      <c r="GF79" s="23">
        <f t="shared" ca="1" si="45"/>
        <v>0</v>
      </c>
      <c r="GG79" s="23">
        <f t="shared" ca="1" si="45"/>
        <v>0</v>
      </c>
      <c r="GH79" s="23">
        <f t="shared" ca="1" si="45"/>
        <v>0</v>
      </c>
      <c r="GI79" s="23">
        <f t="shared" ca="1" si="45"/>
        <v>0</v>
      </c>
      <c r="GJ79" s="23" t="e">
        <f t="shared" ca="1" si="45"/>
        <v>#N/A</v>
      </c>
      <c r="GK79" s="23" t="e">
        <f t="shared" ca="1" si="45"/>
        <v>#N/A</v>
      </c>
      <c r="GL79" s="23" t="e">
        <f t="shared" ca="1" si="45"/>
        <v>#N/A</v>
      </c>
      <c r="GM79" s="23"/>
      <c r="GN79">
        <f t="shared" ca="1" si="62"/>
        <v>290</v>
      </c>
      <c r="GO79" s="5" t="e">
        <f t="shared" ca="1" si="63"/>
        <v>#N/A</v>
      </c>
      <c r="GP79" s="5" t="e">
        <f t="shared" ca="1" si="46"/>
        <v>#N/A</v>
      </c>
      <c r="GQ79" s="5" t="e">
        <f t="shared" ca="1" si="46"/>
        <v>#N/A</v>
      </c>
      <c r="GR79" s="5" t="e">
        <f t="shared" ca="1" si="46"/>
        <v>#N/A</v>
      </c>
      <c r="GS79" s="5" t="e">
        <f t="shared" ca="1" si="46"/>
        <v>#N/A</v>
      </c>
      <c r="GT79" s="5">
        <f t="shared" ca="1" si="64"/>
        <v>2.1254388228990102</v>
      </c>
      <c r="GU79" s="5">
        <f t="shared" ca="1" si="47"/>
        <v>0.17686976238082233</v>
      </c>
      <c r="GV79" s="5">
        <f t="shared" ca="1" si="47"/>
        <v>4.0991233784158773E-3</v>
      </c>
      <c r="GW79" s="5">
        <f t="shared" ca="1" si="47"/>
        <v>29.504461937222583</v>
      </c>
      <c r="GX79" s="5" t="e">
        <f t="shared" ca="1" si="47"/>
        <v>#N/A</v>
      </c>
      <c r="GY79" s="5" t="e">
        <f t="shared" ca="1" si="47"/>
        <v>#N/A</v>
      </c>
      <c r="GZ79" s="5" t="e">
        <f t="shared" ca="1" si="47"/>
        <v>#N/A</v>
      </c>
      <c r="HB79" s="13">
        <f t="shared" ca="1" si="48"/>
        <v>290</v>
      </c>
      <c r="HC79" s="4">
        <f t="shared" ca="1" si="65"/>
        <v>1</v>
      </c>
      <c r="HD79" s="4">
        <f t="shared" ca="1" si="49"/>
        <v>1</v>
      </c>
      <c r="HE79" s="4">
        <f t="shared" ca="1" si="49"/>
        <v>0</v>
      </c>
      <c r="HF79" s="4">
        <f t="shared" ca="1" si="49"/>
        <v>0</v>
      </c>
      <c r="HG79" s="4">
        <f t="shared" ca="1" si="49"/>
        <v>1</v>
      </c>
      <c r="HH79" s="4">
        <f t="shared" ca="1" si="49"/>
        <v>1</v>
      </c>
      <c r="HI79" s="4">
        <f t="shared" ca="1" si="49"/>
        <v>1.2999999999999999E-2</v>
      </c>
      <c r="HJ79" s="4">
        <f t="shared" ca="1" si="49"/>
        <v>0.55549999999999999</v>
      </c>
      <c r="HK79" s="4">
        <f t="shared" ca="1" si="49"/>
        <v>5.7999999999999996E-3</v>
      </c>
      <c r="HL79" s="4">
        <f t="shared" ca="1" si="49"/>
        <v>0</v>
      </c>
      <c r="HM79" s="4">
        <f t="shared" ca="1" si="49"/>
        <v>0</v>
      </c>
      <c r="HN79" s="4">
        <f t="shared" ca="1" si="49"/>
        <v>0</v>
      </c>
    </row>
    <row r="80" spans="1:222" x14ac:dyDescent="0.2">
      <c r="A80" t="str" cm="1">
        <f t="array" aca="1" ref="A80" ca="1">INDIRECT($A$67&amp;"!A"&amp;ROW(C13)+$B$64)</f>
        <v>[[300,122,20]]</v>
      </c>
      <c r="B80" cm="1">
        <f t="array" aca="1" ref="B80" ca="1">INDIRECT($A$67&amp;"!b"&amp;ROW(D13)+$B$64)</f>
        <v>300</v>
      </c>
      <c r="C80">
        <f t="shared" ca="1" si="50"/>
        <v>20</v>
      </c>
      <c r="E80">
        <f t="shared" ca="1" si="37"/>
        <v>37</v>
      </c>
      <c r="F80">
        <f t="shared" ca="1" si="37"/>
        <v>38</v>
      </c>
      <c r="G80">
        <f t="shared" ca="1" si="37"/>
        <v>37</v>
      </c>
      <c r="H80">
        <f t="shared" ca="1" si="37"/>
        <v>37</v>
      </c>
      <c r="I80">
        <f t="shared" ca="1" si="37"/>
        <v>40</v>
      </c>
      <c r="J80">
        <f t="shared" ca="1" si="37"/>
        <v>37</v>
      </c>
      <c r="K80">
        <f t="shared" ca="1" si="37"/>
        <v>44</v>
      </c>
      <c r="L80">
        <f t="shared" ca="1" si="37"/>
        <v>46</v>
      </c>
      <c r="M80">
        <f t="shared" ca="1" si="37"/>
        <v>43</v>
      </c>
      <c r="N80">
        <f t="shared" ca="1" si="37"/>
        <v>41</v>
      </c>
      <c r="O80">
        <f t="shared" ca="1" si="37"/>
        <v>41</v>
      </c>
      <c r="P80">
        <f t="shared" ca="1" si="37"/>
        <v>41</v>
      </c>
      <c r="V80" cm="1">
        <f t="array" aca="1" ref="V80" ca="1">IF(ISNA(E80),,OFFSET(INDIRECT("'"&amp;V$67&amp;"'!d1"),E80-1,))</f>
        <v>20</v>
      </c>
      <c r="W80" cm="1">
        <f t="array" aca="1" ref="W80" ca="1">IF(ISNA(F80),,OFFSET(INDIRECT("'"&amp;W$67&amp;"'!d1"),F80-1,))</f>
        <v>20</v>
      </c>
      <c r="X80" cm="1">
        <f t="array" aca="1" ref="X80" ca="1">IF(ISNA(G80),,OFFSET(INDIRECT("'"&amp;X$67&amp;"'!d1"),G80-1,))</f>
        <v>0</v>
      </c>
      <c r="Y80" cm="1">
        <f t="array" aca="1" ref="Y80" ca="1">IF(ISNA(H80),,OFFSET(INDIRECT("'"&amp;Y$67&amp;"'!d1"),H80-1,))</f>
        <v>0</v>
      </c>
      <c r="Z80" cm="1">
        <f t="array" aca="1" ref="Z80" ca="1">IF(ISNA(I80),,OFFSET(INDIRECT("'"&amp;Z$67&amp;"'!d1"),I80-1,))</f>
        <v>20</v>
      </c>
      <c r="AA80" cm="1">
        <f t="array" aca="1" ref="AA80" ca="1">IF(ISNA(J80),,OFFSET(INDIRECT("'"&amp;AA$67&amp;"'!d1"),J80-1,))</f>
        <v>20</v>
      </c>
      <c r="AB80" cm="1">
        <f t="array" aca="1" ref="AB80" ca="1">IF(ISNA(K80),,OFFSET(INDIRECT("'"&amp;AB$67&amp;"'!d1"),K80-1,))</f>
        <v>20</v>
      </c>
      <c r="AC80" cm="1">
        <f t="array" aca="1" ref="AC80" ca="1">IF(ISNA(L80),,OFFSET(INDIRECT("'"&amp;AC$67&amp;"'!d1"),L80-1,))</f>
        <v>20</v>
      </c>
      <c r="AD80" cm="1">
        <f t="array" aca="1" ref="AD80" ca="1">IF(ISNA(M80),,OFFSET(INDIRECT("'"&amp;AD$67&amp;"'!d1"),M80-1,))</f>
        <v>20</v>
      </c>
      <c r="AE80" cm="1">
        <f t="array" aca="1" ref="AE80" ca="1">IF(ISNA(N80),,OFFSET(INDIRECT("'"&amp;AE$67&amp;"'!d1"),N80-1,))</f>
        <v>0</v>
      </c>
      <c r="AF80" cm="1">
        <f t="array" aca="1" ref="AF80" ca="1">IF(ISNA(O80),,OFFSET(INDIRECT("'"&amp;AF$67&amp;"'!d1"),O80-1,))</f>
        <v>0</v>
      </c>
      <c r="AG80" cm="1">
        <f t="array" aca="1" ref="AG80" ca="1">IF(ISNA(P80),,OFFSET(INDIRECT("'"&amp;AG$67&amp;"'!d1"),P80-1,))</f>
        <v>0</v>
      </c>
      <c r="AM80">
        <f t="shared" ca="1" si="51"/>
        <v>0</v>
      </c>
      <c r="AN80">
        <f t="shared" ca="1" si="38"/>
        <v>0</v>
      </c>
      <c r="AO80">
        <f t="shared" ca="1" si="38"/>
        <v>0</v>
      </c>
      <c r="AP80">
        <f t="shared" ca="1" si="38"/>
        <v>0</v>
      </c>
      <c r="AQ80">
        <f t="shared" ca="1" si="52"/>
        <v>0</v>
      </c>
      <c r="AV80" t="str">
        <f t="shared" ca="1" si="53"/>
        <v/>
      </c>
      <c r="AW80" t="str">
        <f t="shared" ca="1" si="39"/>
        <v/>
      </c>
      <c r="AX80" t="str">
        <f t="shared" ca="1" si="39"/>
        <v/>
      </c>
      <c r="AY80" t="str">
        <f t="shared" ca="1" si="39"/>
        <v/>
      </c>
      <c r="AZ80" t="str">
        <f t="shared" ca="1" si="39"/>
        <v/>
      </c>
      <c r="BD80">
        <f t="shared" ca="1" si="40"/>
        <v>1</v>
      </c>
      <c r="BE80">
        <f t="shared" ca="1" si="40"/>
        <v>1</v>
      </c>
      <c r="BF80">
        <f t="shared" ca="1" si="40"/>
        <v>0</v>
      </c>
      <c r="BG80">
        <f t="shared" ca="1" si="40"/>
        <v>0</v>
      </c>
      <c r="BH80">
        <f t="shared" ca="1" si="40"/>
        <v>1</v>
      </c>
      <c r="BI80">
        <f t="shared" ca="1" si="40"/>
        <v>1</v>
      </c>
      <c r="BJ80">
        <f t="shared" ca="1" si="40"/>
        <v>1</v>
      </c>
      <c r="BK80">
        <f t="shared" ca="1" si="40"/>
        <v>1</v>
      </c>
      <c r="BL80">
        <f t="shared" ca="1" si="40"/>
        <v>1</v>
      </c>
      <c r="BM80">
        <f t="shared" ca="1" si="40"/>
        <v>0</v>
      </c>
      <c r="BN80">
        <f t="shared" ca="1" si="40"/>
        <v>0</v>
      </c>
      <c r="BO80">
        <f t="shared" ca="1" si="40"/>
        <v>0</v>
      </c>
      <c r="BU80">
        <f t="shared" ca="1" si="41"/>
        <v>20</v>
      </c>
      <c r="BV80">
        <f t="shared" ca="1" si="41"/>
        <v>20</v>
      </c>
      <c r="BW80">
        <f t="shared" ca="1" si="41"/>
        <v>300</v>
      </c>
      <c r="BX80">
        <f t="shared" ca="1" si="41"/>
        <v>300</v>
      </c>
      <c r="BY80">
        <f t="shared" ca="1" si="41"/>
        <v>20</v>
      </c>
      <c r="BZ80">
        <f t="shared" ca="1" si="41"/>
        <v>20</v>
      </c>
      <c r="CA80">
        <f t="shared" ca="1" si="41"/>
        <v>20</v>
      </c>
      <c r="CB80">
        <f t="shared" ca="1" si="41"/>
        <v>20</v>
      </c>
      <c r="CC80">
        <f t="shared" ca="1" si="41"/>
        <v>20</v>
      </c>
      <c r="CD80">
        <f t="shared" ca="1" si="41"/>
        <v>300</v>
      </c>
      <c r="CE80">
        <f t="shared" ca="1" si="41"/>
        <v>300</v>
      </c>
      <c r="CF80">
        <f t="shared" ca="1" si="41"/>
        <v>300</v>
      </c>
      <c r="CL80">
        <f t="shared" ca="1" si="42"/>
        <v>1</v>
      </c>
      <c r="CM80">
        <f t="shared" ca="1" si="42"/>
        <v>1</v>
      </c>
      <c r="CN80">
        <f t="shared" ca="1" si="42"/>
        <v>0</v>
      </c>
      <c r="CO80">
        <f t="shared" ca="1" si="42"/>
        <v>0</v>
      </c>
      <c r="CP80">
        <f t="shared" ca="1" si="42"/>
        <v>1</v>
      </c>
      <c r="CQ80">
        <f t="shared" ca="1" si="42"/>
        <v>1</v>
      </c>
      <c r="CR80">
        <f t="shared" ca="1" si="42"/>
        <v>1</v>
      </c>
      <c r="CS80">
        <f t="shared" ca="1" si="42"/>
        <v>1</v>
      </c>
      <c r="CT80">
        <f t="shared" ca="1" si="42"/>
        <v>1</v>
      </c>
      <c r="CU80">
        <f t="shared" ca="1" si="42"/>
        <v>0</v>
      </c>
      <c r="CV80">
        <f t="shared" ca="1" si="42"/>
        <v>0</v>
      </c>
      <c r="CW80">
        <f t="shared" ca="1" si="42"/>
        <v>0</v>
      </c>
      <c r="DC80" cm="1">
        <f t="array" aca="1" ref="DC80" ca="1">IF(ISNA(E80),,OFFSET(INDIRECT("'"&amp;DT$67&amp;"'!f1"),E80-1,))*1</f>
        <v>28849.668768249401</v>
      </c>
      <c r="DD80" cm="1">
        <f t="array" aca="1" ref="DD80" ca="1">IF(ISNA(F80),,OFFSET(INDIRECT("'"&amp;DU$67&amp;"'!f1"),F80-1,))*1</f>
        <v>28817.521620877</v>
      </c>
      <c r="DE80" cm="1">
        <f t="array" aca="1" ref="DE80" ca="1">IF(ISNA(G80),,OFFSET(INDIRECT("'"&amp;DV$67&amp;"'!f1"),G80-1,))*1</f>
        <v>28800.376566305698</v>
      </c>
      <c r="DF80" cm="1">
        <f t="array" aca="1" ref="DF80" ca="1">IF(ISNA(H80),,OFFSET(INDIRECT("'"&amp;DW$67&amp;"'!f1"),H80-1,))*1</f>
        <v>28800.1285071149</v>
      </c>
      <c r="DG80" cm="1">
        <f t="array" aca="1" ref="DG80" ca="1">IF(ISNA(I80),,OFFSET(INDIRECT("'"&amp;DX$67&amp;"'!f1"),I80-1,))*1</f>
        <v>28800.081414542001</v>
      </c>
      <c r="DH80" cm="1">
        <f t="array" aca="1" ref="DH80" ca="1">IF(ISNA(J80),,OFFSET(INDIRECT("'"&amp;DY$67&amp;"'!f1"),J80-1,))*1</f>
        <v>2.25670514116063</v>
      </c>
      <c r="DI80" cm="1">
        <f t="array" aca="1" ref="DI80" ca="1">IF(ISNA(K80),,OFFSET(INDIRECT("'"&amp;DZ$67&amp;"'!f1"),K80-1,))*1</f>
        <v>25.089682760648401</v>
      </c>
      <c r="DJ80" cm="1">
        <f t="array" aca="1" ref="DJ80" ca="1">IF(ISNA(L80),,OFFSET(INDIRECT("'"&amp;EA$67&amp;"'!f1"),L80-1,))*1</f>
        <v>24.5864471271634</v>
      </c>
      <c r="DK80" cm="1">
        <f t="array" aca="1" ref="DK80" ca="1">IF(ISNA(M80),,OFFSET(INDIRECT("'"&amp;EB$67&amp;"'!f1"),M80-1,))*1</f>
        <v>1987.2127914400701</v>
      </c>
      <c r="DL80" cm="1">
        <f t="array" aca="1" ref="DL80" ca="1">IF(ISNA(N80),,OFFSET(INDIRECT("'"&amp;EC$67&amp;"'!f1"),N80-1,))*1</f>
        <v>8.5513443686068003E-2</v>
      </c>
      <c r="DM80" cm="1">
        <f t="array" aca="1" ref="DM80" ca="1">IF(ISNA(O80),,OFFSET(INDIRECT("'"&amp;ED$67&amp;"'!f1"),O80-1,))*1</f>
        <v>9.6674517728388296E-2</v>
      </c>
      <c r="DN80" cm="1">
        <f t="array" aca="1" ref="DN80" ca="1">IF(ISNA(P80),,OFFSET(INDIRECT("'"&amp;EE$67&amp;"'!f1"),P80-1,))*1</f>
        <v>0.27651543356478198</v>
      </c>
      <c r="DT80">
        <f t="shared" ca="1" si="54"/>
        <v>1</v>
      </c>
      <c r="DU80">
        <f t="shared" ca="1" si="43"/>
        <v>1</v>
      </c>
      <c r="DV80">
        <f t="shared" ca="1" si="43"/>
        <v>0</v>
      </c>
      <c r="DW80">
        <f t="shared" ca="1" si="43"/>
        <v>0</v>
      </c>
      <c r="DX80">
        <f t="shared" ca="1" si="43"/>
        <v>1</v>
      </c>
      <c r="DY80">
        <f t="shared" ca="1" si="43"/>
        <v>1</v>
      </c>
      <c r="DZ80">
        <f t="shared" ca="1" si="43"/>
        <v>259</v>
      </c>
      <c r="EA80">
        <f t="shared" ca="1" si="43"/>
        <v>6134</v>
      </c>
      <c r="EB80">
        <f t="shared" ca="1" si="43"/>
        <v>98</v>
      </c>
      <c r="EC80">
        <f t="shared" ca="1" si="43"/>
        <v>0</v>
      </c>
      <c r="ED80">
        <f t="shared" ca="1" si="43"/>
        <v>0</v>
      </c>
      <c r="EE80">
        <f t="shared" ca="1" si="43"/>
        <v>0</v>
      </c>
      <c r="EK80" cm="1">
        <f t="array" aca="1" ref="EK80" ca="1">IF(ISNA(E80),0,OFFSET(INDIRECT("'"&amp;EK$67&amp;"'!g1"),E80-1,)*CL80)</f>
        <v>1</v>
      </c>
      <c r="EL80" cm="1">
        <f t="array" aca="1" ref="EL80" ca="1">IF(ISNA(F80),0,OFFSET(INDIRECT("'"&amp;EL$67&amp;"'!g1"),F80-1,)*CM80)</f>
        <v>1</v>
      </c>
      <c r="EM80" cm="1">
        <f t="array" aca="1" ref="EM80" ca="1">IF(ISNA(G80),0,OFFSET(INDIRECT("'"&amp;EM$67&amp;"'!g1"),G80-1,)*CN80)</f>
        <v>0</v>
      </c>
      <c r="EN80" cm="1">
        <f t="array" aca="1" ref="EN80" ca="1">IF(ISNA(H80),0,OFFSET(INDIRECT("'"&amp;EN$67&amp;"'!g1"),H80-1,)*CO80)</f>
        <v>0</v>
      </c>
      <c r="EO80" cm="1">
        <f t="array" aca="1" ref="EO80" ca="1">IF(ISNA(I80),0,OFFSET(INDIRECT("'"&amp;EO$67&amp;"'!g1"),I80-1,)*CP80)</f>
        <v>1</v>
      </c>
      <c r="EP80" cm="1">
        <f t="array" aca="1" ref="EP80" ca="1">IF(ISNA(J80),0,OFFSET(INDIRECT("'"&amp;EP$67&amp;"'!g1"),J80-1,)*CQ80)</f>
        <v>1</v>
      </c>
      <c r="EQ80" cm="1">
        <f t="array" aca="1" ref="EQ80" ca="1">IF(ISNA(K80),0,OFFSET(INDIRECT("'"&amp;EQ$67&amp;"'!g1"),K80-1,)*CR80)</f>
        <v>259</v>
      </c>
      <c r="ER80" cm="1">
        <f t="array" aca="1" ref="ER80" ca="1">IF(ISNA(L80),0,OFFSET(INDIRECT("'"&amp;ER$67&amp;"'!g1"),L80-1,)*CS80)</f>
        <v>6134</v>
      </c>
      <c r="ES80" cm="1">
        <f t="array" aca="1" ref="ES80" ca="1">IF(ISNA(M80),0,OFFSET(INDIRECT("'"&amp;ES$67&amp;"'!g1"),M80-1,)*CT80)</f>
        <v>98</v>
      </c>
      <c r="ET80" cm="1">
        <f t="array" aca="1" ref="ET80" ca="1">IF(ISNA(N80),0,OFFSET(INDIRECT("'"&amp;ET$67&amp;"'!g1"),N80-1,)*CU80)</f>
        <v>0</v>
      </c>
      <c r="EU80" cm="1">
        <f t="array" aca="1" ref="EU80" ca="1">IF(ISNA(O80),0,OFFSET(INDIRECT("'"&amp;EU$67&amp;"'!g1"),O80-1,)*CV80)</f>
        <v>0</v>
      </c>
      <c r="EV80" cm="1">
        <f t="array" aca="1" ref="EV80" ca="1">IF(ISNA(P80),0,OFFSET(INDIRECT("'"&amp;EV$67&amp;"'!g1"),P80-1,)*CW80)</f>
        <v>0</v>
      </c>
      <c r="FB80" s="10" cm="1">
        <f t="array" aca="1" ref="FB80" ca="1">IF(ISNA(E80),0,OFFSET(INDIRECT("'"&amp;EK$67&amp;"'!h1"),E80-1,))</f>
        <v>1</v>
      </c>
      <c r="FC80" s="10" cm="1">
        <f t="array" aca="1" ref="FC80" ca="1">IF(ISNA(F80),0,OFFSET(INDIRECT("'"&amp;EL$67&amp;"'!h1"),F80-1,))</f>
        <v>1</v>
      </c>
      <c r="FD80" s="10" cm="1">
        <f t="array" aca="1" ref="FD80" ca="1">IF(ISNA(G80),0,OFFSET(INDIRECT("'"&amp;EM$67&amp;"'!h1"),G80-1,))</f>
        <v>1</v>
      </c>
      <c r="FE80" s="10" cm="1">
        <f t="array" aca="1" ref="FE80" ca="1">IF(ISNA(H80),0,OFFSET(INDIRECT("'"&amp;EN$67&amp;"'!h1"),H80-1,))</f>
        <v>1</v>
      </c>
      <c r="FF80" s="10" cm="1">
        <f t="array" aca="1" ref="FF80" ca="1">IF(ISNA(I80),0,OFFSET(INDIRECT("'"&amp;EO$67&amp;"'!h1"),I80-1,))</f>
        <v>1</v>
      </c>
      <c r="FG80" s="10" cm="1">
        <f t="array" aca="1" ref="FG80" ca="1">IF(ISNA(J80),0,OFFSET(INDIRECT("'"&amp;EP$67&amp;"'!h1"),J80-1,))</f>
        <v>1</v>
      </c>
      <c r="FH80" s="10" cm="1">
        <f t="array" aca="1" ref="FH80" ca="1">IF(ISNA(K80),0,OFFSET(INDIRECT("'"&amp;EQ$67&amp;"'!h1"),K80-1,))</f>
        <v>10000</v>
      </c>
      <c r="FI80" s="10" cm="1">
        <f t="array" aca="1" ref="FI80" ca="1">IF(ISNA(L80),0,OFFSET(INDIRECT("'"&amp;ER$67&amp;"'!h1"),L80-1,))</f>
        <v>10000</v>
      </c>
      <c r="FJ80" s="10" cm="1">
        <f t="array" aca="1" ref="FJ80" ca="1">IF(ISNA(M80),0,OFFSET(INDIRECT("'"&amp;ES$67&amp;"'!h1"),M80-1,))</f>
        <v>10000</v>
      </c>
      <c r="FK80" s="10" cm="1">
        <f t="array" aca="1" ref="FK80" ca="1">IF(ISNA(N80),0,OFFSET(INDIRECT("'"&amp;ET$67&amp;"'!h1"),N80-1,))</f>
        <v>1</v>
      </c>
      <c r="FL80" s="10" cm="1">
        <f t="array" aca="1" ref="FL80" ca="1">IF(ISNA(O80),0,OFFSET(INDIRECT("'"&amp;EU$67&amp;"'!h1"),O80-1,))</f>
        <v>1</v>
      </c>
      <c r="FM80" s="10" cm="1">
        <f t="array" aca="1" ref="FM80" ca="1">IF(ISNA(P80),0,OFFSET(INDIRECT("'"&amp;EV$67&amp;"'!h1"),P80-1,))</f>
        <v>9</v>
      </c>
      <c r="FN80" s="10"/>
      <c r="FO80" s="10"/>
      <c r="FP80" s="10"/>
      <c r="FQ80" s="10"/>
      <c r="FS80">
        <f t="shared" ca="1" si="55"/>
        <v>300</v>
      </c>
      <c r="FT80">
        <f t="shared" ca="1" si="56"/>
        <v>25.089682760648401</v>
      </c>
      <c r="FU80">
        <f t="shared" ca="1" si="57"/>
        <v>259</v>
      </c>
      <c r="FV80">
        <f t="shared" ca="1" si="58"/>
        <v>10000</v>
      </c>
      <c r="FW80" s="4">
        <f t="shared" ca="1" si="59"/>
        <v>2.5899999999999999E-2</v>
      </c>
      <c r="FX80" s="5">
        <f t="shared" ca="1" si="60"/>
        <v>9.687136201022549E-2</v>
      </c>
      <c r="FZ80" s="13">
        <f t="shared" ca="1" si="44"/>
        <v>300</v>
      </c>
      <c r="GA80" s="23">
        <f t="shared" ca="1" si="61"/>
        <v>0</v>
      </c>
      <c r="GB80" s="23">
        <f t="shared" ca="1" si="45"/>
        <v>0</v>
      </c>
      <c r="GC80" s="23" t="e">
        <f t="shared" ca="1" si="45"/>
        <v>#N/A</v>
      </c>
      <c r="GD80" s="23" t="e">
        <f t="shared" ca="1" si="45"/>
        <v>#N/A</v>
      </c>
      <c r="GE80" s="23">
        <f t="shared" ca="1" si="45"/>
        <v>0</v>
      </c>
      <c r="GF80" s="23">
        <f t="shared" ca="1" si="45"/>
        <v>0</v>
      </c>
      <c r="GG80" s="23">
        <f t="shared" ca="1" si="45"/>
        <v>0</v>
      </c>
      <c r="GH80" s="23">
        <f t="shared" ca="1" si="45"/>
        <v>0</v>
      </c>
      <c r="GI80" s="23">
        <f t="shared" ca="1" si="45"/>
        <v>0</v>
      </c>
      <c r="GJ80" s="23" t="e">
        <f t="shared" ca="1" si="45"/>
        <v>#N/A</v>
      </c>
      <c r="GK80" s="23" t="e">
        <f t="shared" ca="1" si="45"/>
        <v>#N/A</v>
      </c>
      <c r="GL80" s="23" t="e">
        <f t="shared" ca="1" si="45"/>
        <v>#N/A</v>
      </c>
      <c r="GM80" s="23"/>
      <c r="GN80">
        <f t="shared" ca="1" si="62"/>
        <v>300</v>
      </c>
      <c r="GO80" s="5" t="e">
        <f t="shared" ca="1" si="63"/>
        <v>#N/A</v>
      </c>
      <c r="GP80" s="5" t="e">
        <f t="shared" ca="1" si="46"/>
        <v>#N/A</v>
      </c>
      <c r="GQ80" s="5" t="e">
        <f t="shared" ca="1" si="46"/>
        <v>#N/A</v>
      </c>
      <c r="GR80" s="5" t="e">
        <f t="shared" ca="1" si="46"/>
        <v>#N/A</v>
      </c>
      <c r="GS80" s="5" t="e">
        <f t="shared" ca="1" si="46"/>
        <v>#N/A</v>
      </c>
      <c r="GT80" s="5">
        <f t="shared" ca="1" si="64"/>
        <v>2.25670514116063</v>
      </c>
      <c r="GU80" s="5">
        <f t="shared" ca="1" si="47"/>
        <v>9.687136201022549E-2</v>
      </c>
      <c r="GV80" s="5">
        <f t="shared" ca="1" si="47"/>
        <v>4.0082241811482556E-3</v>
      </c>
      <c r="GW80" s="5">
        <f t="shared" ca="1" si="47"/>
        <v>20.277681545306837</v>
      </c>
      <c r="GX80" s="5" t="e">
        <f t="shared" ca="1" si="47"/>
        <v>#N/A</v>
      </c>
      <c r="GY80" s="5" t="e">
        <f t="shared" ca="1" si="47"/>
        <v>#N/A</v>
      </c>
      <c r="GZ80" s="5" t="e">
        <f t="shared" ca="1" si="47"/>
        <v>#N/A</v>
      </c>
      <c r="HB80" s="13">
        <f t="shared" ca="1" si="48"/>
        <v>300</v>
      </c>
      <c r="HC80" s="4">
        <f t="shared" ca="1" si="65"/>
        <v>1</v>
      </c>
      <c r="HD80" s="4">
        <f t="shared" ca="1" si="49"/>
        <v>1</v>
      </c>
      <c r="HE80" s="4">
        <f t="shared" ca="1" si="49"/>
        <v>0</v>
      </c>
      <c r="HF80" s="4">
        <f t="shared" ca="1" si="49"/>
        <v>0</v>
      </c>
      <c r="HG80" s="4">
        <f t="shared" ca="1" si="49"/>
        <v>1</v>
      </c>
      <c r="HH80" s="4">
        <f t="shared" ca="1" si="49"/>
        <v>1</v>
      </c>
      <c r="HI80" s="4">
        <f t="shared" ca="1" si="49"/>
        <v>2.5899999999999999E-2</v>
      </c>
      <c r="HJ80" s="4">
        <f t="shared" ca="1" si="49"/>
        <v>0.61339999999999995</v>
      </c>
      <c r="HK80" s="4">
        <f t="shared" ca="1" si="49"/>
        <v>9.7999999999999997E-3</v>
      </c>
      <c r="HL80" s="4">
        <f t="shared" ca="1" si="49"/>
        <v>0</v>
      </c>
      <c r="HM80" s="4">
        <f t="shared" ca="1" si="49"/>
        <v>0</v>
      </c>
      <c r="HN80" s="4">
        <f t="shared" ca="1" si="49"/>
        <v>0</v>
      </c>
    </row>
    <row r="81" spans="1:222" x14ac:dyDescent="0.2">
      <c r="A81" t="str" cm="1">
        <f t="array" aca="1" ref="A81" ca="1">INDIRECT($A$67&amp;"!A"&amp;ROW(C14)+$B$64)</f>
        <v>[[305,124,24]]</v>
      </c>
      <c r="B81" cm="1">
        <f t="array" aca="1" ref="B81" ca="1">INDIRECT($A$67&amp;"!b"&amp;ROW(D14)+$B$64)</f>
        <v>305</v>
      </c>
      <c r="C81">
        <f t="shared" ca="1" si="50"/>
        <v>24</v>
      </c>
      <c r="E81">
        <f t="shared" ca="1" si="37"/>
        <v>38</v>
      </c>
      <c r="F81">
        <f t="shared" ca="1" si="37"/>
        <v>39</v>
      </c>
      <c r="G81">
        <f t="shared" ca="1" si="37"/>
        <v>38</v>
      </c>
      <c r="H81">
        <f t="shared" ca="1" si="37"/>
        <v>38</v>
      </c>
      <c r="I81">
        <f t="shared" ca="1" si="37"/>
        <v>41</v>
      </c>
      <c r="J81">
        <f t="shared" ca="1" si="37"/>
        <v>38</v>
      </c>
      <c r="K81">
        <f t="shared" ca="1" si="37"/>
        <v>45</v>
      </c>
      <c r="L81">
        <f t="shared" ca="1" si="37"/>
        <v>47</v>
      </c>
      <c r="M81">
        <f t="shared" ca="1" si="37"/>
        <v>44</v>
      </c>
      <c r="N81">
        <f t="shared" ca="1" si="37"/>
        <v>42</v>
      </c>
      <c r="O81">
        <f t="shared" ca="1" si="37"/>
        <v>42</v>
      </c>
      <c r="P81">
        <f t="shared" ca="1" si="37"/>
        <v>42</v>
      </c>
      <c r="V81" cm="1">
        <f t="array" aca="1" ref="V81" ca="1">IF(ISNA(E81),,OFFSET(INDIRECT("'"&amp;V$67&amp;"'!d1"),E81-1,))</f>
        <v>24</v>
      </c>
      <c r="W81" cm="1">
        <f t="array" aca="1" ref="W81" ca="1">IF(ISNA(F81),,OFFSET(INDIRECT("'"&amp;W$67&amp;"'!d1"),F81-1,))</f>
        <v>24</v>
      </c>
      <c r="X81" cm="1">
        <f t="array" aca="1" ref="X81" ca="1">IF(ISNA(G81),,OFFSET(INDIRECT("'"&amp;X$67&amp;"'!d1"),G81-1,))</f>
        <v>122</v>
      </c>
      <c r="Y81" cm="1">
        <f t="array" aca="1" ref="Y81" ca="1">IF(ISNA(H81),,OFFSET(INDIRECT("'"&amp;Y$67&amp;"'!d1"),H81-1,))</f>
        <v>0</v>
      </c>
      <c r="Z81" cm="1">
        <f t="array" aca="1" ref="Z81" ca="1">IF(ISNA(I81),,OFFSET(INDIRECT("'"&amp;Z$67&amp;"'!d1"),I81-1,))</f>
        <v>24</v>
      </c>
      <c r="AA81" cm="1">
        <f t="array" aca="1" ref="AA81" ca="1">IF(ISNA(J81),,OFFSET(INDIRECT("'"&amp;AA$67&amp;"'!d1"),J81-1,))</f>
        <v>24</v>
      </c>
      <c r="AB81" cm="1">
        <f t="array" aca="1" ref="AB81" ca="1">IF(ISNA(K81),,OFFSET(INDIRECT("'"&amp;AB$67&amp;"'!d1"),K81-1,))</f>
        <v>24</v>
      </c>
      <c r="AC81" cm="1">
        <f t="array" aca="1" ref="AC81" ca="1">IF(ISNA(L81),,OFFSET(INDIRECT("'"&amp;AC$67&amp;"'!d1"),L81-1,))</f>
        <v>24</v>
      </c>
      <c r="AD81" cm="1">
        <f t="array" aca="1" ref="AD81" ca="1">IF(ISNA(M81),,OFFSET(INDIRECT("'"&amp;AD$67&amp;"'!d1"),M81-1,))</f>
        <v>24</v>
      </c>
      <c r="AE81" cm="1">
        <f t="array" aca="1" ref="AE81" ca="1">IF(ISNA(N81),,OFFSET(INDIRECT("'"&amp;AE$67&amp;"'!d1"),N81-1,))</f>
        <v>0</v>
      </c>
      <c r="AF81" cm="1">
        <f t="array" aca="1" ref="AF81" ca="1">IF(ISNA(O81),,OFFSET(INDIRECT("'"&amp;AF$67&amp;"'!d1"),O81-1,))</f>
        <v>0</v>
      </c>
      <c r="AG81" cm="1">
        <f t="array" aca="1" ref="AG81" ca="1">IF(ISNA(P81),,OFFSET(INDIRECT("'"&amp;AG$67&amp;"'!d1"),P81-1,))</f>
        <v>0</v>
      </c>
      <c r="AM81">
        <f t="shared" ca="1" si="51"/>
        <v>0</v>
      </c>
      <c r="AN81">
        <f t="shared" ca="1" si="38"/>
        <v>0</v>
      </c>
      <c r="AO81">
        <f t="shared" ca="1" si="38"/>
        <v>0</v>
      </c>
      <c r="AP81">
        <f t="shared" ca="1" si="38"/>
        <v>0</v>
      </c>
      <c r="AQ81">
        <f t="shared" ca="1" si="52"/>
        <v>0</v>
      </c>
      <c r="AV81" t="str">
        <f t="shared" ca="1" si="53"/>
        <v/>
      </c>
      <c r="AW81" t="str">
        <f t="shared" ca="1" si="39"/>
        <v/>
      </c>
      <c r="AX81" t="str">
        <f t="shared" ca="1" si="39"/>
        <v/>
      </c>
      <c r="AY81" t="str">
        <f t="shared" ca="1" si="39"/>
        <v/>
      </c>
      <c r="AZ81" t="str">
        <f t="shared" ca="1" si="39"/>
        <v/>
      </c>
      <c r="BD81">
        <f t="shared" ca="1" si="40"/>
        <v>1</v>
      </c>
      <c r="BE81">
        <f t="shared" ca="1" si="40"/>
        <v>1</v>
      </c>
      <c r="BF81">
        <f t="shared" ca="1" si="40"/>
        <v>1</v>
      </c>
      <c r="BG81">
        <f t="shared" ca="1" si="40"/>
        <v>0</v>
      </c>
      <c r="BH81">
        <f t="shared" ca="1" si="40"/>
        <v>1</v>
      </c>
      <c r="BI81">
        <f t="shared" ca="1" si="40"/>
        <v>1</v>
      </c>
      <c r="BJ81">
        <f t="shared" ca="1" si="40"/>
        <v>1</v>
      </c>
      <c r="BK81">
        <f t="shared" ca="1" si="40"/>
        <v>1</v>
      </c>
      <c r="BL81">
        <f t="shared" ca="1" si="40"/>
        <v>1</v>
      </c>
      <c r="BM81">
        <f t="shared" ca="1" si="40"/>
        <v>0</v>
      </c>
      <c r="BN81">
        <f t="shared" ca="1" si="40"/>
        <v>0</v>
      </c>
      <c r="BO81">
        <f t="shared" ca="1" si="40"/>
        <v>0</v>
      </c>
      <c r="BU81">
        <f t="shared" ca="1" si="41"/>
        <v>24</v>
      </c>
      <c r="BV81">
        <f t="shared" ca="1" si="41"/>
        <v>24</v>
      </c>
      <c r="BW81">
        <f t="shared" ca="1" si="41"/>
        <v>122</v>
      </c>
      <c r="BX81">
        <f t="shared" ca="1" si="41"/>
        <v>305</v>
      </c>
      <c r="BY81">
        <f t="shared" ca="1" si="41"/>
        <v>24</v>
      </c>
      <c r="BZ81">
        <f t="shared" ca="1" si="41"/>
        <v>24</v>
      </c>
      <c r="CA81">
        <f t="shared" ca="1" si="41"/>
        <v>24</v>
      </c>
      <c r="CB81">
        <f t="shared" ca="1" si="41"/>
        <v>24</v>
      </c>
      <c r="CC81">
        <f t="shared" ca="1" si="41"/>
        <v>24</v>
      </c>
      <c r="CD81">
        <f t="shared" ca="1" si="41"/>
        <v>305</v>
      </c>
      <c r="CE81">
        <f t="shared" ca="1" si="41"/>
        <v>305</v>
      </c>
      <c r="CF81">
        <f t="shared" ca="1" si="41"/>
        <v>305</v>
      </c>
      <c r="CL81">
        <f t="shared" ca="1" si="42"/>
        <v>1</v>
      </c>
      <c r="CM81">
        <f t="shared" ca="1" si="42"/>
        <v>1</v>
      </c>
      <c r="CN81">
        <f t="shared" ca="1" si="42"/>
        <v>0</v>
      </c>
      <c r="CO81">
        <f t="shared" ca="1" si="42"/>
        <v>0</v>
      </c>
      <c r="CP81">
        <f t="shared" ca="1" si="42"/>
        <v>1</v>
      </c>
      <c r="CQ81">
        <f t="shared" ca="1" si="42"/>
        <v>1</v>
      </c>
      <c r="CR81">
        <f t="shared" ca="1" si="42"/>
        <v>1</v>
      </c>
      <c r="CS81">
        <f t="shared" ca="1" si="42"/>
        <v>1</v>
      </c>
      <c r="CT81">
        <f t="shared" ca="1" si="42"/>
        <v>1</v>
      </c>
      <c r="CU81">
        <f t="shared" ca="1" si="42"/>
        <v>0</v>
      </c>
      <c r="CV81">
        <f t="shared" ca="1" si="42"/>
        <v>0</v>
      </c>
      <c r="CW81">
        <f t="shared" ca="1" si="42"/>
        <v>0</v>
      </c>
      <c r="DC81" cm="1">
        <f t="array" aca="1" ref="DC81" ca="1">IF(ISNA(E81),,OFFSET(INDIRECT("'"&amp;DT$67&amp;"'!f1"),E81-1,))*1</f>
        <v>28846.526423536201</v>
      </c>
      <c r="DD81" cm="1">
        <f t="array" aca="1" ref="DD81" ca="1">IF(ISNA(F81),,OFFSET(INDIRECT("'"&amp;DU$67&amp;"'!f1"),F81-1,))*1</f>
        <v>28817.957364104601</v>
      </c>
      <c r="DE81" cm="1">
        <f t="array" aca="1" ref="DE81" ca="1">IF(ISNA(G81),,OFFSET(INDIRECT("'"&amp;DV$67&amp;"'!f1"),G81-1,))*1</f>
        <v>28800.395248897301</v>
      </c>
      <c r="DF81" cm="1">
        <f t="array" aca="1" ref="DF81" ca="1">IF(ISNA(H81),,OFFSET(INDIRECT("'"&amp;DW$67&amp;"'!f1"),H81-1,))*1</f>
        <v>28800.393831215799</v>
      </c>
      <c r="DG81" cm="1">
        <f t="array" aca="1" ref="DG81" ca="1">IF(ISNA(I81),,OFFSET(INDIRECT("'"&amp;DX$67&amp;"'!f1"),I81-1,))*1</f>
        <v>28800.114094040899</v>
      </c>
      <c r="DH81" cm="1">
        <f t="array" aca="1" ref="DH81" ca="1">IF(ISNA(J81),,OFFSET(INDIRECT("'"&amp;DY$67&amp;"'!f1"),J81-1,))*1</f>
        <v>2.3613941101357301</v>
      </c>
      <c r="DI81" cm="1">
        <f t="array" aca="1" ref="DI81" ca="1">IF(ISNA(K81),,OFFSET(INDIRECT("'"&amp;DZ$67&amp;"'!f1"),K81-1,))*1</f>
        <v>25.676492759957899</v>
      </c>
      <c r="DJ81" cm="1">
        <f t="array" aca="1" ref="DJ81" ca="1">IF(ISNA(L81),,OFFSET(INDIRECT("'"&amp;EA$67&amp;"'!f1"),L81-1,))*1</f>
        <v>25.7991945594549</v>
      </c>
      <c r="DK81" cm="1">
        <f t="array" aca="1" ref="DK81" ca="1">IF(ISNA(M81),,OFFSET(INDIRECT("'"&amp;EB$67&amp;"'!f1"),M81-1,))*1</f>
        <v>2132.0759282768699</v>
      </c>
      <c r="DL81" cm="1">
        <f t="array" aca="1" ref="DL81" ca="1">IF(ISNA(N81),,OFFSET(INDIRECT("'"&amp;EC$67&amp;"'!f1"),N81-1,))*1</f>
        <v>8.9032085612416198E-2</v>
      </c>
      <c r="DM81" cm="1">
        <f t="array" aca="1" ref="DM81" ca="1">IF(ISNA(O81),,OFFSET(INDIRECT("'"&amp;ED$67&amp;"'!f1"),O81-1,))*1</f>
        <v>0.100684827193617</v>
      </c>
      <c r="DN81" cm="1">
        <f t="array" aca="1" ref="DN81" ca="1">IF(ISNA(P81),,OFFSET(INDIRECT("'"&amp;EE$67&amp;"'!f1"),P81-1,))*1</f>
        <v>0.28280804865062198</v>
      </c>
      <c r="DT81">
        <f t="shared" ca="1" si="54"/>
        <v>1</v>
      </c>
      <c r="DU81">
        <f t="shared" ca="1" si="43"/>
        <v>1</v>
      </c>
      <c r="DV81">
        <f t="shared" ca="1" si="43"/>
        <v>0</v>
      </c>
      <c r="DW81">
        <f t="shared" ca="1" si="43"/>
        <v>0</v>
      </c>
      <c r="DX81">
        <f t="shared" ca="1" si="43"/>
        <v>1</v>
      </c>
      <c r="DY81">
        <f t="shared" ca="1" si="43"/>
        <v>1</v>
      </c>
      <c r="DZ81">
        <f t="shared" ca="1" si="43"/>
        <v>97</v>
      </c>
      <c r="EA81">
        <f t="shared" ca="1" si="43"/>
        <v>5383</v>
      </c>
      <c r="EB81">
        <f t="shared" ca="1" si="43"/>
        <v>55</v>
      </c>
      <c r="EC81">
        <f t="shared" ca="1" si="43"/>
        <v>0</v>
      </c>
      <c r="ED81">
        <f t="shared" ca="1" si="43"/>
        <v>0</v>
      </c>
      <c r="EE81">
        <f t="shared" ca="1" si="43"/>
        <v>0</v>
      </c>
      <c r="EK81" cm="1">
        <f t="array" aca="1" ref="EK81" ca="1">IF(ISNA(E81),0,OFFSET(INDIRECT("'"&amp;EK$67&amp;"'!g1"),E81-1,)*CL81)</f>
        <v>1</v>
      </c>
      <c r="EL81" cm="1">
        <f t="array" aca="1" ref="EL81" ca="1">IF(ISNA(F81),0,OFFSET(INDIRECT("'"&amp;EL$67&amp;"'!g1"),F81-1,)*CM81)</f>
        <v>1</v>
      </c>
      <c r="EM81" cm="1">
        <f t="array" aca="1" ref="EM81" ca="1">IF(ISNA(G81),0,OFFSET(INDIRECT("'"&amp;EM$67&amp;"'!g1"),G81-1,)*CN81)</f>
        <v>0</v>
      </c>
      <c r="EN81" cm="1">
        <f t="array" aca="1" ref="EN81" ca="1">IF(ISNA(H81),0,OFFSET(INDIRECT("'"&amp;EN$67&amp;"'!g1"),H81-1,)*CO81)</f>
        <v>0</v>
      </c>
      <c r="EO81" cm="1">
        <f t="array" aca="1" ref="EO81" ca="1">IF(ISNA(I81),0,OFFSET(INDIRECT("'"&amp;EO$67&amp;"'!g1"),I81-1,)*CP81)</f>
        <v>1</v>
      </c>
      <c r="EP81" cm="1">
        <f t="array" aca="1" ref="EP81" ca="1">IF(ISNA(J81),0,OFFSET(INDIRECT("'"&amp;EP$67&amp;"'!g1"),J81-1,)*CQ81)</f>
        <v>1</v>
      </c>
      <c r="EQ81" cm="1">
        <f t="array" aca="1" ref="EQ81" ca="1">IF(ISNA(K81),0,OFFSET(INDIRECT("'"&amp;EQ$67&amp;"'!g1"),K81-1,)*CR81)</f>
        <v>97</v>
      </c>
      <c r="ER81" cm="1">
        <f t="array" aca="1" ref="ER81" ca="1">IF(ISNA(L81),0,OFFSET(INDIRECT("'"&amp;ER$67&amp;"'!g1"),L81-1,)*CS81)</f>
        <v>5383</v>
      </c>
      <c r="ES81" cm="1">
        <f t="array" aca="1" ref="ES81" ca="1">IF(ISNA(M81),0,OFFSET(INDIRECT("'"&amp;ES$67&amp;"'!g1"),M81-1,)*CT81)</f>
        <v>55</v>
      </c>
      <c r="ET81" cm="1">
        <f t="array" aca="1" ref="ET81" ca="1">IF(ISNA(N81),0,OFFSET(INDIRECT("'"&amp;ET$67&amp;"'!g1"),N81-1,)*CU81)</f>
        <v>0</v>
      </c>
      <c r="EU81" cm="1">
        <f t="array" aca="1" ref="EU81" ca="1">IF(ISNA(O81),0,OFFSET(INDIRECT("'"&amp;EU$67&amp;"'!g1"),O81-1,)*CV81)</f>
        <v>0</v>
      </c>
      <c r="EV81" cm="1">
        <f t="array" aca="1" ref="EV81" ca="1">IF(ISNA(P81),0,OFFSET(INDIRECT("'"&amp;EV$67&amp;"'!g1"),P81-1,)*CW81)</f>
        <v>0</v>
      </c>
      <c r="FB81" s="10" cm="1">
        <f t="array" aca="1" ref="FB81" ca="1">IF(ISNA(E81),0,OFFSET(INDIRECT("'"&amp;EK$67&amp;"'!h1"),E81-1,))</f>
        <v>1</v>
      </c>
      <c r="FC81" s="10" cm="1">
        <f t="array" aca="1" ref="FC81" ca="1">IF(ISNA(F81),0,OFFSET(INDIRECT("'"&amp;EL$67&amp;"'!h1"),F81-1,))</f>
        <v>1</v>
      </c>
      <c r="FD81" s="10" cm="1">
        <f t="array" aca="1" ref="FD81" ca="1">IF(ISNA(G81),0,OFFSET(INDIRECT("'"&amp;EM$67&amp;"'!h1"),G81-1,))</f>
        <v>1</v>
      </c>
      <c r="FE81" s="10" cm="1">
        <f t="array" aca="1" ref="FE81" ca="1">IF(ISNA(H81),0,OFFSET(INDIRECT("'"&amp;EN$67&amp;"'!h1"),H81-1,))</f>
        <v>1</v>
      </c>
      <c r="FF81" s="10" cm="1">
        <f t="array" aca="1" ref="FF81" ca="1">IF(ISNA(I81),0,OFFSET(INDIRECT("'"&amp;EO$67&amp;"'!h1"),I81-1,))</f>
        <v>1</v>
      </c>
      <c r="FG81" s="10" cm="1">
        <f t="array" aca="1" ref="FG81" ca="1">IF(ISNA(J81),0,OFFSET(INDIRECT("'"&amp;EP$67&amp;"'!h1"),J81-1,))</f>
        <v>1</v>
      </c>
      <c r="FH81" s="10" cm="1">
        <f t="array" aca="1" ref="FH81" ca="1">IF(ISNA(K81),0,OFFSET(INDIRECT("'"&amp;EQ$67&amp;"'!h1"),K81-1,))</f>
        <v>10000</v>
      </c>
      <c r="FI81" s="10" cm="1">
        <f t="array" aca="1" ref="FI81" ca="1">IF(ISNA(L81),0,OFFSET(INDIRECT("'"&amp;ER$67&amp;"'!h1"),L81-1,))</f>
        <v>10000</v>
      </c>
      <c r="FJ81" s="10" cm="1">
        <f t="array" aca="1" ref="FJ81" ca="1">IF(ISNA(M81),0,OFFSET(INDIRECT("'"&amp;ES$67&amp;"'!h1"),M81-1,))</f>
        <v>10000</v>
      </c>
      <c r="FK81" s="10" cm="1">
        <f t="array" aca="1" ref="FK81" ca="1">IF(ISNA(N81),0,OFFSET(INDIRECT("'"&amp;ET$67&amp;"'!h1"),N81-1,))</f>
        <v>1</v>
      </c>
      <c r="FL81" s="10" cm="1">
        <f t="array" aca="1" ref="FL81" ca="1">IF(ISNA(O81),0,OFFSET(INDIRECT("'"&amp;EU$67&amp;"'!h1"),O81-1,))</f>
        <v>1</v>
      </c>
      <c r="FM81" s="10" cm="1">
        <f t="array" aca="1" ref="FM81" ca="1">IF(ISNA(P81),0,OFFSET(INDIRECT("'"&amp;EV$67&amp;"'!h1"),P81-1,))</f>
        <v>9</v>
      </c>
      <c r="FN81" s="10"/>
      <c r="FO81" s="10"/>
      <c r="FP81" s="10"/>
      <c r="FQ81" s="10"/>
      <c r="FS81">
        <f t="shared" ca="1" si="55"/>
        <v>305</v>
      </c>
      <c r="FT81">
        <f t="shared" ca="1" si="56"/>
        <v>25.676492759957899</v>
      </c>
      <c r="FU81">
        <f t="shared" ca="1" si="57"/>
        <v>97</v>
      </c>
      <c r="FV81">
        <f t="shared" ca="1" si="58"/>
        <v>10000</v>
      </c>
      <c r="FW81" s="4">
        <f t="shared" ca="1" si="59"/>
        <v>9.7000000000000003E-3</v>
      </c>
      <c r="FX81" s="5">
        <f t="shared" ca="1" si="60"/>
        <v>0.26470611092740104</v>
      </c>
      <c r="FZ81" s="13">
        <f t="shared" ca="1" si="44"/>
        <v>305</v>
      </c>
      <c r="GA81" s="23">
        <f t="shared" ca="1" si="61"/>
        <v>0</v>
      </c>
      <c r="GB81" s="23">
        <f t="shared" ca="1" si="45"/>
        <v>0</v>
      </c>
      <c r="GC81" s="23">
        <f t="shared" ca="1" si="45"/>
        <v>4.083333333333333</v>
      </c>
      <c r="GD81" s="23" t="e">
        <f t="shared" ca="1" si="45"/>
        <v>#N/A</v>
      </c>
      <c r="GE81" s="23">
        <f t="shared" ca="1" si="45"/>
        <v>0</v>
      </c>
      <c r="GF81" s="23">
        <f t="shared" ca="1" si="45"/>
        <v>0</v>
      </c>
      <c r="GG81" s="23">
        <f t="shared" ca="1" si="45"/>
        <v>0</v>
      </c>
      <c r="GH81" s="23">
        <f t="shared" ca="1" si="45"/>
        <v>0</v>
      </c>
      <c r="GI81" s="23">
        <f t="shared" ca="1" si="45"/>
        <v>0</v>
      </c>
      <c r="GJ81" s="23" t="e">
        <f t="shared" ca="1" si="45"/>
        <v>#N/A</v>
      </c>
      <c r="GK81" s="23" t="e">
        <f t="shared" ca="1" si="45"/>
        <v>#N/A</v>
      </c>
      <c r="GL81" s="23" t="e">
        <f t="shared" ca="1" si="45"/>
        <v>#N/A</v>
      </c>
      <c r="GM81" s="23"/>
      <c r="GN81">
        <f t="shared" ca="1" si="62"/>
        <v>305</v>
      </c>
      <c r="GO81" s="5" t="e">
        <f t="shared" ca="1" si="63"/>
        <v>#N/A</v>
      </c>
      <c r="GP81" s="5" t="e">
        <f t="shared" ca="1" si="46"/>
        <v>#N/A</v>
      </c>
      <c r="GQ81" s="5" t="e">
        <f t="shared" ca="1" si="46"/>
        <v>#N/A</v>
      </c>
      <c r="GR81" s="5" t="e">
        <f t="shared" ca="1" si="46"/>
        <v>#N/A</v>
      </c>
      <c r="GS81" s="5" t="e">
        <f t="shared" ca="1" si="46"/>
        <v>#N/A</v>
      </c>
      <c r="GT81" s="5">
        <f t="shared" ca="1" si="64"/>
        <v>2.3613941101357301</v>
      </c>
      <c r="GU81" s="5">
        <f t="shared" ca="1" si="47"/>
        <v>0.26470611092740104</v>
      </c>
      <c r="GV81" s="5">
        <f t="shared" ca="1" si="47"/>
        <v>4.7927168046544488E-3</v>
      </c>
      <c r="GW81" s="5">
        <f t="shared" ca="1" si="47"/>
        <v>38.765016877761269</v>
      </c>
      <c r="GX81" s="5" t="e">
        <f t="shared" ca="1" si="47"/>
        <v>#N/A</v>
      </c>
      <c r="GY81" s="5" t="e">
        <f t="shared" ca="1" si="47"/>
        <v>#N/A</v>
      </c>
      <c r="GZ81" s="5" t="e">
        <f t="shared" ca="1" si="47"/>
        <v>#N/A</v>
      </c>
      <c r="HB81" s="13">
        <f t="shared" ca="1" si="48"/>
        <v>305</v>
      </c>
      <c r="HC81" s="4">
        <f t="shared" ca="1" si="65"/>
        <v>1</v>
      </c>
      <c r="HD81" s="4">
        <f t="shared" ca="1" si="49"/>
        <v>1</v>
      </c>
      <c r="HE81" s="4">
        <f t="shared" ca="1" si="49"/>
        <v>0</v>
      </c>
      <c r="HF81" s="4">
        <f t="shared" ca="1" si="49"/>
        <v>0</v>
      </c>
      <c r="HG81" s="4">
        <f t="shared" ca="1" si="49"/>
        <v>1</v>
      </c>
      <c r="HH81" s="4">
        <f t="shared" ca="1" si="49"/>
        <v>1</v>
      </c>
      <c r="HI81" s="4">
        <f t="shared" ca="1" si="49"/>
        <v>9.7000000000000003E-3</v>
      </c>
      <c r="HJ81" s="4">
        <f t="shared" ca="1" si="49"/>
        <v>0.5383</v>
      </c>
      <c r="HK81" s="4">
        <f t="shared" ca="1" si="49"/>
        <v>5.4999999999999997E-3</v>
      </c>
      <c r="HL81" s="4">
        <f t="shared" ca="1" si="49"/>
        <v>0</v>
      </c>
      <c r="HM81" s="4">
        <f t="shared" ca="1" si="49"/>
        <v>0</v>
      </c>
      <c r="HN81" s="4">
        <f t="shared" ca="1" si="49"/>
        <v>0</v>
      </c>
    </row>
    <row r="82" spans="1:222" x14ac:dyDescent="0.2">
      <c r="A82" t="str" cm="1">
        <f t="array" aca="1" ref="A82" ca="1">INDIRECT($A$67&amp;"!A"&amp;ROW(C15)+$B$64)</f>
        <v>[[335,136,22]]</v>
      </c>
      <c r="B82" cm="1">
        <f t="array" aca="1" ref="B82" ca="1">INDIRECT($A$67&amp;"!b"&amp;ROW(D15)+$B$64)</f>
        <v>335</v>
      </c>
      <c r="C82">
        <f t="shared" ca="1" si="50"/>
        <v>22</v>
      </c>
      <c r="E82">
        <f t="shared" ca="1" si="37"/>
        <v>39</v>
      </c>
      <c r="F82">
        <f t="shared" ca="1" si="37"/>
        <v>40</v>
      </c>
      <c r="G82">
        <f t="shared" ca="1" si="37"/>
        <v>39</v>
      </c>
      <c r="H82">
        <f t="shared" ca="1" si="37"/>
        <v>39</v>
      </c>
      <c r="I82">
        <f t="shared" ca="1" si="37"/>
        <v>42</v>
      </c>
      <c r="J82">
        <f t="shared" ca="1" si="37"/>
        <v>39</v>
      </c>
      <c r="K82">
        <f t="shared" ca="1" si="37"/>
        <v>46</v>
      </c>
      <c r="L82">
        <f t="shared" ca="1" si="37"/>
        <v>48</v>
      </c>
      <c r="M82">
        <f t="shared" ca="1" si="37"/>
        <v>45</v>
      </c>
      <c r="N82">
        <f t="shared" ca="1" si="37"/>
        <v>43</v>
      </c>
      <c r="O82">
        <f t="shared" ca="1" si="37"/>
        <v>43</v>
      </c>
      <c r="P82">
        <f t="shared" ca="1" si="37"/>
        <v>43</v>
      </c>
      <c r="V82" cm="1">
        <f t="array" aca="1" ref="V82" ca="1">IF(ISNA(E82),,OFFSET(INDIRECT("'"&amp;V$67&amp;"'!d1"),E82-1,))</f>
        <v>22</v>
      </c>
      <c r="W82" cm="1">
        <f t="array" aca="1" ref="W82" ca="1">IF(ISNA(F82),,OFFSET(INDIRECT("'"&amp;W$67&amp;"'!d1"),F82-1,))</f>
        <v>22</v>
      </c>
      <c r="X82" cm="1">
        <f t="array" aca="1" ref="X82" ca="1">IF(ISNA(G82),,OFFSET(INDIRECT("'"&amp;X$67&amp;"'!d1"),G82-1,))</f>
        <v>134</v>
      </c>
      <c r="Y82" cm="1">
        <f t="array" aca="1" ref="Y82" ca="1">IF(ISNA(H82),,OFFSET(INDIRECT("'"&amp;Y$67&amp;"'!d1"),H82-1,))</f>
        <v>0</v>
      </c>
      <c r="Z82" cm="1">
        <f t="array" aca="1" ref="Z82" ca="1">IF(ISNA(I82),,OFFSET(INDIRECT("'"&amp;Z$67&amp;"'!d1"),I82-1,))</f>
        <v>22</v>
      </c>
      <c r="AA82" cm="1">
        <f t="array" aca="1" ref="AA82" ca="1">IF(ISNA(J82),,OFFSET(INDIRECT("'"&amp;AA$67&amp;"'!d1"),J82-1,))</f>
        <v>22</v>
      </c>
      <c r="AB82" cm="1">
        <f t="array" aca="1" ref="AB82" ca="1">IF(ISNA(K82),,OFFSET(INDIRECT("'"&amp;AB$67&amp;"'!d1"),K82-1,))</f>
        <v>22</v>
      </c>
      <c r="AC82" cm="1">
        <f t="array" aca="1" ref="AC82" ca="1">IF(ISNA(L82),,OFFSET(INDIRECT("'"&amp;AC$67&amp;"'!d1"),L82-1,))</f>
        <v>22</v>
      </c>
      <c r="AD82" cm="1">
        <f t="array" aca="1" ref="AD82" ca="1">IF(ISNA(M82),,OFFSET(INDIRECT("'"&amp;AD$67&amp;"'!d1"),M82-1,))</f>
        <v>22</v>
      </c>
      <c r="AE82" cm="1">
        <f t="array" aca="1" ref="AE82" ca="1">IF(ISNA(N82),,OFFSET(INDIRECT("'"&amp;AE$67&amp;"'!d1"),N82-1,))</f>
        <v>0</v>
      </c>
      <c r="AF82" cm="1">
        <f t="array" aca="1" ref="AF82" ca="1">IF(ISNA(O82),,OFFSET(INDIRECT("'"&amp;AF$67&amp;"'!d1"),O82-1,))</f>
        <v>0</v>
      </c>
      <c r="AG82" cm="1">
        <f t="array" aca="1" ref="AG82" ca="1">IF(ISNA(P82),,OFFSET(INDIRECT("'"&amp;AG$67&amp;"'!d1"),P82-1,))</f>
        <v>0</v>
      </c>
      <c r="AM82">
        <f t="shared" ca="1" si="51"/>
        <v>0</v>
      </c>
      <c r="AN82">
        <f t="shared" ca="1" si="38"/>
        <v>0</v>
      </c>
      <c r="AO82">
        <f t="shared" ca="1" si="38"/>
        <v>0</v>
      </c>
      <c r="AP82">
        <f t="shared" ca="1" si="38"/>
        <v>0</v>
      </c>
      <c r="AQ82">
        <f t="shared" ca="1" si="52"/>
        <v>0</v>
      </c>
      <c r="AV82" t="str">
        <f t="shared" ca="1" si="53"/>
        <v/>
      </c>
      <c r="AW82" t="str">
        <f t="shared" ca="1" si="39"/>
        <v/>
      </c>
      <c r="AX82" t="str">
        <f t="shared" ca="1" si="39"/>
        <v/>
      </c>
      <c r="AY82" t="str">
        <f t="shared" ca="1" si="39"/>
        <v/>
      </c>
      <c r="AZ82" t="str">
        <f t="shared" ca="1" si="39"/>
        <v/>
      </c>
      <c r="BD82">
        <f t="shared" ca="1" si="40"/>
        <v>1</v>
      </c>
      <c r="BE82">
        <f t="shared" ca="1" si="40"/>
        <v>1</v>
      </c>
      <c r="BF82">
        <f t="shared" ca="1" si="40"/>
        <v>1</v>
      </c>
      <c r="BG82">
        <f t="shared" ca="1" si="40"/>
        <v>0</v>
      </c>
      <c r="BH82">
        <f t="shared" ca="1" si="40"/>
        <v>1</v>
      </c>
      <c r="BI82">
        <f t="shared" ca="1" si="40"/>
        <v>1</v>
      </c>
      <c r="BJ82">
        <f t="shared" ca="1" si="40"/>
        <v>1</v>
      </c>
      <c r="BK82">
        <f t="shared" ca="1" si="40"/>
        <v>1</v>
      </c>
      <c r="BL82">
        <f t="shared" ca="1" si="40"/>
        <v>1</v>
      </c>
      <c r="BM82">
        <f t="shared" ca="1" si="40"/>
        <v>0</v>
      </c>
      <c r="BN82">
        <f t="shared" ca="1" si="40"/>
        <v>0</v>
      </c>
      <c r="BO82">
        <f t="shared" ca="1" si="40"/>
        <v>0</v>
      </c>
      <c r="BU82">
        <f t="shared" ca="1" si="41"/>
        <v>22</v>
      </c>
      <c r="BV82">
        <f t="shared" ca="1" si="41"/>
        <v>22</v>
      </c>
      <c r="BW82">
        <f t="shared" ca="1" si="41"/>
        <v>134</v>
      </c>
      <c r="BX82">
        <f t="shared" ca="1" si="41"/>
        <v>335</v>
      </c>
      <c r="BY82">
        <f t="shared" ca="1" si="41"/>
        <v>22</v>
      </c>
      <c r="BZ82">
        <f t="shared" ca="1" si="41"/>
        <v>22</v>
      </c>
      <c r="CA82">
        <f t="shared" ca="1" si="41"/>
        <v>22</v>
      </c>
      <c r="CB82">
        <f t="shared" ca="1" si="41"/>
        <v>22</v>
      </c>
      <c r="CC82">
        <f t="shared" ca="1" si="41"/>
        <v>22</v>
      </c>
      <c r="CD82">
        <f t="shared" ca="1" si="41"/>
        <v>335</v>
      </c>
      <c r="CE82">
        <f t="shared" ca="1" si="41"/>
        <v>335</v>
      </c>
      <c r="CF82">
        <f t="shared" ca="1" si="41"/>
        <v>335</v>
      </c>
      <c r="CL82">
        <f t="shared" ca="1" si="42"/>
        <v>1</v>
      </c>
      <c r="CM82">
        <f t="shared" ca="1" si="42"/>
        <v>1</v>
      </c>
      <c r="CN82">
        <f t="shared" ca="1" si="42"/>
        <v>0</v>
      </c>
      <c r="CO82">
        <f t="shared" ca="1" si="42"/>
        <v>0</v>
      </c>
      <c r="CP82">
        <f t="shared" ca="1" si="42"/>
        <v>1</v>
      </c>
      <c r="CQ82">
        <f t="shared" ca="1" si="42"/>
        <v>1</v>
      </c>
      <c r="CR82">
        <f t="shared" ca="1" si="42"/>
        <v>1</v>
      </c>
      <c r="CS82">
        <f t="shared" ca="1" si="42"/>
        <v>1</v>
      </c>
      <c r="CT82">
        <f t="shared" ca="1" si="42"/>
        <v>1</v>
      </c>
      <c r="CU82">
        <f t="shared" ca="1" si="42"/>
        <v>0</v>
      </c>
      <c r="CV82">
        <f t="shared" ca="1" si="42"/>
        <v>0</v>
      </c>
      <c r="CW82">
        <f t="shared" ca="1" si="42"/>
        <v>0</v>
      </c>
      <c r="DC82" cm="1">
        <f t="array" aca="1" ref="DC82" ca="1">IF(ISNA(E82),,OFFSET(INDIRECT("'"&amp;DT$67&amp;"'!f1"),E82-1,))*1</f>
        <v>28834.5315524041</v>
      </c>
      <c r="DD82" cm="1">
        <f t="array" aca="1" ref="DD82" ca="1">IF(ISNA(F82),,OFFSET(INDIRECT("'"&amp;DU$67&amp;"'!f1"),F82-1,))*1</f>
        <v>28817.3673491552</v>
      </c>
      <c r="DE82" cm="1">
        <f t="array" aca="1" ref="DE82" ca="1">IF(ISNA(G82),,OFFSET(INDIRECT("'"&amp;DV$67&amp;"'!f1"),G82-1,))*1</f>
        <v>28800.382099308001</v>
      </c>
      <c r="DF82" cm="1">
        <f t="array" aca="1" ref="DF82" ca="1">IF(ISNA(H82),,OFFSET(INDIRECT("'"&amp;DW$67&amp;"'!f1"),H82-1,))*1</f>
        <v>28800.148000299901</v>
      </c>
      <c r="DG82" cm="1">
        <f t="array" aca="1" ref="DG82" ca="1">IF(ISNA(I82),,OFFSET(INDIRECT("'"&amp;DX$67&amp;"'!f1"),I82-1,))*1</f>
        <v>28800.178017041999</v>
      </c>
      <c r="DH82" cm="1">
        <f t="array" aca="1" ref="DH82" ca="1">IF(ISNA(J82),,OFFSET(INDIRECT("'"&amp;DY$67&amp;"'!f1"),J82-1,))*1</f>
        <v>2.7581698969006498</v>
      </c>
      <c r="DI82" cm="1">
        <f t="array" aca="1" ref="DI82" ca="1">IF(ISNA(K82),,OFFSET(INDIRECT("'"&amp;DZ$67&amp;"'!f1"),K82-1,))*1</f>
        <v>32.3998418776318</v>
      </c>
      <c r="DJ82" cm="1">
        <f t="array" aca="1" ref="DJ82" ca="1">IF(ISNA(L82),,OFFSET(INDIRECT("'"&amp;EA$67&amp;"'!f1"),L82-1,))*1</f>
        <v>32.087634228169897</v>
      </c>
      <c r="DK82" cm="1">
        <f t="array" aca="1" ref="DK82" ca="1">IF(ISNA(M82),,OFFSET(INDIRECT("'"&amp;EB$67&amp;"'!f1"),M82-1,))*1</f>
        <v>3104.4773307330902</v>
      </c>
      <c r="DL82" cm="1">
        <f t="array" aca="1" ref="DL82" ca="1">IF(ISNA(N82),,OFFSET(INDIRECT("'"&amp;EC$67&amp;"'!f1"),N82-1,))*1</f>
        <v>0.104253662750124</v>
      </c>
      <c r="DM82" cm="1">
        <f t="array" aca="1" ref="DM82" ca="1">IF(ISNA(O82),,OFFSET(INDIRECT("'"&amp;ED$67&amp;"'!f1"),O82-1,))*1</f>
        <v>0.12144895084202199</v>
      </c>
      <c r="DN82" cm="1">
        <f t="array" aca="1" ref="DN82" ca="1">IF(ISNA(P82),,OFFSET(INDIRECT("'"&amp;EE$67&amp;"'!f1"),P82-1,))*1</f>
        <v>0.371320625767111</v>
      </c>
      <c r="DT82">
        <f t="shared" ca="1" si="54"/>
        <v>1</v>
      </c>
      <c r="DU82">
        <f t="shared" ca="1" si="43"/>
        <v>1</v>
      </c>
      <c r="DV82">
        <f t="shared" ca="1" si="43"/>
        <v>0</v>
      </c>
      <c r="DW82">
        <f t="shared" ca="1" si="43"/>
        <v>0</v>
      </c>
      <c r="DX82">
        <f t="shared" ca="1" si="43"/>
        <v>1</v>
      </c>
      <c r="DY82">
        <f t="shared" ca="1" si="43"/>
        <v>1</v>
      </c>
      <c r="DZ82">
        <f t="shared" ca="1" si="43"/>
        <v>98</v>
      </c>
      <c r="EA82">
        <f t="shared" ca="1" si="43"/>
        <v>5049</v>
      </c>
      <c r="EB82">
        <f t="shared" ca="1" si="43"/>
        <v>44</v>
      </c>
      <c r="EC82">
        <f t="shared" ca="1" si="43"/>
        <v>0</v>
      </c>
      <c r="ED82">
        <f t="shared" ca="1" si="43"/>
        <v>0</v>
      </c>
      <c r="EE82">
        <f t="shared" ca="1" si="43"/>
        <v>0</v>
      </c>
      <c r="EK82" cm="1">
        <f t="array" aca="1" ref="EK82" ca="1">IF(ISNA(E82),0,OFFSET(INDIRECT("'"&amp;EK$67&amp;"'!g1"),E82-1,)*CL82)</f>
        <v>1</v>
      </c>
      <c r="EL82" cm="1">
        <f t="array" aca="1" ref="EL82" ca="1">IF(ISNA(F82),0,OFFSET(INDIRECT("'"&amp;EL$67&amp;"'!g1"),F82-1,)*CM82)</f>
        <v>1</v>
      </c>
      <c r="EM82" cm="1">
        <f t="array" aca="1" ref="EM82" ca="1">IF(ISNA(G82),0,OFFSET(INDIRECT("'"&amp;EM$67&amp;"'!g1"),G82-1,)*CN82)</f>
        <v>0</v>
      </c>
      <c r="EN82" cm="1">
        <f t="array" aca="1" ref="EN82" ca="1">IF(ISNA(H82),0,OFFSET(INDIRECT("'"&amp;EN$67&amp;"'!g1"),H82-1,)*CO82)</f>
        <v>0</v>
      </c>
      <c r="EO82" cm="1">
        <f t="array" aca="1" ref="EO82" ca="1">IF(ISNA(I82),0,OFFSET(INDIRECT("'"&amp;EO$67&amp;"'!g1"),I82-1,)*CP82)</f>
        <v>1</v>
      </c>
      <c r="EP82" cm="1">
        <f t="array" aca="1" ref="EP82" ca="1">IF(ISNA(J82),0,OFFSET(INDIRECT("'"&amp;EP$67&amp;"'!g1"),J82-1,)*CQ82)</f>
        <v>1</v>
      </c>
      <c r="EQ82" cm="1">
        <f t="array" aca="1" ref="EQ82" ca="1">IF(ISNA(K82),0,OFFSET(INDIRECT("'"&amp;EQ$67&amp;"'!g1"),K82-1,)*CR82)</f>
        <v>98</v>
      </c>
      <c r="ER82" cm="1">
        <f t="array" aca="1" ref="ER82" ca="1">IF(ISNA(L82),0,OFFSET(INDIRECT("'"&amp;ER$67&amp;"'!g1"),L82-1,)*CS82)</f>
        <v>5049</v>
      </c>
      <c r="ES82" cm="1">
        <f t="array" aca="1" ref="ES82" ca="1">IF(ISNA(M82),0,OFFSET(INDIRECT("'"&amp;ES$67&amp;"'!g1"),M82-1,)*CT82)</f>
        <v>44</v>
      </c>
      <c r="ET82" cm="1">
        <f t="array" aca="1" ref="ET82" ca="1">IF(ISNA(N82),0,OFFSET(INDIRECT("'"&amp;ET$67&amp;"'!g1"),N82-1,)*CU82)</f>
        <v>0</v>
      </c>
      <c r="EU82" cm="1">
        <f t="array" aca="1" ref="EU82" ca="1">IF(ISNA(O82),0,OFFSET(INDIRECT("'"&amp;EU$67&amp;"'!g1"),O82-1,)*CV82)</f>
        <v>0</v>
      </c>
      <c r="EV82" cm="1">
        <f t="array" aca="1" ref="EV82" ca="1">IF(ISNA(P82),0,OFFSET(INDIRECT("'"&amp;EV$67&amp;"'!g1"),P82-1,)*CW82)</f>
        <v>0</v>
      </c>
      <c r="FB82" s="10" cm="1">
        <f t="array" aca="1" ref="FB82" ca="1">IF(ISNA(E82),0,OFFSET(INDIRECT("'"&amp;EK$67&amp;"'!h1"),E82-1,))</f>
        <v>1</v>
      </c>
      <c r="FC82" s="10" cm="1">
        <f t="array" aca="1" ref="FC82" ca="1">IF(ISNA(F82),0,OFFSET(INDIRECT("'"&amp;EL$67&amp;"'!h1"),F82-1,))</f>
        <v>1</v>
      </c>
      <c r="FD82" s="10" cm="1">
        <f t="array" aca="1" ref="FD82" ca="1">IF(ISNA(G82),0,OFFSET(INDIRECT("'"&amp;EM$67&amp;"'!h1"),G82-1,))</f>
        <v>1</v>
      </c>
      <c r="FE82" s="10" cm="1">
        <f t="array" aca="1" ref="FE82" ca="1">IF(ISNA(H82),0,OFFSET(INDIRECT("'"&amp;EN$67&amp;"'!h1"),H82-1,))</f>
        <v>1</v>
      </c>
      <c r="FF82" s="10" cm="1">
        <f t="array" aca="1" ref="FF82" ca="1">IF(ISNA(I82),0,OFFSET(INDIRECT("'"&amp;EO$67&amp;"'!h1"),I82-1,))</f>
        <v>1</v>
      </c>
      <c r="FG82" s="10" cm="1">
        <f t="array" aca="1" ref="FG82" ca="1">IF(ISNA(J82),0,OFFSET(INDIRECT("'"&amp;EP$67&amp;"'!h1"),J82-1,))</f>
        <v>1</v>
      </c>
      <c r="FH82" s="10" cm="1">
        <f t="array" aca="1" ref="FH82" ca="1">IF(ISNA(K82),0,OFFSET(INDIRECT("'"&amp;EQ$67&amp;"'!h1"),K82-1,))</f>
        <v>10000</v>
      </c>
      <c r="FI82" s="10" cm="1">
        <f t="array" aca="1" ref="FI82" ca="1">IF(ISNA(L82),0,OFFSET(INDIRECT("'"&amp;ER$67&amp;"'!h1"),L82-1,))</f>
        <v>10000</v>
      </c>
      <c r="FJ82" s="10" cm="1">
        <f t="array" aca="1" ref="FJ82" ca="1">IF(ISNA(M82),0,OFFSET(INDIRECT("'"&amp;ES$67&amp;"'!h1"),M82-1,))</f>
        <v>10000</v>
      </c>
      <c r="FK82" s="10" cm="1">
        <f t="array" aca="1" ref="FK82" ca="1">IF(ISNA(N82),0,OFFSET(INDIRECT("'"&amp;ET$67&amp;"'!h1"),N82-1,))</f>
        <v>1</v>
      </c>
      <c r="FL82" s="10" cm="1">
        <f t="array" aca="1" ref="FL82" ca="1">IF(ISNA(O82),0,OFFSET(INDIRECT("'"&amp;EU$67&amp;"'!h1"),O82-1,))</f>
        <v>1</v>
      </c>
      <c r="FM82" s="10" cm="1">
        <f t="array" aca="1" ref="FM82" ca="1">IF(ISNA(P82),0,OFFSET(INDIRECT("'"&amp;EV$67&amp;"'!h1"),P82-1,))</f>
        <v>9</v>
      </c>
      <c r="FN82" s="10"/>
      <c r="FO82" s="10"/>
      <c r="FP82" s="10"/>
      <c r="FQ82" s="10"/>
      <c r="FS82">
        <f t="shared" ca="1" si="55"/>
        <v>335</v>
      </c>
      <c r="FT82">
        <f t="shared" ca="1" si="56"/>
        <v>32.3998418776318</v>
      </c>
      <c r="FU82">
        <f t="shared" ca="1" si="57"/>
        <v>98</v>
      </c>
      <c r="FV82">
        <f t="shared" ca="1" si="58"/>
        <v>10000</v>
      </c>
      <c r="FW82" s="4">
        <f t="shared" ca="1" si="59"/>
        <v>9.7999999999999997E-3</v>
      </c>
      <c r="FX82" s="5">
        <f t="shared" ca="1" si="60"/>
        <v>0.33061063140440611</v>
      </c>
      <c r="FZ82" s="13">
        <f t="shared" ca="1" si="44"/>
        <v>335</v>
      </c>
      <c r="GA82" s="23">
        <f t="shared" ca="1" si="61"/>
        <v>0</v>
      </c>
      <c r="GB82" s="23">
        <f t="shared" ca="1" si="45"/>
        <v>0</v>
      </c>
      <c r="GC82" s="23">
        <f t="shared" ca="1" si="45"/>
        <v>5.0909090909090908</v>
      </c>
      <c r="GD82" s="23" t="e">
        <f t="shared" ca="1" si="45"/>
        <v>#N/A</v>
      </c>
      <c r="GE82" s="23">
        <f t="shared" ca="1" si="45"/>
        <v>0</v>
      </c>
      <c r="GF82" s="23">
        <f t="shared" ca="1" si="45"/>
        <v>0</v>
      </c>
      <c r="GG82" s="23">
        <f t="shared" ca="1" si="45"/>
        <v>0</v>
      </c>
      <c r="GH82" s="23">
        <f t="shared" ca="1" si="45"/>
        <v>0</v>
      </c>
      <c r="GI82" s="23">
        <f t="shared" ca="1" si="45"/>
        <v>0</v>
      </c>
      <c r="GJ82" s="23" t="e">
        <f t="shared" ca="1" si="45"/>
        <v>#N/A</v>
      </c>
      <c r="GK82" s="23" t="e">
        <f t="shared" ca="1" si="45"/>
        <v>#N/A</v>
      </c>
      <c r="GL82" s="23" t="e">
        <f t="shared" ca="1" si="45"/>
        <v>#N/A</v>
      </c>
      <c r="GM82" s="23"/>
      <c r="GN82">
        <f t="shared" ca="1" si="62"/>
        <v>335</v>
      </c>
      <c r="GO82" s="5" t="e">
        <f t="shared" ca="1" si="63"/>
        <v>#N/A</v>
      </c>
      <c r="GP82" s="5" t="e">
        <f t="shared" ca="1" si="46"/>
        <v>#N/A</v>
      </c>
      <c r="GQ82" s="5" t="e">
        <f t="shared" ca="1" si="46"/>
        <v>#N/A</v>
      </c>
      <c r="GR82" s="5" t="e">
        <f t="shared" ca="1" si="46"/>
        <v>#N/A</v>
      </c>
      <c r="GS82" s="5" t="e">
        <f t="shared" ca="1" si="46"/>
        <v>#N/A</v>
      </c>
      <c r="GT82" s="5">
        <f t="shared" ca="1" si="64"/>
        <v>2.7581698969006498</v>
      </c>
      <c r="GU82" s="5">
        <f t="shared" ca="1" si="47"/>
        <v>0.33061063140440611</v>
      </c>
      <c r="GV82" s="5">
        <f t="shared" ca="1" si="47"/>
        <v>6.355245440318855E-3</v>
      </c>
      <c r="GW82" s="5">
        <f t="shared" ca="1" si="47"/>
        <v>70.556302971206591</v>
      </c>
      <c r="GX82" s="5" t="e">
        <f t="shared" ca="1" si="47"/>
        <v>#N/A</v>
      </c>
      <c r="GY82" s="5" t="e">
        <f t="shared" ca="1" si="47"/>
        <v>#N/A</v>
      </c>
      <c r="GZ82" s="5" t="e">
        <f t="shared" ca="1" si="47"/>
        <v>#N/A</v>
      </c>
      <c r="HB82" s="13">
        <f t="shared" ca="1" si="48"/>
        <v>335</v>
      </c>
      <c r="HC82" s="4">
        <f t="shared" ca="1" si="65"/>
        <v>1</v>
      </c>
      <c r="HD82" s="4">
        <f t="shared" ca="1" si="49"/>
        <v>1</v>
      </c>
      <c r="HE82" s="4">
        <f t="shared" ca="1" si="49"/>
        <v>0</v>
      </c>
      <c r="HF82" s="4">
        <f t="shared" ca="1" si="49"/>
        <v>0</v>
      </c>
      <c r="HG82" s="4">
        <f t="shared" ca="1" si="49"/>
        <v>1</v>
      </c>
      <c r="HH82" s="4">
        <f t="shared" ca="1" si="49"/>
        <v>1</v>
      </c>
      <c r="HI82" s="4">
        <f t="shared" ca="1" si="49"/>
        <v>9.7999999999999997E-3</v>
      </c>
      <c r="HJ82" s="4">
        <f t="shared" ca="1" si="49"/>
        <v>0.50490000000000002</v>
      </c>
      <c r="HK82" s="4">
        <f t="shared" ca="1" si="49"/>
        <v>4.4000000000000003E-3</v>
      </c>
      <c r="HL82" s="4">
        <f t="shared" ca="1" si="49"/>
        <v>0</v>
      </c>
      <c r="HM82" s="4">
        <f t="shared" ca="1" si="49"/>
        <v>0</v>
      </c>
      <c r="HN82" s="4">
        <f t="shared" ca="1" si="49"/>
        <v>0</v>
      </c>
    </row>
    <row r="83" spans="1:222" x14ac:dyDescent="0.2">
      <c r="A83" t="str" cm="1">
        <f t="array" aca="1" ref="A83" ca="1">INDIRECT($A$67&amp;"!A"&amp;ROW(C16)+$B$64)</f>
        <v>[[365,148,24]]</v>
      </c>
      <c r="B83" cm="1">
        <f t="array" aca="1" ref="B83" ca="1">INDIRECT($A$67&amp;"!b"&amp;ROW(D16)+$B$64)</f>
        <v>365</v>
      </c>
      <c r="C83">
        <f t="shared" ca="1" si="50"/>
        <v>24</v>
      </c>
      <c r="E83">
        <f t="shared" ca="1" si="37"/>
        <v>40</v>
      </c>
      <c r="F83">
        <f t="shared" ca="1" si="37"/>
        <v>41</v>
      </c>
      <c r="G83">
        <f t="shared" ca="1" si="37"/>
        <v>40</v>
      </c>
      <c r="H83">
        <f t="shared" ca="1" si="37"/>
        <v>40</v>
      </c>
      <c r="I83">
        <f t="shared" ca="1" si="37"/>
        <v>43</v>
      </c>
      <c r="J83">
        <f t="shared" ca="1" si="37"/>
        <v>40</v>
      </c>
      <c r="K83">
        <f t="shared" ca="1" si="37"/>
        <v>47</v>
      </c>
      <c r="L83">
        <f t="shared" ca="1" si="37"/>
        <v>49</v>
      </c>
      <c r="M83">
        <f t="shared" ca="1" si="37"/>
        <v>46</v>
      </c>
      <c r="N83">
        <f t="shared" ca="1" si="37"/>
        <v>44</v>
      </c>
      <c r="O83">
        <f t="shared" ca="1" si="37"/>
        <v>44</v>
      </c>
      <c r="P83">
        <f t="shared" ca="1" si="37"/>
        <v>44</v>
      </c>
      <c r="V83" cm="1">
        <f t="array" aca="1" ref="V83" ca="1">IF(ISNA(E83),,OFFSET(INDIRECT("'"&amp;V$67&amp;"'!d1"),E83-1,))</f>
        <v>56</v>
      </c>
      <c r="W83" cm="1">
        <f t="array" aca="1" ref="W83" ca="1">IF(ISNA(F83),,OFFSET(INDIRECT("'"&amp;W$67&amp;"'!d1"),F83-1,))</f>
        <v>24</v>
      </c>
      <c r="X83" cm="1">
        <f t="array" aca="1" ref="X83" ca="1">IF(ISNA(G83),,OFFSET(INDIRECT("'"&amp;X$67&amp;"'!d1"),G83-1,))</f>
        <v>146</v>
      </c>
      <c r="Y83" cm="1">
        <f t="array" aca="1" ref="Y83" ca="1">IF(ISNA(H83),,OFFSET(INDIRECT("'"&amp;Y$67&amp;"'!d1"),H83-1,))</f>
        <v>0</v>
      </c>
      <c r="Z83" cm="1">
        <f t="array" aca="1" ref="Z83" ca="1">IF(ISNA(I83),,OFFSET(INDIRECT("'"&amp;Z$67&amp;"'!d1"),I83-1,))</f>
        <v>24</v>
      </c>
      <c r="AA83" cm="1">
        <f t="array" aca="1" ref="AA83" ca="1">IF(ISNA(J83),,OFFSET(INDIRECT("'"&amp;AA$67&amp;"'!d1"),J83-1,))</f>
        <v>24</v>
      </c>
      <c r="AB83" cm="1">
        <f t="array" aca="1" ref="AB83" ca="1">IF(ISNA(K83),,OFFSET(INDIRECT("'"&amp;AB$67&amp;"'!d1"),K83-1,))</f>
        <v>24</v>
      </c>
      <c r="AC83" cm="1">
        <f t="array" aca="1" ref="AC83" ca="1">IF(ISNA(L83),,OFFSET(INDIRECT("'"&amp;AC$67&amp;"'!d1"),L83-1,))</f>
        <v>24</v>
      </c>
      <c r="AD83" cm="1">
        <f t="array" aca="1" ref="AD83" ca="1">IF(ISNA(M83),,OFFSET(INDIRECT("'"&amp;AD$67&amp;"'!d1"),M83-1,))</f>
        <v>24</v>
      </c>
      <c r="AE83" cm="1">
        <f t="array" aca="1" ref="AE83" ca="1">IF(ISNA(N83),,OFFSET(INDIRECT("'"&amp;AE$67&amp;"'!d1"),N83-1,))</f>
        <v>0</v>
      </c>
      <c r="AF83" cm="1">
        <f t="array" aca="1" ref="AF83" ca="1">IF(ISNA(O83),,OFFSET(INDIRECT("'"&amp;AF$67&amp;"'!d1"),O83-1,))</f>
        <v>0</v>
      </c>
      <c r="AG83" cm="1">
        <f t="array" aca="1" ref="AG83" ca="1">IF(ISNA(P83),,OFFSET(INDIRECT("'"&amp;AG$67&amp;"'!d1"),P83-1,))</f>
        <v>0</v>
      </c>
      <c r="AM83">
        <f t="shared" ca="1" si="51"/>
        <v>0</v>
      </c>
      <c r="AN83">
        <f t="shared" ca="1" si="38"/>
        <v>0</v>
      </c>
      <c r="AO83">
        <f t="shared" ca="1" si="38"/>
        <v>0</v>
      </c>
      <c r="AP83">
        <f t="shared" ca="1" si="38"/>
        <v>0</v>
      </c>
      <c r="AQ83">
        <f t="shared" ca="1" si="52"/>
        <v>0</v>
      </c>
      <c r="AV83" t="str">
        <f t="shared" ca="1" si="53"/>
        <v/>
      </c>
      <c r="AW83" t="str">
        <f t="shared" ca="1" si="39"/>
        <v/>
      </c>
      <c r="AX83" t="str">
        <f t="shared" ca="1" si="39"/>
        <v/>
      </c>
      <c r="AY83" t="str">
        <f t="shared" ca="1" si="39"/>
        <v/>
      </c>
      <c r="AZ83" t="str">
        <f t="shared" ca="1" si="39"/>
        <v/>
      </c>
      <c r="BD83">
        <f t="shared" ca="1" si="40"/>
        <v>1</v>
      </c>
      <c r="BE83">
        <f t="shared" ca="1" si="40"/>
        <v>1</v>
      </c>
      <c r="BF83">
        <f t="shared" ca="1" si="40"/>
        <v>1</v>
      </c>
      <c r="BG83">
        <f t="shared" ca="1" si="40"/>
        <v>0</v>
      </c>
      <c r="BH83">
        <f t="shared" ca="1" si="40"/>
        <v>1</v>
      </c>
      <c r="BI83">
        <f t="shared" ca="1" si="40"/>
        <v>1</v>
      </c>
      <c r="BJ83">
        <f t="shared" ca="1" si="40"/>
        <v>1</v>
      </c>
      <c r="BK83">
        <f t="shared" ca="1" si="40"/>
        <v>1</v>
      </c>
      <c r="BL83">
        <f t="shared" ca="1" si="40"/>
        <v>1</v>
      </c>
      <c r="BM83">
        <f t="shared" ca="1" si="40"/>
        <v>0</v>
      </c>
      <c r="BN83">
        <f t="shared" ca="1" si="40"/>
        <v>0</v>
      </c>
      <c r="BO83">
        <f t="shared" ca="1" si="40"/>
        <v>0</v>
      </c>
      <c r="BU83">
        <f t="shared" ca="1" si="41"/>
        <v>56</v>
      </c>
      <c r="BV83">
        <f t="shared" ca="1" si="41"/>
        <v>24</v>
      </c>
      <c r="BW83">
        <f t="shared" ca="1" si="41"/>
        <v>146</v>
      </c>
      <c r="BX83">
        <f t="shared" ca="1" si="41"/>
        <v>365</v>
      </c>
      <c r="BY83">
        <f t="shared" ca="1" si="41"/>
        <v>24</v>
      </c>
      <c r="BZ83">
        <f t="shared" ca="1" si="41"/>
        <v>24</v>
      </c>
      <c r="CA83">
        <f t="shared" ca="1" si="41"/>
        <v>24</v>
      </c>
      <c r="CB83">
        <f t="shared" ca="1" si="41"/>
        <v>24</v>
      </c>
      <c r="CC83">
        <f t="shared" ca="1" si="41"/>
        <v>24</v>
      </c>
      <c r="CD83">
        <f t="shared" ca="1" si="41"/>
        <v>365</v>
      </c>
      <c r="CE83">
        <f t="shared" ca="1" si="41"/>
        <v>365</v>
      </c>
      <c r="CF83">
        <f t="shared" ca="1" si="41"/>
        <v>365</v>
      </c>
      <c r="CL83">
        <f t="shared" ca="1" si="42"/>
        <v>0</v>
      </c>
      <c r="CM83">
        <f t="shared" ca="1" si="42"/>
        <v>1</v>
      </c>
      <c r="CN83">
        <f t="shared" ca="1" si="42"/>
        <v>0</v>
      </c>
      <c r="CO83">
        <f t="shared" ca="1" si="42"/>
        <v>0</v>
      </c>
      <c r="CP83">
        <f t="shared" ca="1" si="42"/>
        <v>1</v>
      </c>
      <c r="CQ83">
        <f t="shared" ca="1" si="42"/>
        <v>1</v>
      </c>
      <c r="CR83">
        <f t="shared" ca="1" si="42"/>
        <v>1</v>
      </c>
      <c r="CS83">
        <f t="shared" ca="1" si="42"/>
        <v>1</v>
      </c>
      <c r="CT83">
        <f t="shared" ca="1" si="42"/>
        <v>1</v>
      </c>
      <c r="CU83">
        <f t="shared" ca="1" si="42"/>
        <v>0</v>
      </c>
      <c r="CV83">
        <f t="shared" ca="1" si="42"/>
        <v>0</v>
      </c>
      <c r="CW83">
        <f t="shared" ca="1" si="42"/>
        <v>0</v>
      </c>
      <c r="DC83" cm="1">
        <f t="array" aca="1" ref="DC83" ca="1">IF(ISNA(E83),,OFFSET(INDIRECT("'"&amp;DT$67&amp;"'!f1"),E83-1,))*1</f>
        <v>28841.132324501799</v>
      </c>
      <c r="DD83" cm="1">
        <f t="array" aca="1" ref="DD83" ca="1">IF(ISNA(F83),,OFFSET(INDIRECT("'"&amp;DU$67&amp;"'!f1"),F83-1,))*1</f>
        <v>28816.962175875899</v>
      </c>
      <c r="DE83" cm="1">
        <f t="array" aca="1" ref="DE83" ca="1">IF(ISNA(G83),,OFFSET(INDIRECT("'"&amp;DV$67&amp;"'!f1"),G83-1,))*1</f>
        <v>28800.695998184299</v>
      </c>
      <c r="DF83" cm="1">
        <f t="array" aca="1" ref="DF83" ca="1">IF(ISNA(H83),,OFFSET(INDIRECT("'"&amp;DW$67&amp;"'!f1"),H83-1,))*1</f>
        <v>28800.210126828399</v>
      </c>
      <c r="DG83" cm="1">
        <f t="array" aca="1" ref="DG83" ca="1">IF(ISNA(I83),,OFFSET(INDIRECT("'"&amp;DX$67&amp;"'!f1"),I83-1,))*1</f>
        <v>28800.31259175</v>
      </c>
      <c r="DH83" cm="1">
        <f t="array" aca="1" ref="DH83" ca="1">IF(ISNA(J83),,OFFSET(INDIRECT("'"&amp;DY$67&amp;"'!f1"),J83-1,))*1</f>
        <v>3.2799681336618902</v>
      </c>
      <c r="DI83" cm="1">
        <f t="array" aca="1" ref="DI83" ca="1">IF(ISNA(K83),,OFFSET(INDIRECT("'"&amp;DZ$67&amp;"'!f1"),K83-1,))*1</f>
        <v>39.224440872669199</v>
      </c>
      <c r="DJ83" cm="1">
        <f t="array" aca="1" ref="DJ83" ca="1">IF(ISNA(L83),,OFFSET(INDIRECT("'"&amp;EA$67&amp;"'!f1"),L83-1,))*1</f>
        <v>39.459415561519499</v>
      </c>
      <c r="DK83" cm="1">
        <f t="array" aca="1" ref="DK83" ca="1">IF(ISNA(M83),,OFFSET(INDIRECT("'"&amp;EB$67&amp;"'!f1"),M83-1,))*1</f>
        <v>4653.4384094816596</v>
      </c>
      <c r="DL83" cm="1">
        <f t="array" aca="1" ref="DL83" ca="1">IF(ISNA(N83),,OFFSET(INDIRECT("'"&amp;EC$67&amp;"'!f1"),N83-1,))*1</f>
        <v>0.121798035688698</v>
      </c>
      <c r="DM83" cm="1">
        <f t="array" aca="1" ref="DM83" ca="1">IF(ISNA(O83),,OFFSET(INDIRECT("'"&amp;ED$67&amp;"'!f1"),O83-1,))*1</f>
        <v>0.144557770341634</v>
      </c>
      <c r="DN83" cm="1">
        <f t="array" aca="1" ref="DN83" ca="1">IF(ISNA(P83),,OFFSET(INDIRECT("'"&amp;EE$67&amp;"'!f1"),P83-1,))*1</f>
        <v>0.450473855249583</v>
      </c>
      <c r="DT83">
        <f t="shared" ca="1" si="54"/>
        <v>0</v>
      </c>
      <c r="DU83">
        <f t="shared" ca="1" si="43"/>
        <v>1</v>
      </c>
      <c r="DV83">
        <f t="shared" ca="1" si="43"/>
        <v>0</v>
      </c>
      <c r="DW83">
        <f t="shared" ca="1" si="43"/>
        <v>0</v>
      </c>
      <c r="DX83">
        <f t="shared" ca="1" si="43"/>
        <v>1</v>
      </c>
      <c r="DY83">
        <f t="shared" ca="1" si="43"/>
        <v>1</v>
      </c>
      <c r="DZ83">
        <f t="shared" ca="1" si="43"/>
        <v>107</v>
      </c>
      <c r="EA83">
        <f t="shared" ca="1" si="43"/>
        <v>5170</v>
      </c>
      <c r="EB83">
        <f t="shared" ca="1" si="43"/>
        <v>53</v>
      </c>
      <c r="EC83">
        <f t="shared" ca="1" si="43"/>
        <v>0</v>
      </c>
      <c r="ED83">
        <f t="shared" ca="1" si="43"/>
        <v>0</v>
      </c>
      <c r="EE83">
        <f t="shared" ca="1" si="43"/>
        <v>0</v>
      </c>
      <c r="EK83" cm="1">
        <f t="array" aca="1" ref="EK83" ca="1">IF(ISNA(E83),0,OFFSET(INDIRECT("'"&amp;EK$67&amp;"'!g1"),E83-1,)*CL83)</f>
        <v>0</v>
      </c>
      <c r="EL83" cm="1">
        <f t="array" aca="1" ref="EL83" ca="1">IF(ISNA(F83),0,OFFSET(INDIRECT("'"&amp;EL$67&amp;"'!g1"),F83-1,)*CM83)</f>
        <v>1</v>
      </c>
      <c r="EM83" cm="1">
        <f t="array" aca="1" ref="EM83" ca="1">IF(ISNA(G83),0,OFFSET(INDIRECT("'"&amp;EM$67&amp;"'!g1"),G83-1,)*CN83)</f>
        <v>0</v>
      </c>
      <c r="EN83" cm="1">
        <f t="array" aca="1" ref="EN83" ca="1">IF(ISNA(H83),0,OFFSET(INDIRECT("'"&amp;EN$67&amp;"'!g1"),H83-1,)*CO83)</f>
        <v>0</v>
      </c>
      <c r="EO83" cm="1">
        <f t="array" aca="1" ref="EO83" ca="1">IF(ISNA(I83),0,OFFSET(INDIRECT("'"&amp;EO$67&amp;"'!g1"),I83-1,)*CP83)</f>
        <v>1</v>
      </c>
      <c r="EP83" cm="1">
        <f t="array" aca="1" ref="EP83" ca="1">IF(ISNA(J83),0,OFFSET(INDIRECT("'"&amp;EP$67&amp;"'!g1"),J83-1,)*CQ83)</f>
        <v>1</v>
      </c>
      <c r="EQ83" cm="1">
        <f t="array" aca="1" ref="EQ83" ca="1">IF(ISNA(K83),0,OFFSET(INDIRECT("'"&amp;EQ$67&amp;"'!g1"),K83-1,)*CR83)</f>
        <v>107</v>
      </c>
      <c r="ER83" cm="1">
        <f t="array" aca="1" ref="ER83" ca="1">IF(ISNA(L83),0,OFFSET(INDIRECT("'"&amp;ER$67&amp;"'!g1"),L83-1,)*CS83)</f>
        <v>5170</v>
      </c>
      <c r="ES83" cm="1">
        <f t="array" aca="1" ref="ES83" ca="1">IF(ISNA(M83),0,OFFSET(INDIRECT("'"&amp;ES$67&amp;"'!g1"),M83-1,)*CT83)</f>
        <v>53</v>
      </c>
      <c r="ET83" cm="1">
        <f t="array" aca="1" ref="ET83" ca="1">IF(ISNA(N83),0,OFFSET(INDIRECT("'"&amp;ET$67&amp;"'!g1"),N83-1,)*CU83)</f>
        <v>0</v>
      </c>
      <c r="EU83" cm="1">
        <f t="array" aca="1" ref="EU83" ca="1">IF(ISNA(O83),0,OFFSET(INDIRECT("'"&amp;EU$67&amp;"'!g1"),O83-1,)*CV83)</f>
        <v>0</v>
      </c>
      <c r="EV83" cm="1">
        <f t="array" aca="1" ref="EV83" ca="1">IF(ISNA(P83),0,OFFSET(INDIRECT("'"&amp;EV$67&amp;"'!g1"),P83-1,)*CW83)</f>
        <v>0</v>
      </c>
      <c r="FB83" s="10" cm="1">
        <f t="array" aca="1" ref="FB83" ca="1">IF(ISNA(E83),0,OFFSET(INDIRECT("'"&amp;EK$67&amp;"'!h1"),E83-1,))</f>
        <v>1</v>
      </c>
      <c r="FC83" s="10" cm="1">
        <f t="array" aca="1" ref="FC83" ca="1">IF(ISNA(F83),0,OFFSET(INDIRECT("'"&amp;EL$67&amp;"'!h1"),F83-1,))</f>
        <v>1</v>
      </c>
      <c r="FD83" s="10" cm="1">
        <f t="array" aca="1" ref="FD83" ca="1">IF(ISNA(G83),0,OFFSET(INDIRECT("'"&amp;EM$67&amp;"'!h1"),G83-1,))</f>
        <v>1</v>
      </c>
      <c r="FE83" s="10" cm="1">
        <f t="array" aca="1" ref="FE83" ca="1">IF(ISNA(H83),0,OFFSET(INDIRECT("'"&amp;EN$67&amp;"'!h1"),H83-1,))</f>
        <v>1</v>
      </c>
      <c r="FF83" s="10" cm="1">
        <f t="array" aca="1" ref="FF83" ca="1">IF(ISNA(I83),0,OFFSET(INDIRECT("'"&amp;EO$67&amp;"'!h1"),I83-1,))</f>
        <v>1</v>
      </c>
      <c r="FG83" s="10" cm="1">
        <f t="array" aca="1" ref="FG83" ca="1">IF(ISNA(J83),0,OFFSET(INDIRECT("'"&amp;EP$67&amp;"'!h1"),J83-1,))</f>
        <v>1</v>
      </c>
      <c r="FH83" s="10" cm="1">
        <f t="array" aca="1" ref="FH83" ca="1">IF(ISNA(K83),0,OFFSET(INDIRECT("'"&amp;EQ$67&amp;"'!h1"),K83-1,))</f>
        <v>10000</v>
      </c>
      <c r="FI83" s="10" cm="1">
        <f t="array" aca="1" ref="FI83" ca="1">IF(ISNA(L83),0,OFFSET(INDIRECT("'"&amp;ER$67&amp;"'!h1"),L83-1,))</f>
        <v>10000</v>
      </c>
      <c r="FJ83" s="10" cm="1">
        <f t="array" aca="1" ref="FJ83" ca="1">IF(ISNA(M83),0,OFFSET(INDIRECT("'"&amp;ES$67&amp;"'!h1"),M83-1,))</f>
        <v>10000</v>
      </c>
      <c r="FK83" s="10" cm="1">
        <f t="array" aca="1" ref="FK83" ca="1">IF(ISNA(N83),0,OFFSET(INDIRECT("'"&amp;ET$67&amp;"'!h1"),N83-1,))</f>
        <v>1</v>
      </c>
      <c r="FL83" s="10" cm="1">
        <f t="array" aca="1" ref="FL83" ca="1">IF(ISNA(O83),0,OFFSET(INDIRECT("'"&amp;EU$67&amp;"'!h1"),O83-1,))</f>
        <v>1</v>
      </c>
      <c r="FM83" s="10" cm="1">
        <f t="array" aca="1" ref="FM83" ca="1">IF(ISNA(P83),0,OFFSET(INDIRECT("'"&amp;EV$67&amp;"'!h1"),P83-1,))</f>
        <v>9</v>
      </c>
      <c r="FN83" s="10"/>
      <c r="FO83" s="10"/>
      <c r="FP83" s="10"/>
      <c r="FQ83" s="10"/>
      <c r="FS83">
        <f t="shared" ca="1" si="55"/>
        <v>365</v>
      </c>
      <c r="FT83">
        <f t="shared" ca="1" si="56"/>
        <v>39.224440872669199</v>
      </c>
      <c r="FU83">
        <f t="shared" ca="1" si="57"/>
        <v>107</v>
      </c>
      <c r="FV83">
        <f t="shared" ca="1" si="58"/>
        <v>10000</v>
      </c>
      <c r="FW83" s="4">
        <f t="shared" ca="1" si="59"/>
        <v>1.0699999999999999E-2</v>
      </c>
      <c r="FX83" s="5">
        <f t="shared" ca="1" si="60"/>
        <v>0.36658355955765604</v>
      </c>
      <c r="FZ83" s="13">
        <f t="shared" ca="1" si="44"/>
        <v>365</v>
      </c>
      <c r="GA83" s="23">
        <f t="shared" ca="1" si="61"/>
        <v>1.3333333333333333</v>
      </c>
      <c r="GB83" s="23">
        <f t="shared" ca="1" si="45"/>
        <v>0</v>
      </c>
      <c r="GC83" s="23">
        <f t="shared" ca="1" si="45"/>
        <v>5.083333333333333</v>
      </c>
      <c r="GD83" s="23" t="e">
        <f t="shared" ca="1" si="45"/>
        <v>#N/A</v>
      </c>
      <c r="GE83" s="23">
        <f t="shared" ca="1" si="45"/>
        <v>0</v>
      </c>
      <c r="GF83" s="23">
        <f t="shared" ca="1" si="45"/>
        <v>0</v>
      </c>
      <c r="GG83" s="23">
        <f t="shared" ca="1" si="45"/>
        <v>0</v>
      </c>
      <c r="GH83" s="23">
        <f t="shared" ca="1" si="45"/>
        <v>0</v>
      </c>
      <c r="GI83" s="23">
        <f t="shared" ca="1" si="45"/>
        <v>0</v>
      </c>
      <c r="GJ83" s="23" t="e">
        <f t="shared" ca="1" si="45"/>
        <v>#N/A</v>
      </c>
      <c r="GK83" s="23" t="e">
        <f t="shared" ca="1" si="45"/>
        <v>#N/A</v>
      </c>
      <c r="GL83" s="23" t="e">
        <f t="shared" ca="1" si="45"/>
        <v>#N/A</v>
      </c>
      <c r="GM83" s="23"/>
      <c r="GN83">
        <f t="shared" ca="1" si="62"/>
        <v>365</v>
      </c>
      <c r="GO83" s="5" t="e">
        <f t="shared" ca="1" si="63"/>
        <v>#N/A</v>
      </c>
      <c r="GP83" s="5" t="e">
        <f t="shared" ca="1" si="46"/>
        <v>#N/A</v>
      </c>
      <c r="GQ83" s="5" t="e">
        <f t="shared" ca="1" si="46"/>
        <v>#N/A</v>
      </c>
      <c r="GR83" s="5" t="e">
        <f t="shared" ca="1" si="46"/>
        <v>#N/A</v>
      </c>
      <c r="GS83" s="5" t="e">
        <f t="shared" ca="1" si="46"/>
        <v>#N/A</v>
      </c>
      <c r="GT83" s="5">
        <f t="shared" ca="1" si="64"/>
        <v>3.2799681336618902</v>
      </c>
      <c r="GU83" s="5">
        <f t="shared" ca="1" si="47"/>
        <v>0.36658355955765604</v>
      </c>
      <c r="GV83" s="5">
        <f t="shared" ca="1" si="47"/>
        <v>7.6323821202165373E-3</v>
      </c>
      <c r="GW83" s="5">
        <f t="shared" ca="1" si="47"/>
        <v>87.800724707201127</v>
      </c>
      <c r="GX83" s="5" t="e">
        <f t="shared" ca="1" si="47"/>
        <v>#N/A</v>
      </c>
      <c r="GY83" s="5" t="e">
        <f t="shared" ca="1" si="47"/>
        <v>#N/A</v>
      </c>
      <c r="GZ83" s="5" t="e">
        <f t="shared" ca="1" si="47"/>
        <v>#N/A</v>
      </c>
      <c r="HB83" s="13">
        <f t="shared" ca="1" si="48"/>
        <v>365</v>
      </c>
      <c r="HC83" s="4">
        <f t="shared" ca="1" si="65"/>
        <v>0</v>
      </c>
      <c r="HD83" s="4">
        <f t="shared" ca="1" si="49"/>
        <v>1</v>
      </c>
      <c r="HE83" s="4">
        <f t="shared" ca="1" si="49"/>
        <v>0</v>
      </c>
      <c r="HF83" s="4">
        <f t="shared" ca="1" si="49"/>
        <v>0</v>
      </c>
      <c r="HG83" s="4">
        <f t="shared" ca="1" si="49"/>
        <v>1</v>
      </c>
      <c r="HH83" s="4">
        <f t="shared" ca="1" si="49"/>
        <v>1</v>
      </c>
      <c r="HI83" s="4">
        <f t="shared" ca="1" si="49"/>
        <v>1.0699999999999999E-2</v>
      </c>
      <c r="HJ83" s="4">
        <f t="shared" ca="1" si="49"/>
        <v>0.51700000000000002</v>
      </c>
      <c r="HK83" s="4">
        <f t="shared" ca="1" si="49"/>
        <v>5.3E-3</v>
      </c>
      <c r="HL83" s="4">
        <f t="shared" ca="1" si="49"/>
        <v>0</v>
      </c>
      <c r="HM83" s="4">
        <f t="shared" ca="1" si="49"/>
        <v>0</v>
      </c>
      <c r="HN83" s="4">
        <f t="shared" ca="1" si="49"/>
        <v>0</v>
      </c>
    </row>
    <row r="84" spans="1:222" x14ac:dyDescent="0.2">
      <c r="A84" t="str" cm="1">
        <f t="array" aca="1" ref="A84" ca="1">INDIRECT($A$67&amp;"!A"&amp;ROW(C17)+$B$64)</f>
        <v>[[400,162,22]]</v>
      </c>
      <c r="B84" cm="1">
        <f t="array" aca="1" ref="B84" ca="1">INDIRECT($A$67&amp;"!b"&amp;ROW(D17)+$B$64)</f>
        <v>400</v>
      </c>
      <c r="C84">
        <f t="shared" ca="1" si="50"/>
        <v>22</v>
      </c>
      <c r="E84">
        <f t="shared" ref="E84:P86" ca="1" si="66">MATCH($A84,INDIRECT("'"&amp;E$67&amp;"'!A:A"),)</f>
        <v>41</v>
      </c>
      <c r="F84">
        <f t="shared" ca="1" si="66"/>
        <v>42</v>
      </c>
      <c r="G84">
        <f t="shared" ca="1" si="66"/>
        <v>41</v>
      </c>
      <c r="H84">
        <f t="shared" ca="1" si="66"/>
        <v>41</v>
      </c>
      <c r="I84">
        <f t="shared" ca="1" si="66"/>
        <v>44</v>
      </c>
      <c r="J84">
        <f t="shared" ca="1" si="66"/>
        <v>41</v>
      </c>
      <c r="K84">
        <f t="shared" ca="1" si="66"/>
        <v>48</v>
      </c>
      <c r="L84">
        <f t="shared" ca="1" si="66"/>
        <v>50</v>
      </c>
      <c r="M84">
        <f t="shared" ca="1" si="66"/>
        <v>47</v>
      </c>
      <c r="N84">
        <f t="shared" ca="1" si="66"/>
        <v>45</v>
      </c>
      <c r="O84">
        <f t="shared" ca="1" si="66"/>
        <v>45</v>
      </c>
      <c r="P84">
        <f t="shared" ca="1" si="66"/>
        <v>45</v>
      </c>
      <c r="V84" cm="1">
        <f t="array" aca="1" ref="V84" ca="1">IF(ISNA(E84),,OFFSET(INDIRECT("'"&amp;V$67&amp;"'!d1"),E84-1,))</f>
        <v>24</v>
      </c>
      <c r="W84" cm="1">
        <f t="array" aca="1" ref="W84" ca="1">IF(ISNA(F84),,OFFSET(INDIRECT("'"&amp;W$67&amp;"'!d1"),F84-1,))</f>
        <v>22</v>
      </c>
      <c r="X84" cm="1">
        <f t="array" aca="1" ref="X84" ca="1">IF(ISNA(G84),,OFFSET(INDIRECT("'"&amp;X$67&amp;"'!d1"),G84-1,))</f>
        <v>160</v>
      </c>
      <c r="Y84" cm="1">
        <f t="array" aca="1" ref="Y84" ca="1">IF(ISNA(H84),,OFFSET(INDIRECT("'"&amp;Y$67&amp;"'!d1"),H84-1,))</f>
        <v>0</v>
      </c>
      <c r="Z84" cm="1">
        <f t="array" aca="1" ref="Z84" ca="1">IF(ISNA(I84),,OFFSET(INDIRECT("'"&amp;Z$67&amp;"'!d1"),I84-1,))</f>
        <v>22</v>
      </c>
      <c r="AA84" cm="1">
        <f t="array" aca="1" ref="AA84" ca="1">IF(ISNA(J84),,OFFSET(INDIRECT("'"&amp;AA$67&amp;"'!d1"),J84-1,))</f>
        <v>22</v>
      </c>
      <c r="AB84" cm="1">
        <f t="array" aca="1" ref="AB84" ca="1">IF(ISNA(K84),,OFFSET(INDIRECT("'"&amp;AB$67&amp;"'!d1"),K84-1,))</f>
        <v>22</v>
      </c>
      <c r="AC84" cm="1">
        <f t="array" aca="1" ref="AC84" ca="1">IF(ISNA(L84),,OFFSET(INDIRECT("'"&amp;AC$67&amp;"'!d1"),L84-1,))</f>
        <v>22</v>
      </c>
      <c r="AD84" cm="1">
        <f t="array" aca="1" ref="AD84" ca="1">IF(ISNA(M84),,OFFSET(INDIRECT("'"&amp;AD$67&amp;"'!d1"),M84-1,))</f>
        <v>22</v>
      </c>
      <c r="AE84" cm="1">
        <f t="array" aca="1" ref="AE84" ca="1">IF(ISNA(N84),,OFFSET(INDIRECT("'"&amp;AE$67&amp;"'!d1"),N84-1,))</f>
        <v>0</v>
      </c>
      <c r="AF84" cm="1">
        <f t="array" aca="1" ref="AF84" ca="1">IF(ISNA(O84),,OFFSET(INDIRECT("'"&amp;AF$67&amp;"'!d1"),O84-1,))</f>
        <v>0</v>
      </c>
      <c r="AG84" cm="1">
        <f t="array" aca="1" ref="AG84" ca="1">IF(ISNA(P84),,OFFSET(INDIRECT("'"&amp;AG$67&amp;"'!d1"),P84-1,))</f>
        <v>0</v>
      </c>
      <c r="AM84">
        <f t="shared" ca="1" si="51"/>
        <v>0</v>
      </c>
      <c r="AN84">
        <f t="shared" ca="1" si="51"/>
        <v>0</v>
      </c>
      <c r="AO84">
        <f t="shared" ca="1" si="51"/>
        <v>0</v>
      </c>
      <c r="AP84">
        <f t="shared" ca="1" si="51"/>
        <v>0</v>
      </c>
      <c r="AQ84">
        <f t="shared" ca="1" si="52"/>
        <v>0</v>
      </c>
      <c r="AV84" t="str">
        <f t="shared" ca="1" si="53"/>
        <v/>
      </c>
      <c r="AW84" t="str">
        <f t="shared" ca="1" si="39"/>
        <v/>
      </c>
      <c r="AX84" t="str">
        <f t="shared" ca="1" si="39"/>
        <v/>
      </c>
      <c r="AY84" t="str">
        <f t="shared" ca="1" si="39"/>
        <v/>
      </c>
      <c r="AZ84" t="str">
        <f t="shared" ca="1" si="39"/>
        <v/>
      </c>
      <c r="BD84">
        <f t="shared" ca="1" si="40"/>
        <v>1</v>
      </c>
      <c r="BE84">
        <f t="shared" ca="1" si="40"/>
        <v>1</v>
      </c>
      <c r="BF84">
        <f t="shared" ca="1" si="40"/>
        <v>1</v>
      </c>
      <c r="BG84">
        <f t="shared" ca="1" si="40"/>
        <v>0</v>
      </c>
      <c r="BH84">
        <f t="shared" ca="1" si="40"/>
        <v>1</v>
      </c>
      <c r="BI84">
        <f t="shared" ca="1" si="40"/>
        <v>1</v>
      </c>
      <c r="BJ84">
        <f t="shared" ca="1" si="40"/>
        <v>1</v>
      </c>
      <c r="BK84">
        <f t="shared" ca="1" si="40"/>
        <v>1</v>
      </c>
      <c r="BL84">
        <f t="shared" ca="1" si="40"/>
        <v>1</v>
      </c>
      <c r="BM84">
        <f t="shared" ca="1" si="40"/>
        <v>0</v>
      </c>
      <c r="BN84">
        <f t="shared" ca="1" si="40"/>
        <v>0</v>
      </c>
      <c r="BO84">
        <f t="shared" ca="1" si="40"/>
        <v>0</v>
      </c>
      <c r="BU84">
        <f t="shared" ca="1" si="41"/>
        <v>24</v>
      </c>
      <c r="BV84">
        <f t="shared" ca="1" si="41"/>
        <v>22</v>
      </c>
      <c r="BW84">
        <f t="shared" ca="1" si="41"/>
        <v>160</v>
      </c>
      <c r="BX84">
        <f t="shared" ca="1" si="41"/>
        <v>400</v>
      </c>
      <c r="BY84">
        <f t="shared" ca="1" si="41"/>
        <v>22</v>
      </c>
      <c r="BZ84">
        <f t="shared" ca="1" si="41"/>
        <v>22</v>
      </c>
      <c r="CA84">
        <f t="shared" ca="1" si="41"/>
        <v>22</v>
      </c>
      <c r="CB84">
        <f t="shared" ca="1" si="41"/>
        <v>22</v>
      </c>
      <c r="CC84">
        <f t="shared" ca="1" si="41"/>
        <v>22</v>
      </c>
      <c r="CD84">
        <f t="shared" ca="1" si="41"/>
        <v>400</v>
      </c>
      <c r="CE84">
        <f t="shared" ca="1" si="41"/>
        <v>400</v>
      </c>
      <c r="CF84">
        <f t="shared" ca="1" si="41"/>
        <v>400</v>
      </c>
      <c r="CL84">
        <f t="shared" ca="1" si="42"/>
        <v>0</v>
      </c>
      <c r="CM84">
        <f t="shared" ca="1" si="42"/>
        <v>1</v>
      </c>
      <c r="CN84">
        <f t="shared" ca="1" si="42"/>
        <v>0</v>
      </c>
      <c r="CO84">
        <f t="shared" ca="1" si="42"/>
        <v>0</v>
      </c>
      <c r="CP84">
        <f t="shared" ca="1" si="42"/>
        <v>1</v>
      </c>
      <c r="CQ84">
        <f t="shared" ca="1" si="42"/>
        <v>1</v>
      </c>
      <c r="CR84">
        <f t="shared" ca="1" si="42"/>
        <v>1</v>
      </c>
      <c r="CS84">
        <f t="shared" ca="1" si="42"/>
        <v>1</v>
      </c>
      <c r="CT84">
        <f t="shared" ca="1" si="42"/>
        <v>1</v>
      </c>
      <c r="CU84">
        <f t="shared" ca="1" si="42"/>
        <v>0</v>
      </c>
      <c r="CV84">
        <f t="shared" ca="1" si="42"/>
        <v>0</v>
      </c>
      <c r="CW84">
        <f t="shared" ca="1" si="42"/>
        <v>0</v>
      </c>
      <c r="DC84" cm="1">
        <f t="array" aca="1" ref="DC84" ca="1">IF(ISNA(E84),,OFFSET(INDIRECT("'"&amp;DT$67&amp;"'!f1"),E84-1,))*1</f>
        <v>28838.621648438198</v>
      </c>
      <c r="DD84" cm="1">
        <f t="array" aca="1" ref="DD84" ca="1">IF(ISNA(F84),,OFFSET(INDIRECT("'"&amp;DU$67&amp;"'!f1"),F84-1,))*1</f>
        <v>28821.783498525601</v>
      </c>
      <c r="DE84" cm="1">
        <f t="array" aca="1" ref="DE84" ca="1">IF(ISNA(G84),,OFFSET(INDIRECT("'"&amp;DV$67&amp;"'!f1"),G84-1,))*1</f>
        <v>28800.459410779102</v>
      </c>
      <c r="DF84" cm="1">
        <f t="array" aca="1" ref="DF84" ca="1">IF(ISNA(H84),,OFFSET(INDIRECT("'"&amp;DW$67&amp;"'!f1"),H84-1,))*1</f>
        <v>28800.943079820801</v>
      </c>
      <c r="DG84" cm="1">
        <f t="array" aca="1" ref="DG84" ca="1">IF(ISNA(I84),,OFFSET(INDIRECT("'"&amp;DX$67&amp;"'!f1"),I84-1,))*1</f>
        <v>28800.172093749901</v>
      </c>
      <c r="DH84" cm="1">
        <f t="array" aca="1" ref="DH84" ca="1">IF(ISNA(J84),,OFFSET(INDIRECT("'"&amp;DY$67&amp;"'!f1"),J84-1,))*1</f>
        <v>3.9098834432661498</v>
      </c>
      <c r="DI84" cm="1">
        <f t="array" aca="1" ref="DI84" ca="1">IF(ISNA(K84),,OFFSET(INDIRECT("'"&amp;DZ$67&amp;"'!f1"),K84-1,))*1</f>
        <v>46.693441110663102</v>
      </c>
      <c r="DJ84" cm="1">
        <f t="array" aca="1" ref="DJ84" ca="1">IF(ISNA(L84),,OFFSET(INDIRECT("'"&amp;EA$67&amp;"'!f1"),L84-1,))*1</f>
        <v>45.740938689559698</v>
      </c>
      <c r="DK84" cm="1">
        <f t="array" aca="1" ref="DK84" ca="1">IF(ISNA(M84),,OFFSET(INDIRECT("'"&amp;EB$67&amp;"'!f1"),M84-1,))*1</f>
        <v>6788.8033469519496</v>
      </c>
      <c r="DL84" cm="1">
        <f t="array" aca="1" ref="DL84" ca="1">IF(ISNA(N84),,OFFSET(INDIRECT("'"&amp;EC$67&amp;"'!f1"),N84-1,))*1</f>
        <v>0.12947725411504499</v>
      </c>
      <c r="DM84" cm="1">
        <f t="array" aca="1" ref="DM84" ca="1">IF(ISNA(O84),,OFFSET(INDIRECT("'"&amp;ED$67&amp;"'!f1"),O84-1,))*1</f>
        <v>0.174771077930927</v>
      </c>
      <c r="DN84" cm="1">
        <f t="array" aca="1" ref="DN84" ca="1">IF(ISNA(P84),,OFFSET(INDIRECT("'"&amp;EE$67&amp;"'!f1"),P84-1,))*1</f>
        <v>0.51943446602672305</v>
      </c>
      <c r="DT84">
        <f t="shared" ca="1" si="54"/>
        <v>0</v>
      </c>
      <c r="DU84">
        <f t="shared" ca="1" si="54"/>
        <v>1</v>
      </c>
      <c r="DV84">
        <f t="shared" ca="1" si="54"/>
        <v>0</v>
      </c>
      <c r="DW84">
        <f t="shared" ca="1" si="54"/>
        <v>0</v>
      </c>
      <c r="DX84">
        <f t="shared" ca="1" si="54"/>
        <v>1</v>
      </c>
      <c r="DY84">
        <f t="shared" ca="1" si="54"/>
        <v>1</v>
      </c>
      <c r="DZ84">
        <f t="shared" ca="1" si="54"/>
        <v>136</v>
      </c>
      <c r="EA84">
        <f t="shared" ca="1" si="54"/>
        <v>5435</v>
      </c>
      <c r="EB84">
        <f t="shared" ca="1" si="54"/>
        <v>57</v>
      </c>
      <c r="EC84">
        <f t="shared" ca="1" si="54"/>
        <v>0</v>
      </c>
      <c r="ED84">
        <f t="shared" ca="1" si="54"/>
        <v>0</v>
      </c>
      <c r="EE84">
        <f t="shared" ca="1" si="54"/>
        <v>0</v>
      </c>
      <c r="EK84" cm="1">
        <f t="array" aca="1" ref="EK84" ca="1">IF(ISNA(E84),0,OFFSET(INDIRECT("'"&amp;EK$67&amp;"'!g1"),E84-1,)*CL84)</f>
        <v>0</v>
      </c>
      <c r="EL84" cm="1">
        <f t="array" aca="1" ref="EL84" ca="1">IF(ISNA(F84),0,OFFSET(INDIRECT("'"&amp;EL$67&amp;"'!g1"),F84-1,)*CM84)</f>
        <v>1</v>
      </c>
      <c r="EM84" cm="1">
        <f t="array" aca="1" ref="EM84" ca="1">IF(ISNA(G84),0,OFFSET(INDIRECT("'"&amp;EM$67&amp;"'!g1"),G84-1,)*CN84)</f>
        <v>0</v>
      </c>
      <c r="EN84" cm="1">
        <f t="array" aca="1" ref="EN84" ca="1">IF(ISNA(H84),0,OFFSET(INDIRECT("'"&amp;EN$67&amp;"'!g1"),H84-1,)*CO84)</f>
        <v>0</v>
      </c>
      <c r="EO84" cm="1">
        <f t="array" aca="1" ref="EO84" ca="1">IF(ISNA(I84),0,OFFSET(INDIRECT("'"&amp;EO$67&amp;"'!g1"),I84-1,)*CP84)</f>
        <v>1</v>
      </c>
      <c r="EP84" cm="1">
        <f t="array" aca="1" ref="EP84" ca="1">IF(ISNA(J84),0,OFFSET(INDIRECT("'"&amp;EP$67&amp;"'!g1"),J84-1,)*CQ84)</f>
        <v>1</v>
      </c>
      <c r="EQ84" cm="1">
        <f t="array" aca="1" ref="EQ84" ca="1">IF(ISNA(K84),0,OFFSET(INDIRECT("'"&amp;EQ$67&amp;"'!g1"),K84-1,)*CR84)</f>
        <v>136</v>
      </c>
      <c r="ER84" cm="1">
        <f t="array" aca="1" ref="ER84" ca="1">IF(ISNA(L84),0,OFFSET(INDIRECT("'"&amp;ER$67&amp;"'!g1"),L84-1,)*CS84)</f>
        <v>5435</v>
      </c>
      <c r="ES84" cm="1">
        <f t="array" aca="1" ref="ES84" ca="1">IF(ISNA(M84),0,OFFSET(INDIRECT("'"&amp;ES$67&amp;"'!g1"),M84-1,)*CT84)</f>
        <v>57</v>
      </c>
      <c r="ET84" cm="1">
        <f t="array" aca="1" ref="ET84" ca="1">IF(ISNA(N84),0,OFFSET(INDIRECT("'"&amp;ET$67&amp;"'!g1"),N84-1,)*CU84)</f>
        <v>0</v>
      </c>
      <c r="EU84" cm="1">
        <f t="array" aca="1" ref="EU84" ca="1">IF(ISNA(O84),0,OFFSET(INDIRECT("'"&amp;EU$67&amp;"'!g1"),O84-1,)*CV84)</f>
        <v>0</v>
      </c>
      <c r="EV84" cm="1">
        <f t="array" aca="1" ref="EV84" ca="1">IF(ISNA(P84),0,OFFSET(INDIRECT("'"&amp;EV$67&amp;"'!g1"),P84-1,)*CW84)</f>
        <v>0</v>
      </c>
      <c r="FB84" s="10" cm="1">
        <f t="array" aca="1" ref="FB84" ca="1">IF(ISNA(E84),0,OFFSET(INDIRECT("'"&amp;EK$67&amp;"'!h1"),E84-1,))</f>
        <v>1</v>
      </c>
      <c r="FC84" s="10" cm="1">
        <f t="array" aca="1" ref="FC84" ca="1">IF(ISNA(F84),0,OFFSET(INDIRECT("'"&amp;EL$67&amp;"'!h1"),F84-1,))</f>
        <v>1</v>
      </c>
      <c r="FD84" s="10" cm="1">
        <f t="array" aca="1" ref="FD84" ca="1">IF(ISNA(G84),0,OFFSET(INDIRECT("'"&amp;EM$67&amp;"'!h1"),G84-1,))</f>
        <v>1</v>
      </c>
      <c r="FE84" s="10" cm="1">
        <f t="array" aca="1" ref="FE84" ca="1">IF(ISNA(H84),0,OFFSET(INDIRECT("'"&amp;EN$67&amp;"'!h1"),H84-1,))</f>
        <v>1</v>
      </c>
      <c r="FF84" s="10" cm="1">
        <f t="array" aca="1" ref="FF84" ca="1">IF(ISNA(I84),0,OFFSET(INDIRECT("'"&amp;EO$67&amp;"'!h1"),I84-1,))</f>
        <v>1</v>
      </c>
      <c r="FG84" s="10" cm="1">
        <f t="array" aca="1" ref="FG84" ca="1">IF(ISNA(J84),0,OFFSET(INDIRECT("'"&amp;EP$67&amp;"'!h1"),J84-1,))</f>
        <v>1</v>
      </c>
      <c r="FH84" s="10" cm="1">
        <f t="array" aca="1" ref="FH84" ca="1">IF(ISNA(K84),0,OFFSET(INDIRECT("'"&amp;EQ$67&amp;"'!h1"),K84-1,))</f>
        <v>10000</v>
      </c>
      <c r="FI84" s="10" cm="1">
        <f t="array" aca="1" ref="FI84" ca="1">IF(ISNA(L84),0,OFFSET(INDIRECT("'"&amp;ER$67&amp;"'!h1"),L84-1,))</f>
        <v>10000</v>
      </c>
      <c r="FJ84" s="10" cm="1">
        <f t="array" aca="1" ref="FJ84" ca="1">IF(ISNA(M84),0,OFFSET(INDIRECT("'"&amp;ES$67&amp;"'!h1"),M84-1,))</f>
        <v>10000</v>
      </c>
      <c r="FK84" s="10" cm="1">
        <f t="array" aca="1" ref="FK84" ca="1">IF(ISNA(N84),0,OFFSET(INDIRECT("'"&amp;ET$67&amp;"'!h1"),N84-1,))</f>
        <v>1</v>
      </c>
      <c r="FL84" s="10" cm="1">
        <f t="array" aca="1" ref="FL84" ca="1">IF(ISNA(O84),0,OFFSET(INDIRECT("'"&amp;EU$67&amp;"'!h1"),O84-1,))</f>
        <v>1</v>
      </c>
      <c r="FM84" s="10" cm="1">
        <f t="array" aca="1" ref="FM84" ca="1">IF(ISNA(P84),0,OFFSET(INDIRECT("'"&amp;EV$67&amp;"'!h1"),P84-1,))</f>
        <v>9</v>
      </c>
      <c r="FN84" s="10"/>
      <c r="FO84" s="10"/>
      <c r="FP84" s="10"/>
      <c r="FQ84" s="10"/>
      <c r="FS84">
        <f t="shared" ca="1" si="55"/>
        <v>400</v>
      </c>
      <c r="FT84">
        <f t="shared" ca="1" si="56"/>
        <v>46.693441110663102</v>
      </c>
      <c r="FU84">
        <f t="shared" ca="1" si="57"/>
        <v>136</v>
      </c>
      <c r="FV84">
        <f t="shared" ca="1" si="58"/>
        <v>10000</v>
      </c>
      <c r="FW84" s="4">
        <f t="shared" ca="1" si="59"/>
        <v>1.3599999999999999E-2</v>
      </c>
      <c r="FX84" s="5">
        <f t="shared" ca="1" si="60"/>
        <v>0.34333412581369926</v>
      </c>
      <c r="FZ84" s="13">
        <f t="shared" ca="1" si="44"/>
        <v>400</v>
      </c>
      <c r="GA84" s="23">
        <f t="shared" ca="1" si="61"/>
        <v>9.0909090909090912E-2</v>
      </c>
      <c r="GB84" s="23">
        <f t="shared" ca="1" si="45"/>
        <v>0</v>
      </c>
      <c r="GC84" s="23">
        <f t="shared" ca="1" si="45"/>
        <v>6.2727272727272725</v>
      </c>
      <c r="GD84" s="23" t="e">
        <f t="shared" ca="1" si="45"/>
        <v>#N/A</v>
      </c>
      <c r="GE84" s="23">
        <f t="shared" ca="1" si="45"/>
        <v>0</v>
      </c>
      <c r="GF84" s="23">
        <f t="shared" ca="1" si="45"/>
        <v>0</v>
      </c>
      <c r="GG84" s="23">
        <f t="shared" ca="1" si="45"/>
        <v>0</v>
      </c>
      <c r="GH84" s="23">
        <f t="shared" ca="1" si="45"/>
        <v>0</v>
      </c>
      <c r="GI84" s="23">
        <f t="shared" ca="1" si="45"/>
        <v>0</v>
      </c>
      <c r="GJ84" s="23" t="e">
        <f t="shared" ca="1" si="45"/>
        <v>#N/A</v>
      </c>
      <c r="GK84" s="23" t="e">
        <f t="shared" ca="1" si="45"/>
        <v>#N/A</v>
      </c>
      <c r="GL84" s="23" t="e">
        <f t="shared" ca="1" si="45"/>
        <v>#N/A</v>
      </c>
      <c r="GM84" s="23"/>
      <c r="GN84">
        <f t="shared" ca="1" si="62"/>
        <v>400</v>
      </c>
      <c r="GO84" s="5" t="e">
        <f t="shared" ca="1" si="63"/>
        <v>#N/A</v>
      </c>
      <c r="GP84" s="5" t="e">
        <f t="shared" ca="1" si="63"/>
        <v>#N/A</v>
      </c>
      <c r="GQ84" s="5" t="e">
        <f t="shared" ca="1" si="63"/>
        <v>#N/A</v>
      </c>
      <c r="GR84" s="5" t="e">
        <f t="shared" ca="1" si="63"/>
        <v>#N/A</v>
      </c>
      <c r="GS84" s="5" t="e">
        <f t="shared" ca="1" si="63"/>
        <v>#N/A</v>
      </c>
      <c r="GT84" s="5">
        <f t="shared" ca="1" si="64"/>
        <v>3.9098834432661498</v>
      </c>
      <c r="GU84" s="5">
        <f t="shared" ca="1" si="64"/>
        <v>0.34333412581369926</v>
      </c>
      <c r="GV84" s="5">
        <f t="shared" ca="1" si="64"/>
        <v>8.4159960790358233E-3</v>
      </c>
      <c r="GW84" s="5">
        <f t="shared" ca="1" si="64"/>
        <v>119.10181310442017</v>
      </c>
      <c r="GX84" s="5" t="e">
        <f t="shared" ca="1" si="64"/>
        <v>#N/A</v>
      </c>
      <c r="GY84" s="5" t="e">
        <f t="shared" ca="1" si="64"/>
        <v>#N/A</v>
      </c>
      <c r="GZ84" s="5" t="e">
        <f t="shared" ca="1" si="64"/>
        <v>#N/A</v>
      </c>
      <c r="HB84" s="13">
        <f t="shared" ca="1" si="48"/>
        <v>400</v>
      </c>
      <c r="HC84" s="4">
        <f t="shared" ca="1" si="65"/>
        <v>0</v>
      </c>
      <c r="HD84" s="4">
        <f t="shared" ca="1" si="49"/>
        <v>1</v>
      </c>
      <c r="HE84" s="4">
        <f t="shared" ca="1" si="49"/>
        <v>0</v>
      </c>
      <c r="HF84" s="4">
        <f t="shared" ca="1" si="49"/>
        <v>0</v>
      </c>
      <c r="HG84" s="4">
        <f t="shared" ca="1" si="49"/>
        <v>1</v>
      </c>
      <c r="HH84" s="4">
        <f t="shared" ca="1" si="49"/>
        <v>1</v>
      </c>
      <c r="HI84" s="4">
        <f t="shared" ca="1" si="49"/>
        <v>1.3599999999999999E-2</v>
      </c>
      <c r="HJ84" s="4">
        <f t="shared" ca="1" si="49"/>
        <v>0.54349999999999998</v>
      </c>
      <c r="HK84" s="4">
        <f t="shared" ca="1" si="49"/>
        <v>5.7000000000000002E-3</v>
      </c>
      <c r="HL84" s="4">
        <f t="shared" ca="1" si="49"/>
        <v>0</v>
      </c>
      <c r="HM84" s="4">
        <f t="shared" ca="1" si="49"/>
        <v>0</v>
      </c>
      <c r="HN84" s="4">
        <f t="shared" ca="1" si="49"/>
        <v>0</v>
      </c>
    </row>
    <row r="85" spans="1:222" x14ac:dyDescent="0.2">
      <c r="A85" t="str" cm="1">
        <f t="array" aca="1" ref="A85" ca="1">INDIRECT($A$67&amp;"!A"&amp;ROW(C18)+$B$64)</f>
        <v>[[425,172,24]]</v>
      </c>
      <c r="B85" cm="1">
        <f t="array" aca="1" ref="B85" ca="1">INDIRECT($A$67&amp;"!b"&amp;ROW(D18)+$B$64)</f>
        <v>425</v>
      </c>
      <c r="C85">
        <f t="shared" ca="1" si="50"/>
        <v>24</v>
      </c>
      <c r="E85">
        <f t="shared" ca="1" si="66"/>
        <v>42</v>
      </c>
      <c r="F85">
        <f t="shared" ca="1" si="66"/>
        <v>43</v>
      </c>
      <c r="G85">
        <f t="shared" ca="1" si="66"/>
        <v>42</v>
      </c>
      <c r="H85">
        <f t="shared" ca="1" si="66"/>
        <v>42</v>
      </c>
      <c r="I85">
        <f t="shared" ca="1" si="66"/>
        <v>45</v>
      </c>
      <c r="J85">
        <f t="shared" ca="1" si="66"/>
        <v>42</v>
      </c>
      <c r="K85">
        <f t="shared" ca="1" si="66"/>
        <v>49</v>
      </c>
      <c r="L85">
        <f t="shared" ca="1" si="66"/>
        <v>51</v>
      </c>
      <c r="M85">
        <f t="shared" ca="1" si="66"/>
        <v>48</v>
      </c>
      <c r="N85">
        <f t="shared" ca="1" si="66"/>
        <v>46</v>
      </c>
      <c r="O85">
        <f t="shared" ca="1" si="66"/>
        <v>46</v>
      </c>
      <c r="P85">
        <f t="shared" ca="1" si="66"/>
        <v>46</v>
      </c>
      <c r="V85" cm="1">
        <f t="array" aca="1" ref="V85" ca="1">IF(ISNA(E85),,OFFSET(INDIRECT("'"&amp;V$67&amp;"'!d1"),E85-1,))</f>
        <v>24</v>
      </c>
      <c r="W85" cm="1">
        <f t="array" aca="1" ref="W85" ca="1">IF(ISNA(F85),,OFFSET(INDIRECT("'"&amp;W$67&amp;"'!d1"),F85-1,))</f>
        <v>24</v>
      </c>
      <c r="X85" cm="1">
        <f t="array" aca="1" ref="X85" ca="1">IF(ISNA(G85),,OFFSET(INDIRECT("'"&amp;X$67&amp;"'!d1"),G85-1,))</f>
        <v>0</v>
      </c>
      <c r="Y85" cm="1">
        <f t="array" aca="1" ref="Y85" ca="1">IF(ISNA(H85),,OFFSET(INDIRECT("'"&amp;Y$67&amp;"'!d1"),H85-1,))</f>
        <v>0</v>
      </c>
      <c r="Z85" cm="1">
        <f t="array" aca="1" ref="Z85" ca="1">IF(ISNA(I85),,OFFSET(INDIRECT("'"&amp;Z$67&amp;"'!d1"),I85-1,))</f>
        <v>24</v>
      </c>
      <c r="AA85" cm="1">
        <f t="array" aca="1" ref="AA85" ca="1">IF(ISNA(J85),,OFFSET(INDIRECT("'"&amp;AA$67&amp;"'!d1"),J85-1,))</f>
        <v>24</v>
      </c>
      <c r="AB85" cm="1">
        <f t="array" aca="1" ref="AB85" ca="1">IF(ISNA(K85),,OFFSET(INDIRECT("'"&amp;AB$67&amp;"'!d1"),K85-1,))</f>
        <v>24</v>
      </c>
      <c r="AC85" cm="1">
        <f t="array" aca="1" ref="AC85" ca="1">IF(ISNA(L85),,OFFSET(INDIRECT("'"&amp;AC$67&amp;"'!d1"),L85-1,))</f>
        <v>24</v>
      </c>
      <c r="AD85" cm="1">
        <f t="array" aca="1" ref="AD85" ca="1">IF(ISNA(M85),,OFFSET(INDIRECT("'"&amp;AD$67&amp;"'!d1"),M85-1,))</f>
        <v>24</v>
      </c>
      <c r="AE85" cm="1">
        <f t="array" aca="1" ref="AE85" ca="1">IF(ISNA(N85),,OFFSET(INDIRECT("'"&amp;AE$67&amp;"'!d1"),N85-1,))</f>
        <v>0</v>
      </c>
      <c r="AF85" cm="1">
        <f t="array" aca="1" ref="AF85" ca="1">IF(ISNA(O85),,OFFSET(INDIRECT("'"&amp;AF$67&amp;"'!d1"),O85-1,))</f>
        <v>0</v>
      </c>
      <c r="AG85" cm="1">
        <f t="array" aca="1" ref="AG85" ca="1">IF(ISNA(P85),,OFFSET(INDIRECT("'"&amp;AG$67&amp;"'!d1"),P85-1,))</f>
        <v>0</v>
      </c>
      <c r="AM85">
        <f t="shared" ca="1" si="51"/>
        <v>0</v>
      </c>
      <c r="AN85">
        <f t="shared" ca="1" si="51"/>
        <v>0</v>
      </c>
      <c r="AO85">
        <f t="shared" ca="1" si="51"/>
        <v>0</v>
      </c>
      <c r="AP85">
        <f t="shared" ca="1" si="51"/>
        <v>0</v>
      </c>
      <c r="AQ85">
        <f t="shared" ca="1" si="52"/>
        <v>0</v>
      </c>
      <c r="AV85" t="str">
        <f t="shared" ca="1" si="53"/>
        <v/>
      </c>
      <c r="AW85" t="str">
        <f t="shared" ca="1" si="39"/>
        <v/>
      </c>
      <c r="AX85" t="str">
        <f t="shared" ca="1" si="39"/>
        <v/>
      </c>
      <c r="AY85" t="str">
        <f t="shared" ca="1" si="39"/>
        <v/>
      </c>
      <c r="AZ85" t="str">
        <f t="shared" ca="1" si="39"/>
        <v/>
      </c>
      <c r="BD85">
        <f t="shared" ca="1" si="40"/>
        <v>1</v>
      </c>
      <c r="BE85">
        <f t="shared" ca="1" si="40"/>
        <v>1</v>
      </c>
      <c r="BF85">
        <f t="shared" ca="1" si="40"/>
        <v>0</v>
      </c>
      <c r="BG85">
        <f t="shared" ca="1" si="40"/>
        <v>0</v>
      </c>
      <c r="BH85">
        <f t="shared" ca="1" si="40"/>
        <v>1</v>
      </c>
      <c r="BI85">
        <f t="shared" ca="1" si="40"/>
        <v>1</v>
      </c>
      <c r="BJ85">
        <f t="shared" ca="1" si="40"/>
        <v>1</v>
      </c>
      <c r="BK85">
        <f t="shared" ca="1" si="40"/>
        <v>1</v>
      </c>
      <c r="BL85">
        <f t="shared" ca="1" si="40"/>
        <v>1</v>
      </c>
      <c r="BM85">
        <f t="shared" ca="1" si="40"/>
        <v>0</v>
      </c>
      <c r="BN85">
        <f t="shared" ca="1" si="40"/>
        <v>0</v>
      </c>
      <c r="BO85">
        <f t="shared" ca="1" si="40"/>
        <v>0</v>
      </c>
      <c r="BU85">
        <f t="shared" ca="1" si="41"/>
        <v>24</v>
      </c>
      <c r="BV85">
        <f t="shared" ca="1" si="41"/>
        <v>24</v>
      </c>
      <c r="BW85">
        <f t="shared" ca="1" si="41"/>
        <v>425</v>
      </c>
      <c r="BX85">
        <f t="shared" ca="1" si="41"/>
        <v>425</v>
      </c>
      <c r="BY85">
        <f t="shared" ca="1" si="41"/>
        <v>24</v>
      </c>
      <c r="BZ85">
        <f t="shared" ca="1" si="41"/>
        <v>24</v>
      </c>
      <c r="CA85">
        <f t="shared" ca="1" si="41"/>
        <v>24</v>
      </c>
      <c r="CB85">
        <f t="shared" ca="1" si="41"/>
        <v>24</v>
      </c>
      <c r="CC85">
        <f t="shared" ca="1" si="41"/>
        <v>24</v>
      </c>
      <c r="CD85">
        <f t="shared" ca="1" si="41"/>
        <v>425</v>
      </c>
      <c r="CE85">
        <f t="shared" ca="1" si="41"/>
        <v>425</v>
      </c>
      <c r="CF85">
        <f t="shared" ca="1" si="41"/>
        <v>425</v>
      </c>
      <c r="CL85">
        <f t="shared" ca="1" si="42"/>
        <v>1</v>
      </c>
      <c r="CM85">
        <f t="shared" ca="1" si="42"/>
        <v>1</v>
      </c>
      <c r="CN85">
        <f t="shared" ca="1" si="42"/>
        <v>0</v>
      </c>
      <c r="CO85">
        <f t="shared" ca="1" si="42"/>
        <v>0</v>
      </c>
      <c r="CP85">
        <f t="shared" ca="1" si="42"/>
        <v>1</v>
      </c>
      <c r="CQ85">
        <f t="shared" ca="1" si="42"/>
        <v>1</v>
      </c>
      <c r="CR85">
        <f t="shared" ca="1" si="42"/>
        <v>1</v>
      </c>
      <c r="CS85">
        <f t="shared" ca="1" si="42"/>
        <v>1</v>
      </c>
      <c r="CT85">
        <f t="shared" ca="1" si="42"/>
        <v>1</v>
      </c>
      <c r="CU85">
        <f t="shared" ca="1" si="42"/>
        <v>0</v>
      </c>
      <c r="CV85">
        <f t="shared" ca="1" si="42"/>
        <v>0</v>
      </c>
      <c r="CW85">
        <f t="shared" ca="1" si="42"/>
        <v>0</v>
      </c>
      <c r="DC85" cm="1">
        <f t="array" aca="1" ref="DC85" ca="1">IF(ISNA(E85),,OFFSET(INDIRECT("'"&amp;DT$67&amp;"'!f1"),E85-1,))*1</f>
        <v>28830.2275740429</v>
      </c>
      <c r="DD85" cm="1">
        <f t="array" aca="1" ref="DD85" ca="1">IF(ISNA(F85),,OFFSET(INDIRECT("'"&amp;DU$67&amp;"'!f1"),F85-1,))*1</f>
        <v>28818.2352726832</v>
      </c>
      <c r="DE85" cm="1">
        <f t="array" aca="1" ref="DE85" ca="1">IF(ISNA(G85),,OFFSET(INDIRECT("'"&amp;DV$67&amp;"'!f1"),G85-1,))*1</f>
        <v>28800.431581757901</v>
      </c>
      <c r="DF85" cm="1">
        <f t="array" aca="1" ref="DF85" ca="1">IF(ISNA(H85),,OFFSET(INDIRECT("'"&amp;DW$67&amp;"'!f1"),H85-1,))*1</f>
        <v>28800.266793955099</v>
      </c>
      <c r="DG85" cm="1">
        <f t="array" aca="1" ref="DG85" ca="1">IF(ISNA(I85),,OFFSET(INDIRECT("'"&amp;DX$67&amp;"'!f1"),I85-1,))*1</f>
        <v>28800.267903041</v>
      </c>
      <c r="DH85" cm="1">
        <f t="array" aca="1" ref="DH85" ca="1">IF(ISNA(J85),,OFFSET(INDIRECT("'"&amp;DY$67&amp;"'!f1"),J85-1,))*1</f>
        <v>4.3338530519977203</v>
      </c>
      <c r="DI85" cm="1">
        <f t="array" aca="1" ref="DI85" ca="1">IF(ISNA(K85),,OFFSET(INDIRECT("'"&amp;DZ$67&amp;"'!f1"),K85-1,))*1</f>
        <v>56.686233919113803</v>
      </c>
      <c r="DJ85" cm="1">
        <f t="array" aca="1" ref="DJ85" ca="1">IF(ISNA(L85),,OFFSET(INDIRECT("'"&amp;EA$67&amp;"'!f1"),L85-1,))*1</f>
        <v>53.172922646626802</v>
      </c>
      <c r="DK85" cm="1">
        <f t="array" aca="1" ref="DK85" ca="1">IF(ISNA(M85),,OFFSET(INDIRECT("'"&amp;EB$67&amp;"'!f1"),M85-1,))*1</f>
        <v>9144.0826037553998</v>
      </c>
      <c r="DL85" cm="1">
        <f t="array" aca="1" ref="DL85" ca="1">IF(ISNA(N85),,OFFSET(INDIRECT("'"&amp;EC$67&amp;"'!f1"),N85-1,))*1</f>
        <v>0.162690221332013</v>
      </c>
      <c r="DM85" cm="1">
        <f t="array" aca="1" ref="DM85" ca="1">IF(ISNA(O85),,OFFSET(INDIRECT("'"&amp;ED$67&amp;"'!f1"),O85-1,))*1</f>
        <v>0.19691528845578399</v>
      </c>
      <c r="DN85" cm="1">
        <f t="array" aca="1" ref="DN85" ca="1">IF(ISNA(P85),,OFFSET(INDIRECT("'"&amp;EE$67&amp;"'!f1"),P85-1,))*1</f>
        <v>0.61711182445287704</v>
      </c>
      <c r="DT85">
        <f t="shared" ca="1" si="54"/>
        <v>1</v>
      </c>
      <c r="DU85">
        <f t="shared" ca="1" si="54"/>
        <v>1</v>
      </c>
      <c r="DV85">
        <f t="shared" ca="1" si="54"/>
        <v>0</v>
      </c>
      <c r="DW85">
        <f t="shared" ca="1" si="54"/>
        <v>0</v>
      </c>
      <c r="DX85">
        <f t="shared" ca="1" si="54"/>
        <v>1</v>
      </c>
      <c r="DY85">
        <f t="shared" ca="1" si="54"/>
        <v>1</v>
      </c>
      <c r="DZ85">
        <f t="shared" ca="1" si="54"/>
        <v>141</v>
      </c>
      <c r="EA85">
        <f t="shared" ca="1" si="54"/>
        <v>5574</v>
      </c>
      <c r="EB85">
        <f t="shared" ca="1" si="54"/>
        <v>47</v>
      </c>
      <c r="EC85">
        <f t="shared" ca="1" si="54"/>
        <v>0</v>
      </c>
      <c r="ED85">
        <f t="shared" ca="1" si="54"/>
        <v>0</v>
      </c>
      <c r="EE85">
        <f t="shared" ca="1" si="54"/>
        <v>0</v>
      </c>
      <c r="EK85" cm="1">
        <f t="array" aca="1" ref="EK85" ca="1">IF(ISNA(E85),0,OFFSET(INDIRECT("'"&amp;EK$67&amp;"'!g1"),E85-1,)*CL85)</f>
        <v>1</v>
      </c>
      <c r="EL85" cm="1">
        <f t="array" aca="1" ref="EL85" ca="1">IF(ISNA(F85),0,OFFSET(INDIRECT("'"&amp;EL$67&amp;"'!g1"),F85-1,)*CM85)</f>
        <v>1</v>
      </c>
      <c r="EM85" cm="1">
        <f t="array" aca="1" ref="EM85" ca="1">IF(ISNA(G85),0,OFFSET(INDIRECT("'"&amp;EM$67&amp;"'!g1"),G85-1,)*CN85)</f>
        <v>0</v>
      </c>
      <c r="EN85" cm="1">
        <f t="array" aca="1" ref="EN85" ca="1">IF(ISNA(H85),0,OFFSET(INDIRECT("'"&amp;EN$67&amp;"'!g1"),H85-1,)*CO85)</f>
        <v>0</v>
      </c>
      <c r="EO85" cm="1">
        <f t="array" aca="1" ref="EO85" ca="1">IF(ISNA(I85),0,OFFSET(INDIRECT("'"&amp;EO$67&amp;"'!g1"),I85-1,)*CP85)</f>
        <v>1</v>
      </c>
      <c r="EP85" cm="1">
        <f t="array" aca="1" ref="EP85" ca="1">IF(ISNA(J85),0,OFFSET(INDIRECT("'"&amp;EP$67&amp;"'!g1"),J85-1,)*CQ85)</f>
        <v>1</v>
      </c>
      <c r="EQ85" cm="1">
        <f t="array" aca="1" ref="EQ85" ca="1">IF(ISNA(K85),0,OFFSET(INDIRECT("'"&amp;EQ$67&amp;"'!g1"),K85-1,)*CR85)</f>
        <v>141</v>
      </c>
      <c r="ER85" cm="1">
        <f t="array" aca="1" ref="ER85" ca="1">IF(ISNA(L85),0,OFFSET(INDIRECT("'"&amp;ER$67&amp;"'!g1"),L85-1,)*CS85)</f>
        <v>5574</v>
      </c>
      <c r="ES85" cm="1">
        <f t="array" aca="1" ref="ES85" ca="1">IF(ISNA(M85),0,OFFSET(INDIRECT("'"&amp;ES$67&amp;"'!g1"),M85-1,)*CT85)</f>
        <v>47</v>
      </c>
      <c r="ET85" cm="1">
        <f t="array" aca="1" ref="ET85" ca="1">IF(ISNA(N85),0,OFFSET(INDIRECT("'"&amp;ET$67&amp;"'!g1"),N85-1,)*CU85)</f>
        <v>0</v>
      </c>
      <c r="EU85" cm="1">
        <f t="array" aca="1" ref="EU85" ca="1">IF(ISNA(O85),0,OFFSET(INDIRECT("'"&amp;EU$67&amp;"'!g1"),O85-1,)*CV85)</f>
        <v>0</v>
      </c>
      <c r="EV85" cm="1">
        <f t="array" aca="1" ref="EV85" ca="1">IF(ISNA(P85),0,OFFSET(INDIRECT("'"&amp;EV$67&amp;"'!g1"),P85-1,)*CW85)</f>
        <v>0</v>
      </c>
      <c r="FB85" s="10" cm="1">
        <f t="array" aca="1" ref="FB85" ca="1">IF(ISNA(E85),0,OFFSET(INDIRECT("'"&amp;EK$67&amp;"'!h1"),E85-1,))</f>
        <v>1</v>
      </c>
      <c r="FC85" s="10" cm="1">
        <f t="array" aca="1" ref="FC85" ca="1">IF(ISNA(F85),0,OFFSET(INDIRECT("'"&amp;EL$67&amp;"'!h1"),F85-1,))</f>
        <v>1</v>
      </c>
      <c r="FD85" s="10" cm="1">
        <f t="array" aca="1" ref="FD85" ca="1">IF(ISNA(G85),0,OFFSET(INDIRECT("'"&amp;EM$67&amp;"'!h1"),G85-1,))</f>
        <v>1</v>
      </c>
      <c r="FE85" s="10" cm="1">
        <f t="array" aca="1" ref="FE85" ca="1">IF(ISNA(H85),0,OFFSET(INDIRECT("'"&amp;EN$67&amp;"'!h1"),H85-1,))</f>
        <v>1</v>
      </c>
      <c r="FF85" s="10" cm="1">
        <f t="array" aca="1" ref="FF85" ca="1">IF(ISNA(I85),0,OFFSET(INDIRECT("'"&amp;EO$67&amp;"'!h1"),I85-1,))</f>
        <v>1</v>
      </c>
      <c r="FG85" s="10" cm="1">
        <f t="array" aca="1" ref="FG85" ca="1">IF(ISNA(J85),0,OFFSET(INDIRECT("'"&amp;EP$67&amp;"'!h1"),J85-1,))</f>
        <v>1</v>
      </c>
      <c r="FH85" s="10" cm="1">
        <f t="array" aca="1" ref="FH85" ca="1">IF(ISNA(K85),0,OFFSET(INDIRECT("'"&amp;EQ$67&amp;"'!h1"),K85-1,))</f>
        <v>10000</v>
      </c>
      <c r="FI85" s="10" cm="1">
        <f t="array" aca="1" ref="FI85" ca="1">IF(ISNA(L85),0,OFFSET(INDIRECT("'"&amp;ER$67&amp;"'!h1"),L85-1,))</f>
        <v>10000</v>
      </c>
      <c r="FJ85" s="10" cm="1">
        <f t="array" aca="1" ref="FJ85" ca="1">IF(ISNA(M85),0,OFFSET(INDIRECT("'"&amp;ES$67&amp;"'!h1"),M85-1,))</f>
        <v>10000</v>
      </c>
      <c r="FK85" s="10" cm="1">
        <f t="array" aca="1" ref="FK85" ca="1">IF(ISNA(N85),0,OFFSET(INDIRECT("'"&amp;ET$67&amp;"'!h1"),N85-1,))</f>
        <v>1</v>
      </c>
      <c r="FL85" s="10" cm="1">
        <f t="array" aca="1" ref="FL85" ca="1">IF(ISNA(O85),0,OFFSET(INDIRECT("'"&amp;EU$67&amp;"'!h1"),O85-1,))</f>
        <v>1</v>
      </c>
      <c r="FM85" s="10" cm="1">
        <f t="array" aca="1" ref="FM85" ca="1">IF(ISNA(P85),0,OFFSET(INDIRECT("'"&amp;EV$67&amp;"'!h1"),P85-1,))</f>
        <v>9</v>
      </c>
      <c r="FN85" s="10"/>
      <c r="FO85" s="10"/>
      <c r="FP85" s="10"/>
      <c r="FQ85" s="10"/>
      <c r="FS85">
        <f t="shared" ca="1" si="55"/>
        <v>425</v>
      </c>
      <c r="FT85">
        <f t="shared" ca="1" si="56"/>
        <v>56.686233919113803</v>
      </c>
      <c r="FU85">
        <f t="shared" ca="1" si="57"/>
        <v>141</v>
      </c>
      <c r="FV85">
        <f t="shared" ca="1" si="58"/>
        <v>10000</v>
      </c>
      <c r="FW85" s="4">
        <f t="shared" ca="1" si="59"/>
        <v>1.41E-2</v>
      </c>
      <c r="FX85" s="5">
        <f t="shared" ca="1" si="60"/>
        <v>0.40203002779513336</v>
      </c>
      <c r="FZ85" s="13">
        <f t="shared" ca="1" si="44"/>
        <v>425</v>
      </c>
      <c r="GA85" s="23">
        <f t="shared" ca="1" si="61"/>
        <v>0</v>
      </c>
      <c r="GB85" s="23">
        <f t="shared" ca="1" si="45"/>
        <v>0</v>
      </c>
      <c r="GC85" s="23" t="e">
        <f t="shared" ca="1" si="45"/>
        <v>#N/A</v>
      </c>
      <c r="GD85" s="23" t="e">
        <f t="shared" ca="1" si="45"/>
        <v>#N/A</v>
      </c>
      <c r="GE85" s="23">
        <f t="shared" ca="1" si="45"/>
        <v>0</v>
      </c>
      <c r="GF85" s="23">
        <f t="shared" ca="1" si="45"/>
        <v>0</v>
      </c>
      <c r="GG85" s="23">
        <f t="shared" ca="1" si="45"/>
        <v>0</v>
      </c>
      <c r="GH85" s="23">
        <f t="shared" ca="1" si="45"/>
        <v>0</v>
      </c>
      <c r="GI85" s="23">
        <f t="shared" ca="1" si="45"/>
        <v>0</v>
      </c>
      <c r="GJ85" s="23" t="e">
        <f t="shared" ca="1" si="45"/>
        <v>#N/A</v>
      </c>
      <c r="GK85" s="23" t="e">
        <f t="shared" ca="1" si="45"/>
        <v>#N/A</v>
      </c>
      <c r="GL85" s="23" t="e">
        <f t="shared" ca="1" si="45"/>
        <v>#N/A</v>
      </c>
      <c r="GM85" s="23"/>
      <c r="GN85">
        <f t="shared" ca="1" si="62"/>
        <v>425</v>
      </c>
      <c r="GO85" s="5" t="e">
        <f t="shared" ca="1" si="63"/>
        <v>#N/A</v>
      </c>
      <c r="GP85" s="5" t="e">
        <f t="shared" ca="1" si="63"/>
        <v>#N/A</v>
      </c>
      <c r="GQ85" s="5" t="e">
        <f t="shared" ca="1" si="63"/>
        <v>#N/A</v>
      </c>
      <c r="GR85" s="5" t="e">
        <f t="shared" ca="1" si="63"/>
        <v>#N/A</v>
      </c>
      <c r="GS85" s="5" t="e">
        <f t="shared" ca="1" si="63"/>
        <v>#N/A</v>
      </c>
      <c r="GT85" s="5">
        <f t="shared" ca="1" si="64"/>
        <v>4.3338530519977203</v>
      </c>
      <c r="GU85" s="5">
        <f t="shared" ca="1" si="64"/>
        <v>0.40203002779513336</v>
      </c>
      <c r="GV85" s="5">
        <f t="shared" ca="1" si="64"/>
        <v>9.5394550855089355E-3</v>
      </c>
      <c r="GW85" s="5">
        <f t="shared" ca="1" si="64"/>
        <v>194.55494901607233</v>
      </c>
      <c r="GX85" s="5" t="e">
        <f t="shared" ca="1" si="64"/>
        <v>#N/A</v>
      </c>
      <c r="GY85" s="5" t="e">
        <f t="shared" ca="1" si="64"/>
        <v>#N/A</v>
      </c>
      <c r="GZ85" s="5" t="e">
        <f t="shared" ca="1" si="64"/>
        <v>#N/A</v>
      </c>
      <c r="HB85" s="13">
        <f t="shared" ca="1" si="48"/>
        <v>425</v>
      </c>
      <c r="HC85" s="4">
        <f t="shared" ca="1" si="65"/>
        <v>1</v>
      </c>
      <c r="HD85" s="4">
        <f t="shared" ca="1" si="49"/>
        <v>1</v>
      </c>
      <c r="HE85" s="4">
        <f t="shared" ca="1" si="49"/>
        <v>0</v>
      </c>
      <c r="HF85" s="4">
        <f t="shared" ca="1" si="49"/>
        <v>0</v>
      </c>
      <c r="HG85" s="4">
        <f t="shared" ca="1" si="49"/>
        <v>1</v>
      </c>
      <c r="HH85" s="4">
        <f t="shared" ca="1" si="49"/>
        <v>1</v>
      </c>
      <c r="HI85" s="4">
        <f t="shared" ca="1" si="49"/>
        <v>1.41E-2</v>
      </c>
      <c r="HJ85" s="4">
        <f t="shared" ca="1" si="49"/>
        <v>0.55740000000000001</v>
      </c>
      <c r="HK85" s="4">
        <f t="shared" ca="1" si="49"/>
        <v>4.7000000000000002E-3</v>
      </c>
      <c r="HL85" s="4">
        <f t="shared" ca="1" si="49"/>
        <v>0</v>
      </c>
      <c r="HM85" s="4">
        <f t="shared" ca="1" si="49"/>
        <v>0</v>
      </c>
      <c r="HN85" s="4">
        <f t="shared" ca="1" si="49"/>
        <v>0</v>
      </c>
    </row>
    <row r="86" spans="1:222" x14ac:dyDescent="0.2">
      <c r="A86" t="str" cm="1">
        <f t="array" aca="1" ref="A86" ca="1">INDIRECT($A$67&amp;"!A"&amp;ROW(C19)+$B$64)</f>
        <v>[[475,192,24]]</v>
      </c>
      <c r="B86" cm="1">
        <f t="array" aca="1" ref="B86" ca="1">INDIRECT($A$67&amp;"!b"&amp;ROW(D19)+$B$64)</f>
        <v>475</v>
      </c>
      <c r="C86">
        <f t="shared" ca="1" si="50"/>
        <v>24</v>
      </c>
      <c r="E86">
        <f t="shared" ca="1" si="66"/>
        <v>43</v>
      </c>
      <c r="F86">
        <f t="shared" ca="1" si="66"/>
        <v>44</v>
      </c>
      <c r="G86">
        <f t="shared" ca="1" si="66"/>
        <v>43</v>
      </c>
      <c r="H86">
        <f t="shared" ca="1" si="66"/>
        <v>43</v>
      </c>
      <c r="I86">
        <f t="shared" ca="1" si="66"/>
        <v>46</v>
      </c>
      <c r="J86">
        <f t="shared" ca="1" si="66"/>
        <v>43</v>
      </c>
      <c r="K86">
        <f t="shared" ca="1" si="66"/>
        <v>50</v>
      </c>
      <c r="L86">
        <f t="shared" ca="1" si="66"/>
        <v>52</v>
      </c>
      <c r="M86">
        <f t="shared" ca="1" si="66"/>
        <v>49</v>
      </c>
      <c r="N86">
        <f t="shared" ca="1" si="66"/>
        <v>47</v>
      </c>
      <c r="O86">
        <f t="shared" ca="1" si="66"/>
        <v>47</v>
      </c>
      <c r="P86">
        <f t="shared" ca="1" si="66"/>
        <v>47</v>
      </c>
      <c r="V86" cm="1">
        <f t="array" aca="1" ref="V86" ca="1">IF(ISNA(E86),,OFFSET(INDIRECT("'"&amp;V$67&amp;"'!d1"),E86-1,))</f>
        <v>84</v>
      </c>
      <c r="W86" cm="1">
        <f t="array" aca="1" ref="W86" ca="1">IF(ISNA(F86),,OFFSET(INDIRECT("'"&amp;W$67&amp;"'!d1"),F86-1,))</f>
        <v>24</v>
      </c>
      <c r="X86" cm="1">
        <f t="array" aca="1" ref="X86" ca="1">IF(ISNA(G86),,OFFSET(INDIRECT("'"&amp;X$67&amp;"'!d1"),G86-1,))</f>
        <v>190</v>
      </c>
      <c r="Y86" cm="1">
        <f t="array" aca="1" ref="Y86" ca="1">IF(ISNA(H86),,OFFSET(INDIRECT("'"&amp;Y$67&amp;"'!d1"),H86-1,))</f>
        <v>0</v>
      </c>
      <c r="Z86" cm="1">
        <f t="array" aca="1" ref="Z86" ca="1">IF(ISNA(I86),,OFFSET(INDIRECT("'"&amp;Z$67&amp;"'!d1"),I86-1,))</f>
        <v>24</v>
      </c>
      <c r="AA86" cm="1">
        <f t="array" aca="1" ref="AA86" ca="1">IF(ISNA(J86),,OFFSET(INDIRECT("'"&amp;AA$67&amp;"'!d1"),J86-1,))</f>
        <v>24</v>
      </c>
      <c r="AB86" cm="1">
        <f t="array" aca="1" ref="AB86" ca="1">IF(ISNA(K86),,OFFSET(INDIRECT("'"&amp;AB$67&amp;"'!d1"),K86-1,))</f>
        <v>24</v>
      </c>
      <c r="AC86" cm="1">
        <f t="array" aca="1" ref="AC86" ca="1">IF(ISNA(L86),,OFFSET(INDIRECT("'"&amp;AC$67&amp;"'!d1"),L86-1,))</f>
        <v>24</v>
      </c>
      <c r="AD86" cm="1">
        <f t="array" aca="1" ref="AD86" ca="1">IF(ISNA(M86),,OFFSET(INDIRECT("'"&amp;AD$67&amp;"'!d1"),M86-1,))</f>
        <v>24</v>
      </c>
      <c r="AE86" cm="1">
        <f t="array" aca="1" ref="AE86" ca="1">IF(ISNA(N86),,OFFSET(INDIRECT("'"&amp;AE$67&amp;"'!d1"),N86-1,))</f>
        <v>0</v>
      </c>
      <c r="AF86" cm="1">
        <f t="array" aca="1" ref="AF86" ca="1">IF(ISNA(O86),,OFFSET(INDIRECT("'"&amp;AF$67&amp;"'!d1"),O86-1,))</f>
        <v>0</v>
      </c>
      <c r="AG86" cm="1">
        <f t="array" aca="1" ref="AG86" ca="1">IF(ISNA(P86),,OFFSET(INDIRECT("'"&amp;AG$67&amp;"'!d1"),P86-1,))</f>
        <v>0</v>
      </c>
      <c r="AM86">
        <f t="shared" ca="1" si="51"/>
        <v>0</v>
      </c>
      <c r="AN86">
        <f t="shared" ca="1" si="51"/>
        <v>0</v>
      </c>
      <c r="AO86">
        <f t="shared" ca="1" si="51"/>
        <v>0</v>
      </c>
      <c r="AP86">
        <f t="shared" ca="1" si="51"/>
        <v>0</v>
      </c>
      <c r="AQ86">
        <f t="shared" ca="1" si="52"/>
        <v>0</v>
      </c>
      <c r="AV86" t="str">
        <f t="shared" ca="1" si="53"/>
        <v/>
      </c>
      <c r="AW86" t="str">
        <f t="shared" ca="1" si="39"/>
        <v/>
      </c>
      <c r="AX86" t="str">
        <f t="shared" ca="1" si="39"/>
        <v/>
      </c>
      <c r="AY86" t="str">
        <f t="shared" ca="1" si="39"/>
        <v/>
      </c>
      <c r="AZ86" t="str">
        <f t="shared" ca="1" si="39"/>
        <v/>
      </c>
      <c r="BD86">
        <f t="shared" ca="1" si="40"/>
        <v>1</v>
      </c>
      <c r="BE86">
        <f t="shared" ca="1" si="40"/>
        <v>1</v>
      </c>
      <c r="BF86">
        <f t="shared" ca="1" si="40"/>
        <v>1</v>
      </c>
      <c r="BG86">
        <f t="shared" ca="1" si="40"/>
        <v>0</v>
      </c>
      <c r="BH86">
        <f t="shared" ca="1" si="40"/>
        <v>1</v>
      </c>
      <c r="BI86">
        <f t="shared" ca="1" si="40"/>
        <v>1</v>
      </c>
      <c r="BJ86">
        <f t="shared" ca="1" si="40"/>
        <v>1</v>
      </c>
      <c r="BK86">
        <f t="shared" ca="1" si="40"/>
        <v>1</v>
      </c>
      <c r="BL86">
        <f t="shared" ca="1" si="40"/>
        <v>1</v>
      </c>
      <c r="BM86">
        <f t="shared" ca="1" si="40"/>
        <v>0</v>
      </c>
      <c r="BN86">
        <f t="shared" ca="1" si="40"/>
        <v>0</v>
      </c>
      <c r="BO86">
        <f t="shared" ca="1" si="40"/>
        <v>0</v>
      </c>
      <c r="BU86">
        <f t="shared" ca="1" si="41"/>
        <v>84</v>
      </c>
      <c r="BV86">
        <f t="shared" ca="1" si="41"/>
        <v>24</v>
      </c>
      <c r="BW86">
        <f t="shared" ca="1" si="41"/>
        <v>190</v>
      </c>
      <c r="BX86">
        <f t="shared" ca="1" si="41"/>
        <v>475</v>
      </c>
      <c r="BY86">
        <f t="shared" ca="1" si="41"/>
        <v>24</v>
      </c>
      <c r="BZ86">
        <f t="shared" ca="1" si="41"/>
        <v>24</v>
      </c>
      <c r="CA86">
        <f t="shared" ca="1" si="41"/>
        <v>24</v>
      </c>
      <c r="CB86">
        <f t="shared" ca="1" si="41"/>
        <v>24</v>
      </c>
      <c r="CC86">
        <f t="shared" ca="1" si="41"/>
        <v>24</v>
      </c>
      <c r="CD86">
        <f t="shared" ca="1" si="41"/>
        <v>475</v>
      </c>
      <c r="CE86">
        <f t="shared" ca="1" si="41"/>
        <v>475</v>
      </c>
      <c r="CF86">
        <f t="shared" ca="1" si="41"/>
        <v>475</v>
      </c>
      <c r="CL86">
        <f t="shared" ca="1" si="42"/>
        <v>0</v>
      </c>
      <c r="CM86">
        <f t="shared" ca="1" si="42"/>
        <v>1</v>
      </c>
      <c r="CN86">
        <f t="shared" ca="1" si="42"/>
        <v>0</v>
      </c>
      <c r="CO86">
        <f t="shared" ca="1" si="42"/>
        <v>0</v>
      </c>
      <c r="CP86">
        <f t="shared" ca="1" si="42"/>
        <v>1</v>
      </c>
      <c r="CQ86">
        <f t="shared" ca="1" si="42"/>
        <v>1</v>
      </c>
      <c r="CR86">
        <f t="shared" ca="1" si="42"/>
        <v>1</v>
      </c>
      <c r="CS86">
        <f t="shared" ca="1" si="42"/>
        <v>1</v>
      </c>
      <c r="CT86">
        <f t="shared" ca="1" si="42"/>
        <v>1</v>
      </c>
      <c r="CU86">
        <f t="shared" ca="1" si="42"/>
        <v>0</v>
      </c>
      <c r="CV86">
        <f t="shared" ca="1" si="42"/>
        <v>0</v>
      </c>
      <c r="CW86">
        <f t="shared" ca="1" si="42"/>
        <v>0</v>
      </c>
      <c r="DC86" cm="1">
        <f t="array" aca="1" ref="DC86" ca="1">IF(ISNA(E86),,OFFSET(INDIRECT("'"&amp;DT$67&amp;"'!f1"),E86-1,))*1</f>
        <v>28825.227034077001</v>
      </c>
      <c r="DD86" cm="1">
        <f t="array" aca="1" ref="DD86" ca="1">IF(ISNA(F86),,OFFSET(INDIRECT("'"&amp;DU$67&amp;"'!f1"),F86-1,))*1</f>
        <v>28815.215383238999</v>
      </c>
      <c r="DE86" cm="1">
        <f t="array" aca="1" ref="DE86" ca="1">IF(ISNA(G86),,OFFSET(INDIRECT("'"&amp;DV$67&amp;"'!f1"),G86-1,))*1</f>
        <v>28800.6725081726</v>
      </c>
      <c r="DF86" cm="1">
        <f t="array" aca="1" ref="DF86" ca="1">IF(ISNA(H86),,OFFSET(INDIRECT("'"&amp;DW$67&amp;"'!f1"),H86-1,))*1</f>
        <v>28801.794830659401</v>
      </c>
      <c r="DG86" cm="1">
        <f t="array" aca="1" ref="DG86" ca="1">IF(ISNA(I86),,OFFSET(INDIRECT("'"&amp;DX$67&amp;"'!f1"),I86-1,))*1</f>
        <v>28800.1382841249</v>
      </c>
      <c r="DH86" cm="1">
        <f t="array" aca="1" ref="DH86" ca="1">IF(ISNA(J86),,OFFSET(INDIRECT("'"&amp;DY$67&amp;"'!f1"),J86-1,))*1</f>
        <v>5.3452871367335302</v>
      </c>
      <c r="DI86" cm="1">
        <f t="array" aca="1" ref="DI86" ca="1">IF(ISNA(K86),,OFFSET(INDIRECT("'"&amp;DZ$67&amp;"'!f1"),K86-1,))*1</f>
        <v>75.754965589381698</v>
      </c>
      <c r="DJ86" cm="1">
        <f t="array" aca="1" ref="DJ86" ca="1">IF(ISNA(L86),,OFFSET(INDIRECT("'"&amp;EA$67&amp;"'!f1"),L86-1,))*1</f>
        <v>71.353994339704499</v>
      </c>
      <c r="DK86" cm="1">
        <f t="array" aca="1" ref="DK86" ca="1">IF(ISNA(M86),,OFFSET(INDIRECT("'"&amp;EB$67&amp;"'!f1"),M86-1,))*1</f>
        <v>14921.935174587599</v>
      </c>
      <c r="DL86" cm="1">
        <f t="array" aca="1" ref="DL86" ca="1">IF(ISNA(N86),,OFFSET(INDIRECT("'"&amp;EC$67&amp;"'!f1"),N86-1,))*1</f>
        <v>0.20424290839582601</v>
      </c>
      <c r="DM86" cm="1">
        <f t="array" aca="1" ref="DM86" ca="1">IF(ISNA(O86),,OFFSET(INDIRECT("'"&amp;ED$67&amp;"'!f1"),O86-1,))*1</f>
        <v>0.25432767905294801</v>
      </c>
      <c r="DN86" cm="1">
        <f t="array" aca="1" ref="DN86" ca="1">IF(ISNA(P86),,OFFSET(INDIRECT("'"&amp;EE$67&amp;"'!f1"),P86-1,))*1</f>
        <v>0.83552683796733596</v>
      </c>
      <c r="DT86">
        <f t="shared" ca="1" si="54"/>
        <v>0</v>
      </c>
      <c r="DU86">
        <f t="shared" ca="1" si="54"/>
        <v>1</v>
      </c>
      <c r="DV86">
        <f t="shared" ca="1" si="54"/>
        <v>0</v>
      </c>
      <c r="DW86">
        <f t="shared" ca="1" si="54"/>
        <v>0</v>
      </c>
      <c r="DX86">
        <f t="shared" ca="1" si="54"/>
        <v>1</v>
      </c>
      <c r="DY86">
        <f t="shared" ca="1" si="54"/>
        <v>1</v>
      </c>
      <c r="DZ86">
        <f t="shared" ca="1" si="54"/>
        <v>170</v>
      </c>
      <c r="EA86">
        <f t="shared" ca="1" si="54"/>
        <v>5511</v>
      </c>
      <c r="EB86">
        <f t="shared" ca="1" si="54"/>
        <v>85</v>
      </c>
      <c r="EC86">
        <f t="shared" ca="1" si="54"/>
        <v>0</v>
      </c>
      <c r="ED86">
        <f t="shared" ca="1" si="54"/>
        <v>0</v>
      </c>
      <c r="EE86">
        <f t="shared" ca="1" si="54"/>
        <v>0</v>
      </c>
      <c r="EK86" cm="1">
        <f t="array" aca="1" ref="EK86" ca="1">IF(ISNA(E86),0,OFFSET(INDIRECT("'"&amp;EK$67&amp;"'!g1"),E86-1,)*CL86)</f>
        <v>0</v>
      </c>
      <c r="EL86" cm="1">
        <f t="array" aca="1" ref="EL86" ca="1">IF(ISNA(F86),0,OFFSET(INDIRECT("'"&amp;EL$67&amp;"'!g1"),F86-1,)*CM86)</f>
        <v>1</v>
      </c>
      <c r="EM86" cm="1">
        <f t="array" aca="1" ref="EM86" ca="1">IF(ISNA(G86),0,OFFSET(INDIRECT("'"&amp;EM$67&amp;"'!g1"),G86-1,)*CN86)</f>
        <v>0</v>
      </c>
      <c r="EN86" cm="1">
        <f t="array" aca="1" ref="EN86" ca="1">IF(ISNA(H86),0,OFFSET(INDIRECT("'"&amp;EN$67&amp;"'!g1"),H86-1,)*CO86)</f>
        <v>0</v>
      </c>
      <c r="EO86" cm="1">
        <f t="array" aca="1" ref="EO86" ca="1">IF(ISNA(I86),0,OFFSET(INDIRECT("'"&amp;EO$67&amp;"'!g1"),I86-1,)*CP86)</f>
        <v>1</v>
      </c>
      <c r="EP86" cm="1">
        <f t="array" aca="1" ref="EP86" ca="1">IF(ISNA(J86),0,OFFSET(INDIRECT("'"&amp;EP$67&amp;"'!g1"),J86-1,)*CQ86)</f>
        <v>1</v>
      </c>
      <c r="EQ86" cm="1">
        <f t="array" aca="1" ref="EQ86" ca="1">IF(ISNA(K86),0,OFFSET(INDIRECT("'"&amp;EQ$67&amp;"'!g1"),K86-1,)*CR86)</f>
        <v>170</v>
      </c>
      <c r="ER86" cm="1">
        <f t="array" aca="1" ref="ER86" ca="1">IF(ISNA(L86),0,OFFSET(INDIRECT("'"&amp;ER$67&amp;"'!g1"),L86-1,)*CS86)</f>
        <v>5511</v>
      </c>
      <c r="ES86" cm="1">
        <f t="array" aca="1" ref="ES86" ca="1">IF(ISNA(M86),0,OFFSET(INDIRECT("'"&amp;ES$67&amp;"'!g1"),M86-1,)*CT86)</f>
        <v>85</v>
      </c>
      <c r="ET86" cm="1">
        <f t="array" aca="1" ref="ET86" ca="1">IF(ISNA(N86),0,OFFSET(INDIRECT("'"&amp;ET$67&amp;"'!g1"),N86-1,)*CU86)</f>
        <v>0</v>
      </c>
      <c r="EU86" cm="1">
        <f t="array" aca="1" ref="EU86" ca="1">IF(ISNA(O86),0,OFFSET(INDIRECT("'"&amp;EU$67&amp;"'!g1"),O86-1,)*CV86)</f>
        <v>0</v>
      </c>
      <c r="EV86" cm="1">
        <f t="array" aca="1" ref="EV86" ca="1">IF(ISNA(P86),0,OFFSET(INDIRECT("'"&amp;EV$67&amp;"'!g1"),P86-1,)*CW86)</f>
        <v>0</v>
      </c>
      <c r="FB86" s="10" cm="1">
        <f t="array" aca="1" ref="FB86" ca="1">IF(ISNA(E86),0,OFFSET(INDIRECT("'"&amp;EK$67&amp;"'!h1"),E86-1,))</f>
        <v>1</v>
      </c>
      <c r="FC86" s="10" cm="1">
        <f t="array" aca="1" ref="FC86" ca="1">IF(ISNA(F86),0,OFFSET(INDIRECT("'"&amp;EL$67&amp;"'!h1"),F86-1,))</f>
        <v>1</v>
      </c>
      <c r="FD86" s="10" cm="1">
        <f t="array" aca="1" ref="FD86" ca="1">IF(ISNA(G86),0,OFFSET(INDIRECT("'"&amp;EM$67&amp;"'!h1"),G86-1,))</f>
        <v>1</v>
      </c>
      <c r="FE86" s="10" cm="1">
        <f t="array" aca="1" ref="FE86" ca="1">IF(ISNA(H86),0,OFFSET(INDIRECT("'"&amp;EN$67&amp;"'!h1"),H86-1,))</f>
        <v>1</v>
      </c>
      <c r="FF86" s="10" cm="1">
        <f t="array" aca="1" ref="FF86" ca="1">IF(ISNA(I86),0,OFFSET(INDIRECT("'"&amp;EO$67&amp;"'!h1"),I86-1,))</f>
        <v>1</v>
      </c>
      <c r="FG86" s="10" cm="1">
        <f t="array" aca="1" ref="FG86" ca="1">IF(ISNA(J86),0,OFFSET(INDIRECT("'"&amp;EP$67&amp;"'!h1"),J86-1,))</f>
        <v>1</v>
      </c>
      <c r="FH86" s="10" cm="1">
        <f t="array" aca="1" ref="FH86" ca="1">IF(ISNA(K86),0,OFFSET(INDIRECT("'"&amp;EQ$67&amp;"'!h1"),K86-1,))</f>
        <v>10000</v>
      </c>
      <c r="FI86" s="10" cm="1">
        <f t="array" aca="1" ref="FI86" ca="1">IF(ISNA(L86),0,OFFSET(INDIRECT("'"&amp;ER$67&amp;"'!h1"),L86-1,))</f>
        <v>10000</v>
      </c>
      <c r="FJ86" s="10" cm="1">
        <f t="array" aca="1" ref="FJ86" ca="1">IF(ISNA(M86),0,OFFSET(INDIRECT("'"&amp;ES$67&amp;"'!h1"),M86-1,))</f>
        <v>10000</v>
      </c>
      <c r="FK86" s="10" cm="1">
        <f t="array" aca="1" ref="FK86" ca="1">IF(ISNA(N86),0,OFFSET(INDIRECT("'"&amp;ET$67&amp;"'!h1"),N86-1,))</f>
        <v>1</v>
      </c>
      <c r="FL86" s="10" cm="1">
        <f t="array" aca="1" ref="FL86" ca="1">IF(ISNA(O86),0,OFFSET(INDIRECT("'"&amp;EU$67&amp;"'!h1"),O86-1,))</f>
        <v>1</v>
      </c>
      <c r="FM86" s="10" cm="1">
        <f t="array" aca="1" ref="FM86" ca="1">IF(ISNA(P86),0,OFFSET(INDIRECT("'"&amp;EV$67&amp;"'!h1"),P86-1,))</f>
        <v>9</v>
      </c>
      <c r="FN86" s="10"/>
      <c r="FO86" s="10"/>
      <c r="FP86" s="10"/>
      <c r="FQ86" s="10"/>
      <c r="FS86">
        <f t="shared" ca="1" si="55"/>
        <v>475</v>
      </c>
      <c r="FT86">
        <f t="shared" ca="1" si="56"/>
        <v>75.754965589381698</v>
      </c>
      <c r="FU86">
        <f t="shared" ca="1" si="57"/>
        <v>170</v>
      </c>
      <c r="FV86">
        <f t="shared" ca="1" si="58"/>
        <v>10000</v>
      </c>
      <c r="FW86" s="4">
        <f t="shared" ca="1" si="59"/>
        <v>1.7000000000000001E-2</v>
      </c>
      <c r="FX86" s="5">
        <f t="shared" ca="1" si="60"/>
        <v>0.44561744464342173</v>
      </c>
      <c r="FZ86" s="13">
        <f t="shared" ca="1" si="44"/>
        <v>475</v>
      </c>
      <c r="GA86" s="23">
        <f t="shared" ca="1" si="61"/>
        <v>2.5</v>
      </c>
      <c r="GB86" s="23">
        <f t="shared" ca="1" si="45"/>
        <v>0</v>
      </c>
      <c r="GC86" s="23">
        <f t="shared" ca="1" si="45"/>
        <v>6.916666666666667</v>
      </c>
      <c r="GD86" s="23" t="e">
        <f t="shared" ca="1" si="45"/>
        <v>#N/A</v>
      </c>
      <c r="GE86" s="23">
        <f t="shared" ca="1" si="45"/>
        <v>0</v>
      </c>
      <c r="GF86" s="23">
        <f t="shared" ca="1" si="45"/>
        <v>0</v>
      </c>
      <c r="GG86" s="23">
        <f t="shared" ca="1" si="45"/>
        <v>0</v>
      </c>
      <c r="GH86" s="23">
        <f t="shared" ca="1" si="45"/>
        <v>0</v>
      </c>
      <c r="GI86" s="23">
        <f t="shared" ca="1" si="45"/>
        <v>0</v>
      </c>
      <c r="GJ86" s="23" t="e">
        <f t="shared" ca="1" si="45"/>
        <v>#N/A</v>
      </c>
      <c r="GK86" s="23" t="e">
        <f t="shared" ca="1" si="45"/>
        <v>#N/A</v>
      </c>
      <c r="GL86" s="23" t="e">
        <f t="shared" ca="1" si="45"/>
        <v>#N/A</v>
      </c>
      <c r="GM86" s="23"/>
      <c r="GN86">
        <f t="shared" ca="1" si="62"/>
        <v>475</v>
      </c>
      <c r="GO86" s="5" t="e">
        <f t="shared" ca="1" si="63"/>
        <v>#N/A</v>
      </c>
      <c r="GP86" s="5" t="e">
        <f t="shared" ca="1" si="63"/>
        <v>#N/A</v>
      </c>
      <c r="GQ86" s="5" t="e">
        <f t="shared" ca="1" si="63"/>
        <v>#N/A</v>
      </c>
      <c r="GR86" s="5" t="e">
        <f t="shared" ca="1" si="63"/>
        <v>#N/A</v>
      </c>
      <c r="GS86" s="5" t="e">
        <f t="shared" ca="1" si="63"/>
        <v>#N/A</v>
      </c>
      <c r="GT86" s="5">
        <f t="shared" ca="1" si="64"/>
        <v>5.3452871367335302</v>
      </c>
      <c r="GU86" s="5">
        <f t="shared" ca="1" si="64"/>
        <v>0.44561744464342173</v>
      </c>
      <c r="GV86" s="5">
        <f t="shared" ca="1" si="64"/>
        <v>1.2947558399510888E-2</v>
      </c>
      <c r="GW86" s="5">
        <f t="shared" ca="1" si="64"/>
        <v>175.55217852455999</v>
      </c>
      <c r="GX86" s="5" t="e">
        <f t="shared" ca="1" si="64"/>
        <v>#N/A</v>
      </c>
      <c r="GY86" s="5" t="e">
        <f t="shared" ca="1" si="64"/>
        <v>#N/A</v>
      </c>
      <c r="GZ86" s="5" t="e">
        <f t="shared" ca="1" si="64"/>
        <v>#N/A</v>
      </c>
      <c r="HB86" s="13">
        <f t="shared" ca="1" si="48"/>
        <v>475</v>
      </c>
      <c r="HC86" s="4">
        <f t="shared" ca="1" si="65"/>
        <v>0</v>
      </c>
      <c r="HD86" s="4">
        <f t="shared" ca="1" si="49"/>
        <v>1</v>
      </c>
      <c r="HE86" s="4">
        <f t="shared" ca="1" si="49"/>
        <v>0</v>
      </c>
      <c r="HF86" s="4">
        <f t="shared" ca="1" si="49"/>
        <v>0</v>
      </c>
      <c r="HG86" s="4">
        <f t="shared" ca="1" si="49"/>
        <v>1</v>
      </c>
      <c r="HH86" s="4">
        <f t="shared" ca="1" si="49"/>
        <v>1</v>
      </c>
      <c r="HI86" s="4">
        <f t="shared" ca="1" si="49"/>
        <v>1.7000000000000001E-2</v>
      </c>
      <c r="HJ86" s="4">
        <f t="shared" ca="1" si="49"/>
        <v>0.55110000000000003</v>
      </c>
      <c r="HK86" s="4">
        <f t="shared" ca="1" si="49"/>
        <v>8.5000000000000006E-3</v>
      </c>
      <c r="HL86" s="4">
        <f t="shared" ca="1" si="49"/>
        <v>0</v>
      </c>
      <c r="HM86" s="4">
        <f t="shared" ca="1" si="49"/>
        <v>0</v>
      </c>
      <c r="HN86" s="4">
        <f t="shared" ca="1" si="49"/>
        <v>0</v>
      </c>
    </row>
    <row r="87" spans="1:222" x14ac:dyDescent="0.2">
      <c r="FB87" s="10"/>
      <c r="FC87" s="10"/>
      <c r="FD87" s="10"/>
      <c r="FE87" s="10"/>
      <c r="FF87" s="10"/>
      <c r="FG87" s="10"/>
      <c r="FH87" s="10"/>
      <c r="FI87" s="10"/>
      <c r="FJ87" s="10"/>
      <c r="FK87" s="10"/>
      <c r="FL87" s="10"/>
      <c r="FM87" s="10"/>
      <c r="FN87" s="10"/>
      <c r="FO87" s="10"/>
      <c r="FP87" s="10"/>
      <c r="FQ87" s="10"/>
      <c r="FW87" s="4"/>
      <c r="FX87" s="5"/>
      <c r="FZ87" s="13"/>
      <c r="GA87" s="23"/>
      <c r="GB87" s="23"/>
      <c r="GC87" s="23"/>
      <c r="GD87" s="23"/>
      <c r="GE87" s="23"/>
      <c r="GF87" s="23"/>
      <c r="GG87" s="23"/>
      <c r="GH87" s="23"/>
      <c r="GI87" s="23"/>
      <c r="GJ87" s="23"/>
      <c r="GK87" s="23"/>
      <c r="GL87" s="23"/>
      <c r="GM87" s="23"/>
      <c r="GO87" s="5"/>
      <c r="GP87" s="5"/>
      <c r="GQ87" s="5"/>
      <c r="GR87" s="5"/>
      <c r="GS87" s="5"/>
      <c r="GT87" s="5"/>
      <c r="GU87" s="5"/>
      <c r="GV87" s="5"/>
      <c r="GW87" s="5"/>
      <c r="GX87" s="5"/>
      <c r="GY87" s="5"/>
      <c r="GZ87" s="5"/>
      <c r="HB87" s="13"/>
      <c r="HC87" s="4"/>
      <c r="HD87" s="4"/>
      <c r="HE87" s="4"/>
      <c r="HF87" s="4"/>
      <c r="HG87" s="4"/>
      <c r="HH87" s="4"/>
      <c r="HI87" s="4"/>
      <c r="HJ87" s="4"/>
      <c r="HK87" s="4"/>
      <c r="HL87" s="4"/>
      <c r="HM87" s="4"/>
      <c r="HN87" s="4"/>
    </row>
    <row r="88" spans="1:222" x14ac:dyDescent="0.2">
      <c r="FB88" s="10"/>
      <c r="FC88" s="10"/>
      <c r="FD88" s="10"/>
      <c r="FE88" s="10"/>
      <c r="FF88" s="10"/>
      <c r="FG88" s="10"/>
      <c r="FH88" s="10"/>
      <c r="FI88" s="10"/>
      <c r="FJ88" s="10"/>
      <c r="FK88" s="10"/>
      <c r="FL88" s="10"/>
      <c r="FM88" s="10"/>
      <c r="FN88" s="10"/>
      <c r="FO88" s="10"/>
      <c r="FP88" s="10"/>
      <c r="FQ88" s="10"/>
      <c r="FW88" s="4"/>
      <c r="FX88" s="5"/>
      <c r="FZ88" s="13"/>
      <c r="GA88" s="23"/>
      <c r="GB88" s="23"/>
      <c r="GC88" s="23"/>
      <c r="GD88" s="23"/>
      <c r="GE88" s="23"/>
      <c r="GF88" s="23"/>
      <c r="GG88" s="23"/>
      <c r="GH88" s="23"/>
      <c r="GI88" s="23"/>
      <c r="GJ88" s="23"/>
      <c r="GK88" s="23"/>
      <c r="GL88" s="23"/>
      <c r="GM88" s="23"/>
      <c r="GO88" s="5"/>
      <c r="GP88" s="5"/>
      <c r="GQ88" s="5"/>
      <c r="GR88" s="5"/>
      <c r="GS88" s="5"/>
      <c r="GT88" s="5"/>
      <c r="GU88" s="5"/>
      <c r="GV88" s="5"/>
      <c r="GW88" s="5"/>
      <c r="GX88" s="5"/>
      <c r="GY88" s="5"/>
      <c r="GZ88" s="5"/>
      <c r="HB88" s="13"/>
      <c r="HC88" s="4"/>
      <c r="HD88" s="4"/>
      <c r="HE88" s="4"/>
      <c r="HF88" s="4"/>
      <c r="HG88" s="4"/>
      <c r="HH88" s="4"/>
      <c r="HI88" s="4"/>
      <c r="HJ88" s="4"/>
      <c r="HK88" s="4"/>
      <c r="HL88" s="4"/>
      <c r="HM88" s="4"/>
      <c r="HN88" s="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2DE9A-F43F-5F44-AE1D-0A2380B41C75}">
  <dimension ref="A1:I43"/>
  <sheetViews>
    <sheetView topLeftCell="A17" workbookViewId="0">
      <selection activeCell="G50" sqref="G50"/>
    </sheetView>
  </sheetViews>
  <sheetFormatPr baseColWidth="10" defaultRowHeight="16" x14ac:dyDescent="0.2"/>
  <sheetData>
    <row r="1" spans="1:1" x14ac:dyDescent="0.2">
      <c r="A1" t="s">
        <v>0</v>
      </c>
    </row>
    <row r="2" spans="1:1" x14ac:dyDescent="0.2">
      <c r="A2" t="s">
        <v>1</v>
      </c>
    </row>
    <row r="3" spans="1:1" x14ac:dyDescent="0.2">
      <c r="A3" t="s">
        <v>80</v>
      </c>
    </row>
    <row r="4" spans="1:1" x14ac:dyDescent="0.2">
      <c r="A4" t="s">
        <v>2</v>
      </c>
    </row>
    <row r="5" spans="1:1" x14ac:dyDescent="0.2">
      <c r="A5" t="s">
        <v>39</v>
      </c>
    </row>
    <row r="6" spans="1:1" x14ac:dyDescent="0.2">
      <c r="A6" t="s">
        <v>4</v>
      </c>
    </row>
    <row r="7" spans="1:1" x14ac:dyDescent="0.2">
      <c r="A7" t="s">
        <v>30</v>
      </c>
    </row>
    <row r="8" spans="1:1" x14ac:dyDescent="0.2">
      <c r="A8"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9" x14ac:dyDescent="0.2">
      <c r="A17" t="s">
        <v>14</v>
      </c>
    </row>
    <row r="18" spans="1:9" x14ac:dyDescent="0.2">
      <c r="A18" t="s">
        <v>15</v>
      </c>
    </row>
    <row r="19" spans="1:9" x14ac:dyDescent="0.2">
      <c r="A19" t="s">
        <v>16</v>
      </c>
    </row>
    <row r="20" spans="1:9" x14ac:dyDescent="0.2">
      <c r="A20" t="s">
        <v>17</v>
      </c>
    </row>
    <row r="21" spans="1:9" x14ac:dyDescent="0.2">
      <c r="A21" t="s">
        <v>18</v>
      </c>
    </row>
    <row r="22" spans="1:9" x14ac:dyDescent="0.2">
      <c r="A22" t="s">
        <v>135</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82</v>
      </c>
      <c r="B25">
        <v>5</v>
      </c>
      <c r="C25">
        <v>4</v>
      </c>
      <c r="D25">
        <v>2</v>
      </c>
      <c r="E25">
        <v>0</v>
      </c>
      <c r="F25">
        <v>1.7751207109540701E-2</v>
      </c>
      <c r="G25">
        <v>1</v>
      </c>
      <c r="H25">
        <v>1</v>
      </c>
      <c r="I25" t="s">
        <v>136</v>
      </c>
    </row>
    <row r="26" spans="1:9" x14ac:dyDescent="0.2">
      <c r="A26" t="s">
        <v>84</v>
      </c>
      <c r="B26">
        <v>20</v>
      </c>
      <c r="C26">
        <v>10</v>
      </c>
      <c r="D26">
        <v>4</v>
      </c>
      <c r="E26">
        <v>0</v>
      </c>
      <c r="F26">
        <v>3.2014368567615699E-2</v>
      </c>
      <c r="G26">
        <v>1</v>
      </c>
      <c r="H26">
        <v>1</v>
      </c>
      <c r="I26" t="s">
        <v>137</v>
      </c>
    </row>
    <row r="27" spans="1:9" x14ac:dyDescent="0.2">
      <c r="A27" t="s">
        <v>86</v>
      </c>
      <c r="B27">
        <v>35</v>
      </c>
      <c r="C27">
        <v>16</v>
      </c>
      <c r="D27">
        <v>6</v>
      </c>
      <c r="E27">
        <v>0</v>
      </c>
      <c r="F27">
        <v>5.8088800404220799E-2</v>
      </c>
      <c r="G27">
        <v>1</v>
      </c>
      <c r="H27">
        <v>1</v>
      </c>
      <c r="I27" t="s">
        <v>138</v>
      </c>
    </row>
    <row r="28" spans="1:9" x14ac:dyDescent="0.2">
      <c r="A28" t="s">
        <v>88</v>
      </c>
      <c r="B28">
        <v>50</v>
      </c>
      <c r="C28">
        <v>22</v>
      </c>
      <c r="D28">
        <v>8</v>
      </c>
      <c r="E28">
        <v>0</v>
      </c>
      <c r="F28">
        <v>8.7563758715987206E-2</v>
      </c>
      <c r="G28">
        <v>1</v>
      </c>
      <c r="H28">
        <v>1</v>
      </c>
      <c r="I28" t="s">
        <v>139</v>
      </c>
    </row>
    <row r="29" spans="1:9" x14ac:dyDescent="0.2">
      <c r="A29" t="s">
        <v>90</v>
      </c>
      <c r="B29">
        <v>65</v>
      </c>
      <c r="C29">
        <v>28</v>
      </c>
      <c r="D29">
        <v>10</v>
      </c>
      <c r="E29">
        <v>0</v>
      </c>
      <c r="F29">
        <v>0.16385021014139001</v>
      </c>
      <c r="G29">
        <v>1</v>
      </c>
      <c r="H29">
        <v>1</v>
      </c>
      <c r="I29" t="s">
        <v>140</v>
      </c>
    </row>
    <row r="30" spans="1:9" x14ac:dyDescent="0.2">
      <c r="A30" t="s">
        <v>92</v>
      </c>
      <c r="B30">
        <v>80</v>
      </c>
      <c r="C30">
        <v>34</v>
      </c>
      <c r="D30">
        <v>12</v>
      </c>
      <c r="E30">
        <v>0</v>
      </c>
      <c r="F30">
        <v>0.19947021408006499</v>
      </c>
      <c r="G30">
        <v>1</v>
      </c>
      <c r="H30">
        <v>1</v>
      </c>
      <c r="I30" t="s">
        <v>141</v>
      </c>
    </row>
    <row r="31" spans="1:9" x14ac:dyDescent="0.2">
      <c r="A31" t="s">
        <v>94</v>
      </c>
      <c r="B31">
        <v>105</v>
      </c>
      <c r="C31">
        <v>44</v>
      </c>
      <c r="D31">
        <v>16</v>
      </c>
      <c r="E31">
        <v>0</v>
      </c>
      <c r="F31">
        <v>0.29565492784604402</v>
      </c>
      <c r="G31">
        <v>1</v>
      </c>
      <c r="H31">
        <v>1</v>
      </c>
      <c r="I31" t="s">
        <v>142</v>
      </c>
    </row>
    <row r="32" spans="1:9" x14ac:dyDescent="0.2">
      <c r="A32" t="s">
        <v>96</v>
      </c>
      <c r="B32">
        <v>150</v>
      </c>
      <c r="C32">
        <v>62</v>
      </c>
      <c r="D32">
        <v>16</v>
      </c>
      <c r="E32">
        <v>0</v>
      </c>
      <c r="F32">
        <v>0.54461753088980902</v>
      </c>
      <c r="G32">
        <v>1</v>
      </c>
      <c r="H32">
        <v>1</v>
      </c>
      <c r="I32" t="s">
        <v>143</v>
      </c>
    </row>
    <row r="33" spans="1:9" x14ac:dyDescent="0.2">
      <c r="A33" t="s">
        <v>98</v>
      </c>
      <c r="B33">
        <v>155</v>
      </c>
      <c r="C33">
        <v>64</v>
      </c>
      <c r="D33">
        <v>20</v>
      </c>
      <c r="E33">
        <v>0</v>
      </c>
      <c r="F33">
        <v>0.58857724303379599</v>
      </c>
      <c r="G33">
        <v>1</v>
      </c>
      <c r="H33">
        <v>1</v>
      </c>
      <c r="I33" t="s">
        <v>144</v>
      </c>
    </row>
    <row r="34" spans="1:9" x14ac:dyDescent="0.2">
      <c r="A34" t="s">
        <v>99</v>
      </c>
      <c r="B34">
        <v>210</v>
      </c>
      <c r="C34">
        <v>86</v>
      </c>
      <c r="D34">
        <v>24</v>
      </c>
      <c r="E34">
        <v>0</v>
      </c>
      <c r="F34">
        <v>1.1746650910936201</v>
      </c>
      <c r="G34">
        <v>1</v>
      </c>
      <c r="H34">
        <v>1</v>
      </c>
      <c r="I34" t="s">
        <v>145</v>
      </c>
    </row>
    <row r="35" spans="1:9" x14ac:dyDescent="0.2">
      <c r="A35" t="s">
        <v>100</v>
      </c>
      <c r="B35">
        <v>260</v>
      </c>
      <c r="C35">
        <v>106</v>
      </c>
      <c r="D35">
        <v>22</v>
      </c>
      <c r="E35">
        <v>0</v>
      </c>
      <c r="F35">
        <v>1.7351358570158399</v>
      </c>
      <c r="G35">
        <v>1</v>
      </c>
      <c r="H35">
        <v>1</v>
      </c>
      <c r="I35" t="s">
        <v>146</v>
      </c>
    </row>
    <row r="36" spans="1:9" x14ac:dyDescent="0.2">
      <c r="A36" t="s">
        <v>101</v>
      </c>
      <c r="B36">
        <v>290</v>
      </c>
      <c r="C36">
        <v>118</v>
      </c>
      <c r="D36">
        <v>20</v>
      </c>
      <c r="E36">
        <v>0</v>
      </c>
      <c r="F36">
        <v>2.1254388228990102</v>
      </c>
      <c r="G36">
        <v>1</v>
      </c>
      <c r="H36">
        <v>1</v>
      </c>
      <c r="I36" t="s">
        <v>147</v>
      </c>
    </row>
    <row r="37" spans="1:9" x14ac:dyDescent="0.2">
      <c r="A37" t="s">
        <v>102</v>
      </c>
      <c r="B37">
        <v>300</v>
      </c>
      <c r="C37">
        <v>122</v>
      </c>
      <c r="D37">
        <v>20</v>
      </c>
      <c r="E37">
        <v>0</v>
      </c>
      <c r="F37">
        <v>2.25670514116063</v>
      </c>
      <c r="G37">
        <v>1</v>
      </c>
      <c r="H37">
        <v>1</v>
      </c>
      <c r="I37" t="s">
        <v>148</v>
      </c>
    </row>
    <row r="38" spans="1:9" x14ac:dyDescent="0.2">
      <c r="A38" t="s">
        <v>103</v>
      </c>
      <c r="B38">
        <v>305</v>
      </c>
      <c r="C38">
        <v>124</v>
      </c>
      <c r="D38">
        <v>24</v>
      </c>
      <c r="E38">
        <v>0</v>
      </c>
      <c r="F38">
        <v>2.3613941101357301</v>
      </c>
      <c r="G38">
        <v>1</v>
      </c>
      <c r="H38">
        <v>1</v>
      </c>
      <c r="I38" t="s">
        <v>149</v>
      </c>
    </row>
    <row r="39" spans="1:9" x14ac:dyDescent="0.2">
      <c r="A39" t="s">
        <v>104</v>
      </c>
      <c r="B39">
        <v>335</v>
      </c>
      <c r="C39">
        <v>136</v>
      </c>
      <c r="D39">
        <v>22</v>
      </c>
      <c r="E39">
        <v>0</v>
      </c>
      <c r="F39">
        <v>2.7581698969006498</v>
      </c>
      <c r="G39">
        <v>1</v>
      </c>
      <c r="H39">
        <v>1</v>
      </c>
      <c r="I39" t="s">
        <v>150</v>
      </c>
    </row>
    <row r="40" spans="1:9" x14ac:dyDescent="0.2">
      <c r="A40" t="s">
        <v>105</v>
      </c>
      <c r="B40">
        <v>365</v>
      </c>
      <c r="C40">
        <v>148</v>
      </c>
      <c r="D40">
        <v>24</v>
      </c>
      <c r="E40">
        <v>0</v>
      </c>
      <c r="F40">
        <v>3.2799681336618902</v>
      </c>
      <c r="G40">
        <v>1</v>
      </c>
      <c r="H40">
        <v>1</v>
      </c>
      <c r="I40" t="s">
        <v>151</v>
      </c>
    </row>
    <row r="41" spans="1:9" x14ac:dyDescent="0.2">
      <c r="A41" t="s">
        <v>106</v>
      </c>
      <c r="B41">
        <v>400</v>
      </c>
      <c r="C41">
        <v>162</v>
      </c>
      <c r="D41">
        <v>22</v>
      </c>
      <c r="E41">
        <v>0</v>
      </c>
      <c r="F41">
        <v>3.9098834432661498</v>
      </c>
      <c r="G41">
        <v>1</v>
      </c>
      <c r="H41">
        <v>1</v>
      </c>
      <c r="I41" t="s">
        <v>152</v>
      </c>
    </row>
    <row r="42" spans="1:9" x14ac:dyDescent="0.2">
      <c r="A42" t="s">
        <v>107</v>
      </c>
      <c r="B42">
        <v>425</v>
      </c>
      <c r="C42">
        <v>172</v>
      </c>
      <c r="D42">
        <v>24</v>
      </c>
      <c r="E42">
        <v>0</v>
      </c>
      <c r="F42">
        <v>4.3338530519977203</v>
      </c>
      <c r="G42">
        <v>1</v>
      </c>
      <c r="H42">
        <v>1</v>
      </c>
      <c r="I42" t="s">
        <v>153</v>
      </c>
    </row>
    <row r="43" spans="1:9" x14ac:dyDescent="0.2">
      <c r="A43" t="s">
        <v>108</v>
      </c>
      <c r="B43">
        <v>475</v>
      </c>
      <c r="C43">
        <v>192</v>
      </c>
      <c r="D43">
        <v>24</v>
      </c>
      <c r="E43">
        <v>0</v>
      </c>
      <c r="F43">
        <v>5.3452871367335302</v>
      </c>
      <c r="G43">
        <v>1</v>
      </c>
      <c r="H43">
        <v>1</v>
      </c>
      <c r="I43" t="s">
        <v>154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9469E-959C-E240-924F-ACEF6804C6B3}">
  <dimension ref="A1:I46"/>
  <sheetViews>
    <sheetView workbookViewId="0">
      <selection activeCell="F15" sqref="F15"/>
    </sheetView>
  </sheetViews>
  <sheetFormatPr baseColWidth="10" defaultRowHeight="16" x14ac:dyDescent="0.2"/>
  <sheetData>
    <row r="1" spans="1:1" x14ac:dyDescent="0.2">
      <c r="A1" s="13" t="s">
        <v>0</v>
      </c>
    </row>
    <row r="2" spans="1:1" x14ac:dyDescent="0.2">
      <c r="A2" s="13" t="s">
        <v>1</v>
      </c>
    </row>
    <row r="3" spans="1:1" x14ac:dyDescent="0.2">
      <c r="A3" s="21" t="s">
        <v>259</v>
      </c>
    </row>
    <row r="4" spans="1:1" x14ac:dyDescent="0.2">
      <c r="A4" s="13" t="s">
        <v>80</v>
      </c>
    </row>
    <row r="5" spans="1:1" x14ac:dyDescent="0.2">
      <c r="A5" s="21" t="s">
        <v>2</v>
      </c>
    </row>
    <row r="6" spans="1:1" x14ac:dyDescent="0.2">
      <c r="A6" s="13" t="s">
        <v>260</v>
      </c>
    </row>
    <row r="7" spans="1:1" x14ac:dyDescent="0.2">
      <c r="A7" s="13" t="s">
        <v>4</v>
      </c>
    </row>
    <row r="8" spans="1:1" x14ac:dyDescent="0.2">
      <c r="A8" s="21" t="s">
        <v>30</v>
      </c>
    </row>
    <row r="9" spans="1:1" x14ac:dyDescent="0.2">
      <c r="A9" s="13" t="s">
        <v>5</v>
      </c>
    </row>
    <row r="10" spans="1:1" x14ac:dyDescent="0.2">
      <c r="A10" s="13" t="s">
        <v>6</v>
      </c>
    </row>
    <row r="11" spans="1:1" x14ac:dyDescent="0.2">
      <c r="A11" s="13" t="s">
        <v>7</v>
      </c>
    </row>
    <row r="12" spans="1:1" x14ac:dyDescent="0.2">
      <c r="A12" s="13" t="s">
        <v>8</v>
      </c>
    </row>
    <row r="13" spans="1:1" x14ac:dyDescent="0.2">
      <c r="A13" s="13" t="s">
        <v>9</v>
      </c>
    </row>
    <row r="14" spans="1:1" x14ac:dyDescent="0.2">
      <c r="A14" s="13" t="s">
        <v>10</v>
      </c>
    </row>
    <row r="15" spans="1:1" x14ac:dyDescent="0.2">
      <c r="A15" s="13" t="s">
        <v>11</v>
      </c>
    </row>
    <row r="16" spans="1:1" x14ac:dyDescent="0.2">
      <c r="A16" s="13" t="s">
        <v>12</v>
      </c>
    </row>
    <row r="17" spans="1:9" x14ac:dyDescent="0.2">
      <c r="A17" s="13" t="s">
        <v>13</v>
      </c>
    </row>
    <row r="18" spans="1:9" x14ac:dyDescent="0.2">
      <c r="A18" s="13" t="s">
        <v>14</v>
      </c>
    </row>
    <row r="19" spans="1:9" x14ac:dyDescent="0.2">
      <c r="A19" s="13" t="s">
        <v>261</v>
      </c>
    </row>
    <row r="20" spans="1:9" x14ac:dyDescent="0.2">
      <c r="A20" t="s">
        <v>16</v>
      </c>
    </row>
    <row r="21" spans="1:9" x14ac:dyDescent="0.2">
      <c r="A21" t="s">
        <v>262</v>
      </c>
    </row>
    <row r="22" spans="1:9" x14ac:dyDescent="0.2">
      <c r="A22" t="s">
        <v>263</v>
      </c>
    </row>
    <row r="23" spans="1:9" x14ac:dyDescent="0.2">
      <c r="A23" t="s">
        <v>17</v>
      </c>
    </row>
    <row r="24" spans="1:9" x14ac:dyDescent="0.2">
      <c r="A24" t="s">
        <v>18</v>
      </c>
    </row>
    <row r="25" spans="1:9" x14ac:dyDescent="0.2">
      <c r="A25" t="s">
        <v>264</v>
      </c>
    </row>
    <row r="26" spans="1:9" x14ac:dyDescent="0.2">
      <c r="A26" t="s">
        <v>19</v>
      </c>
    </row>
    <row r="27" spans="1:9" x14ac:dyDescent="0.2">
      <c r="A27" t="s">
        <v>20</v>
      </c>
      <c r="B27" t="s">
        <v>21</v>
      </c>
      <c r="C27" t="s">
        <v>22</v>
      </c>
      <c r="D27" t="s">
        <v>23</v>
      </c>
      <c r="E27" t="s">
        <v>24</v>
      </c>
      <c r="F27" t="s">
        <v>25</v>
      </c>
      <c r="G27" t="s">
        <v>26</v>
      </c>
      <c r="H27" t="s">
        <v>27</v>
      </c>
      <c r="I27" t="s">
        <v>28</v>
      </c>
    </row>
    <row r="28" spans="1:9" x14ac:dyDescent="0.2">
      <c r="A28" t="s">
        <v>82</v>
      </c>
      <c r="B28">
        <v>5</v>
      </c>
      <c r="C28">
        <v>4</v>
      </c>
      <c r="D28">
        <v>2</v>
      </c>
      <c r="E28">
        <v>0</v>
      </c>
      <c r="F28" s="14" t="s">
        <v>288</v>
      </c>
      <c r="G28">
        <v>1</v>
      </c>
      <c r="H28">
        <v>1</v>
      </c>
      <c r="I28" t="s">
        <v>265</v>
      </c>
    </row>
    <row r="29" spans="1:9" x14ac:dyDescent="0.2">
      <c r="A29" t="s">
        <v>84</v>
      </c>
      <c r="B29">
        <v>20</v>
      </c>
      <c r="C29">
        <v>10</v>
      </c>
      <c r="D29">
        <v>4</v>
      </c>
      <c r="E29">
        <v>0</v>
      </c>
      <c r="F29">
        <v>0.115893624999444</v>
      </c>
      <c r="G29">
        <v>1</v>
      </c>
      <c r="H29">
        <v>1</v>
      </c>
      <c r="I29" t="s">
        <v>266</v>
      </c>
    </row>
    <row r="30" spans="1:9" x14ac:dyDescent="0.2">
      <c r="A30" t="s">
        <v>86</v>
      </c>
      <c r="B30">
        <v>35</v>
      </c>
      <c r="C30">
        <v>16</v>
      </c>
      <c r="D30">
        <v>6</v>
      </c>
      <c r="E30">
        <v>0</v>
      </c>
      <c r="F30">
        <v>5.7400166988372803E-2</v>
      </c>
      <c r="G30">
        <v>1</v>
      </c>
      <c r="H30">
        <v>1</v>
      </c>
      <c r="I30" t="s">
        <v>267</v>
      </c>
    </row>
    <row r="31" spans="1:9" x14ac:dyDescent="0.2">
      <c r="A31" t="s">
        <v>88</v>
      </c>
      <c r="B31">
        <v>50</v>
      </c>
      <c r="C31">
        <v>22</v>
      </c>
      <c r="D31">
        <v>8</v>
      </c>
      <c r="E31">
        <v>0</v>
      </c>
      <c r="F31">
        <v>5.9457833005581003E-2</v>
      </c>
      <c r="G31">
        <v>1</v>
      </c>
      <c r="H31">
        <v>1</v>
      </c>
      <c r="I31" t="s">
        <v>268</v>
      </c>
    </row>
    <row r="32" spans="1:9" x14ac:dyDescent="0.2">
      <c r="A32" t="s">
        <v>90</v>
      </c>
      <c r="B32">
        <v>65</v>
      </c>
      <c r="C32">
        <v>28</v>
      </c>
      <c r="D32">
        <v>10</v>
      </c>
      <c r="E32">
        <v>0</v>
      </c>
      <c r="F32">
        <v>5.9525459000724298E-2</v>
      </c>
      <c r="G32">
        <v>1</v>
      </c>
      <c r="H32">
        <v>1</v>
      </c>
      <c r="I32" t="s">
        <v>269</v>
      </c>
    </row>
    <row r="33" spans="1:9" x14ac:dyDescent="0.2">
      <c r="A33" t="s">
        <v>92</v>
      </c>
      <c r="B33">
        <v>80</v>
      </c>
      <c r="C33">
        <v>34</v>
      </c>
      <c r="D33">
        <v>12</v>
      </c>
      <c r="E33">
        <v>0</v>
      </c>
      <c r="F33">
        <v>5.8997208005166599E-2</v>
      </c>
      <c r="G33">
        <v>1</v>
      </c>
      <c r="H33">
        <v>1</v>
      </c>
      <c r="I33" t="s">
        <v>270</v>
      </c>
    </row>
    <row r="34" spans="1:9" x14ac:dyDescent="0.2">
      <c r="A34" t="s">
        <v>94</v>
      </c>
      <c r="B34">
        <v>105</v>
      </c>
      <c r="C34">
        <v>44</v>
      </c>
      <c r="D34">
        <v>16</v>
      </c>
      <c r="E34">
        <v>0</v>
      </c>
      <c r="F34" s="14" t="s">
        <v>289</v>
      </c>
      <c r="G34">
        <v>1</v>
      </c>
      <c r="H34">
        <v>1</v>
      </c>
      <c r="I34" t="s">
        <v>271</v>
      </c>
    </row>
    <row r="35" spans="1:9" x14ac:dyDescent="0.2">
      <c r="A35" t="s">
        <v>96</v>
      </c>
      <c r="B35">
        <v>150</v>
      </c>
      <c r="C35">
        <v>62</v>
      </c>
      <c r="D35">
        <v>16</v>
      </c>
      <c r="E35">
        <v>0</v>
      </c>
      <c r="F35" s="14" t="s">
        <v>290</v>
      </c>
      <c r="G35">
        <v>1</v>
      </c>
      <c r="H35">
        <v>1</v>
      </c>
      <c r="I35" t="s">
        <v>291</v>
      </c>
    </row>
    <row r="36" spans="1:9" x14ac:dyDescent="0.2">
      <c r="A36" t="s">
        <v>98</v>
      </c>
      <c r="B36">
        <v>155</v>
      </c>
      <c r="C36">
        <v>64</v>
      </c>
      <c r="D36">
        <v>20</v>
      </c>
      <c r="E36">
        <v>0</v>
      </c>
      <c r="F36" s="14" t="s">
        <v>292</v>
      </c>
      <c r="G36">
        <v>1</v>
      </c>
      <c r="H36">
        <v>1</v>
      </c>
      <c r="I36" t="s">
        <v>293</v>
      </c>
    </row>
    <row r="37" spans="1:9" x14ac:dyDescent="0.2">
      <c r="A37" t="s">
        <v>99</v>
      </c>
      <c r="B37">
        <v>210</v>
      </c>
      <c r="C37">
        <v>86</v>
      </c>
      <c r="D37">
        <v>24</v>
      </c>
      <c r="E37">
        <v>0</v>
      </c>
      <c r="F37" s="14" t="s">
        <v>294</v>
      </c>
      <c r="G37">
        <v>1</v>
      </c>
      <c r="H37">
        <v>1</v>
      </c>
      <c r="I37" t="s">
        <v>295</v>
      </c>
    </row>
    <row r="38" spans="1:9" x14ac:dyDescent="0.2">
      <c r="A38" t="s">
        <v>100</v>
      </c>
      <c r="B38">
        <v>260</v>
      </c>
      <c r="C38">
        <v>106</v>
      </c>
      <c r="D38">
        <v>22</v>
      </c>
      <c r="E38">
        <v>0</v>
      </c>
      <c r="F38" s="14" t="s">
        <v>296</v>
      </c>
      <c r="G38">
        <v>1</v>
      </c>
      <c r="H38">
        <v>1</v>
      </c>
      <c r="I38" t="s">
        <v>297</v>
      </c>
    </row>
    <row r="39" spans="1:9" x14ac:dyDescent="0.2">
      <c r="A39" t="s">
        <v>101</v>
      </c>
      <c r="B39">
        <v>290</v>
      </c>
      <c r="C39">
        <v>118</v>
      </c>
      <c r="D39">
        <v>20</v>
      </c>
      <c r="E39">
        <v>0</v>
      </c>
      <c r="F39">
        <v>28800.046697916001</v>
      </c>
      <c r="G39">
        <v>1</v>
      </c>
      <c r="H39">
        <v>1</v>
      </c>
      <c r="I39" t="s">
        <v>298</v>
      </c>
    </row>
    <row r="40" spans="1:9" x14ac:dyDescent="0.2">
      <c r="A40" t="s">
        <v>102</v>
      </c>
      <c r="B40">
        <v>300</v>
      </c>
      <c r="C40">
        <v>122</v>
      </c>
      <c r="D40">
        <v>20</v>
      </c>
      <c r="E40">
        <v>0</v>
      </c>
      <c r="F40">
        <v>28800.081414542001</v>
      </c>
      <c r="G40">
        <v>1</v>
      </c>
      <c r="H40">
        <v>1</v>
      </c>
      <c r="I40" t="s">
        <v>299</v>
      </c>
    </row>
    <row r="41" spans="1:9" x14ac:dyDescent="0.2">
      <c r="A41" t="s">
        <v>103</v>
      </c>
      <c r="B41">
        <v>305</v>
      </c>
      <c r="C41">
        <v>124</v>
      </c>
      <c r="D41">
        <v>24</v>
      </c>
      <c r="E41">
        <v>0</v>
      </c>
      <c r="F41" s="14" t="s">
        <v>313</v>
      </c>
      <c r="G41">
        <v>1</v>
      </c>
      <c r="H41">
        <v>1</v>
      </c>
      <c r="I41" t="s">
        <v>314</v>
      </c>
    </row>
    <row r="42" spans="1:9" x14ac:dyDescent="0.2">
      <c r="A42" t="s">
        <v>104</v>
      </c>
      <c r="B42">
        <v>335</v>
      </c>
      <c r="C42">
        <v>136</v>
      </c>
      <c r="D42">
        <v>22</v>
      </c>
      <c r="E42">
        <v>0</v>
      </c>
      <c r="F42" s="14" t="s">
        <v>315</v>
      </c>
      <c r="G42">
        <v>1</v>
      </c>
      <c r="H42">
        <v>1</v>
      </c>
      <c r="I42" t="s">
        <v>316</v>
      </c>
    </row>
    <row r="43" spans="1:9" x14ac:dyDescent="0.2">
      <c r="A43" t="s">
        <v>105</v>
      </c>
      <c r="B43">
        <v>365</v>
      </c>
      <c r="C43">
        <v>148</v>
      </c>
      <c r="D43">
        <v>24</v>
      </c>
      <c r="E43">
        <v>0</v>
      </c>
      <c r="F43">
        <v>28800.31259175</v>
      </c>
      <c r="G43">
        <v>1</v>
      </c>
      <c r="H43">
        <v>1</v>
      </c>
      <c r="I43" t="s">
        <v>317</v>
      </c>
    </row>
    <row r="44" spans="1:9" x14ac:dyDescent="0.2">
      <c r="A44" t="s">
        <v>106</v>
      </c>
      <c r="B44">
        <v>400</v>
      </c>
      <c r="C44">
        <v>162</v>
      </c>
      <c r="D44">
        <v>22</v>
      </c>
      <c r="E44">
        <v>0</v>
      </c>
      <c r="F44" s="14" t="s">
        <v>318</v>
      </c>
      <c r="G44">
        <v>1</v>
      </c>
      <c r="H44">
        <v>1</v>
      </c>
      <c r="I44" t="s">
        <v>319</v>
      </c>
    </row>
    <row r="45" spans="1:9" x14ac:dyDescent="0.2">
      <c r="A45" t="s">
        <v>107</v>
      </c>
      <c r="B45">
        <v>425</v>
      </c>
      <c r="C45">
        <v>172</v>
      </c>
      <c r="D45">
        <v>24</v>
      </c>
      <c r="E45">
        <v>0</v>
      </c>
      <c r="F45">
        <v>28800.267903041</v>
      </c>
      <c r="G45">
        <v>1</v>
      </c>
      <c r="H45">
        <v>1</v>
      </c>
      <c r="I45" t="s">
        <v>321</v>
      </c>
    </row>
    <row r="46" spans="1:9" x14ac:dyDescent="0.2">
      <c r="A46" t="s">
        <v>108</v>
      </c>
      <c r="B46">
        <v>475</v>
      </c>
      <c r="C46">
        <v>192</v>
      </c>
      <c r="D46">
        <v>24</v>
      </c>
      <c r="E46">
        <v>0</v>
      </c>
      <c r="F46" s="14" t="s">
        <v>322</v>
      </c>
      <c r="G46">
        <v>1</v>
      </c>
      <c r="H46">
        <v>1</v>
      </c>
      <c r="I46" t="s">
        <v>323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D16F6-717B-A64C-B99C-D35D02C614E1}">
  <dimension ref="A1:I43"/>
  <sheetViews>
    <sheetView topLeftCell="A16" workbookViewId="0">
      <selection activeCell="I37" sqref="I37"/>
    </sheetView>
  </sheetViews>
  <sheetFormatPr baseColWidth="10" defaultRowHeight="16" x14ac:dyDescent="0.2"/>
  <sheetData>
    <row r="1" spans="1:1" x14ac:dyDescent="0.2">
      <c r="A1" s="13" t="s">
        <v>0</v>
      </c>
    </row>
    <row r="2" spans="1:1" x14ac:dyDescent="0.2">
      <c r="A2" s="13" t="s">
        <v>1</v>
      </c>
    </row>
    <row r="3" spans="1:1" x14ac:dyDescent="0.2">
      <c r="A3" s="6" t="s">
        <v>80</v>
      </c>
    </row>
    <row r="4" spans="1:1" x14ac:dyDescent="0.2">
      <c r="A4" s="22" t="s">
        <v>2</v>
      </c>
    </row>
    <row r="5" spans="1:1" x14ac:dyDescent="0.2">
      <c r="A5" s="6" t="s">
        <v>3</v>
      </c>
    </row>
    <row r="6" spans="1:1" x14ac:dyDescent="0.2">
      <c r="A6" s="22" t="s">
        <v>4</v>
      </c>
    </row>
    <row r="7" spans="1:1" x14ac:dyDescent="0.2">
      <c r="A7" s="13" t="s">
        <v>30</v>
      </c>
    </row>
    <row r="8" spans="1:1" x14ac:dyDescent="0.2">
      <c r="A8" s="6" t="s">
        <v>5</v>
      </c>
    </row>
    <row r="9" spans="1:1" x14ac:dyDescent="0.2">
      <c r="A9" s="22" t="s">
        <v>6</v>
      </c>
    </row>
    <row r="10" spans="1:1" x14ac:dyDescent="0.2">
      <c r="A10" s="13" t="s">
        <v>7</v>
      </c>
    </row>
    <row r="11" spans="1:1" x14ac:dyDescent="0.2">
      <c r="A11" s="13" t="s">
        <v>8</v>
      </c>
    </row>
    <row r="12" spans="1:1" x14ac:dyDescent="0.2">
      <c r="A12" s="13" t="s">
        <v>9</v>
      </c>
    </row>
    <row r="13" spans="1:1" x14ac:dyDescent="0.2">
      <c r="A13" s="13" t="s">
        <v>10</v>
      </c>
    </row>
    <row r="14" spans="1:1" x14ac:dyDescent="0.2">
      <c r="A14" s="13" t="s">
        <v>11</v>
      </c>
    </row>
    <row r="15" spans="1:1" x14ac:dyDescent="0.2">
      <c r="A15" s="13" t="s">
        <v>12</v>
      </c>
    </row>
    <row r="16" spans="1:1" x14ac:dyDescent="0.2">
      <c r="A16" s="13" t="s">
        <v>13</v>
      </c>
    </row>
    <row r="17" spans="1:9" x14ac:dyDescent="0.2">
      <c r="A17" s="13" t="s">
        <v>14</v>
      </c>
    </row>
    <row r="18" spans="1:9" x14ac:dyDescent="0.2">
      <c r="A18" s="13" t="s">
        <v>15</v>
      </c>
    </row>
    <row r="19" spans="1:9" x14ac:dyDescent="0.2">
      <c r="A19" s="13" t="s">
        <v>16</v>
      </c>
    </row>
    <row r="20" spans="1:9" x14ac:dyDescent="0.2">
      <c r="A20" t="s">
        <v>17</v>
      </c>
    </row>
    <row r="21" spans="1:9" x14ac:dyDescent="0.2">
      <c r="A21" t="s">
        <v>18</v>
      </c>
    </row>
    <row r="22" spans="1:9" x14ac:dyDescent="0.2">
      <c r="A22" t="s">
        <v>81</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82</v>
      </c>
      <c r="B25">
        <v>5</v>
      </c>
      <c r="C25">
        <v>4</v>
      </c>
      <c r="D25">
        <v>2</v>
      </c>
      <c r="E25">
        <v>0</v>
      </c>
      <c r="F25">
        <v>1.05291618965566E-2</v>
      </c>
      <c r="G25">
        <v>1</v>
      </c>
      <c r="H25">
        <v>1</v>
      </c>
      <c r="I25" t="s">
        <v>83</v>
      </c>
    </row>
    <row r="26" spans="1:9" x14ac:dyDescent="0.2">
      <c r="A26" t="s">
        <v>84</v>
      </c>
      <c r="B26">
        <v>20</v>
      </c>
      <c r="C26">
        <v>10</v>
      </c>
      <c r="D26">
        <v>4</v>
      </c>
      <c r="E26">
        <v>0</v>
      </c>
      <c r="F26">
        <v>1.41975982114672E-2</v>
      </c>
      <c r="G26">
        <v>1</v>
      </c>
      <c r="H26">
        <v>1</v>
      </c>
      <c r="I26" t="s">
        <v>85</v>
      </c>
    </row>
    <row r="27" spans="1:9" x14ac:dyDescent="0.2">
      <c r="A27" t="s">
        <v>86</v>
      </c>
      <c r="B27">
        <v>35</v>
      </c>
      <c r="C27">
        <v>16</v>
      </c>
      <c r="D27">
        <v>6</v>
      </c>
      <c r="E27">
        <v>0</v>
      </c>
      <c r="F27">
        <v>9.4773933757096501E-2</v>
      </c>
      <c r="G27">
        <v>1</v>
      </c>
      <c r="H27">
        <v>1</v>
      </c>
      <c r="I27" t="s">
        <v>87</v>
      </c>
    </row>
    <row r="28" spans="1:9" x14ac:dyDescent="0.2">
      <c r="A28" t="s">
        <v>88</v>
      </c>
      <c r="B28">
        <v>50</v>
      </c>
      <c r="C28">
        <v>22</v>
      </c>
      <c r="D28">
        <v>8</v>
      </c>
      <c r="E28">
        <v>0</v>
      </c>
      <c r="F28">
        <v>1.5112244719639401</v>
      </c>
      <c r="G28">
        <v>1</v>
      </c>
      <c r="H28">
        <v>1</v>
      </c>
      <c r="I28" t="s">
        <v>89</v>
      </c>
    </row>
    <row r="29" spans="1:9" x14ac:dyDescent="0.2">
      <c r="A29" t="s">
        <v>90</v>
      </c>
      <c r="B29">
        <v>65</v>
      </c>
      <c r="C29">
        <v>28</v>
      </c>
      <c r="D29">
        <v>10</v>
      </c>
      <c r="E29">
        <v>0</v>
      </c>
      <c r="F29">
        <v>41.260579207912002</v>
      </c>
      <c r="G29">
        <v>1</v>
      </c>
      <c r="H29">
        <v>1</v>
      </c>
      <c r="I29" t="s">
        <v>91</v>
      </c>
    </row>
    <row r="30" spans="1:9" x14ac:dyDescent="0.2">
      <c r="A30" t="s">
        <v>92</v>
      </c>
      <c r="B30">
        <v>80</v>
      </c>
      <c r="C30">
        <v>34</v>
      </c>
      <c r="D30">
        <v>12</v>
      </c>
      <c r="E30">
        <v>0</v>
      </c>
      <c r="F30">
        <v>1047.1034300210799</v>
      </c>
      <c r="G30">
        <v>1</v>
      </c>
      <c r="H30">
        <v>1</v>
      </c>
      <c r="I30" t="s">
        <v>93</v>
      </c>
    </row>
    <row r="31" spans="1:9" x14ac:dyDescent="0.2">
      <c r="A31" t="s">
        <v>94</v>
      </c>
      <c r="B31">
        <v>105</v>
      </c>
      <c r="C31">
        <v>44</v>
      </c>
      <c r="D31">
        <v>16</v>
      </c>
      <c r="E31">
        <v>0</v>
      </c>
      <c r="F31">
        <v>28800.119195763898</v>
      </c>
      <c r="G31">
        <v>1</v>
      </c>
      <c r="H31">
        <v>1</v>
      </c>
      <c r="I31" t="s">
        <v>95</v>
      </c>
    </row>
    <row r="32" spans="1:9" x14ac:dyDescent="0.2">
      <c r="A32" t="s">
        <v>96</v>
      </c>
      <c r="B32">
        <v>150</v>
      </c>
      <c r="C32">
        <v>62</v>
      </c>
      <c r="D32">
        <v>58</v>
      </c>
      <c r="E32">
        <v>42</v>
      </c>
      <c r="F32">
        <v>28800.165150721001</v>
      </c>
      <c r="G32">
        <v>1</v>
      </c>
      <c r="H32">
        <v>1</v>
      </c>
      <c r="I32" t="s">
        <v>97</v>
      </c>
    </row>
    <row r="33" spans="1:9" x14ac:dyDescent="0.2">
      <c r="A33" t="s">
        <v>98</v>
      </c>
      <c r="B33">
        <v>155</v>
      </c>
      <c r="C33">
        <v>64</v>
      </c>
      <c r="D33">
        <v>62</v>
      </c>
      <c r="E33">
        <v>42</v>
      </c>
      <c r="F33">
        <v>28800.244442980202</v>
      </c>
      <c r="G33">
        <v>1</v>
      </c>
      <c r="H33">
        <v>1</v>
      </c>
      <c r="I33" t="s">
        <v>204</v>
      </c>
    </row>
    <row r="34" spans="1:9" x14ac:dyDescent="0.2">
      <c r="A34" t="s">
        <v>99</v>
      </c>
      <c r="B34">
        <v>210</v>
      </c>
      <c r="C34">
        <v>86</v>
      </c>
      <c r="D34">
        <v>96</v>
      </c>
      <c r="E34">
        <v>72</v>
      </c>
      <c r="F34">
        <v>28800.268861443699</v>
      </c>
      <c r="G34">
        <v>1</v>
      </c>
      <c r="H34">
        <v>1</v>
      </c>
      <c r="I34" t="s">
        <v>205</v>
      </c>
    </row>
    <row r="35" spans="1:9" x14ac:dyDescent="0.2">
      <c r="A35" t="s">
        <v>100</v>
      </c>
      <c r="B35">
        <v>260</v>
      </c>
      <c r="C35">
        <v>106</v>
      </c>
      <c r="D35">
        <v>104</v>
      </c>
      <c r="E35">
        <v>82</v>
      </c>
      <c r="F35">
        <v>28800.28173328</v>
      </c>
      <c r="G35">
        <v>1</v>
      </c>
      <c r="H35">
        <v>1</v>
      </c>
      <c r="I35" t="s">
        <v>206</v>
      </c>
    </row>
    <row r="36" spans="1:9" x14ac:dyDescent="0.2">
      <c r="A36" t="s">
        <v>101</v>
      </c>
      <c r="B36">
        <v>290</v>
      </c>
      <c r="C36">
        <v>118</v>
      </c>
      <c r="D36">
        <v>116</v>
      </c>
      <c r="E36">
        <v>96</v>
      </c>
      <c r="F36">
        <v>28800.3302095904</v>
      </c>
      <c r="G36">
        <v>1</v>
      </c>
      <c r="H36">
        <v>1</v>
      </c>
      <c r="I36" t="s">
        <v>210</v>
      </c>
    </row>
    <row r="37" spans="1:9" x14ac:dyDescent="0.2">
      <c r="A37" t="s">
        <v>102</v>
      </c>
      <c r="B37">
        <v>300</v>
      </c>
      <c r="C37">
        <v>122</v>
      </c>
      <c r="D37">
        <v>0</v>
      </c>
      <c r="E37">
        <v>-20</v>
      </c>
      <c r="F37">
        <v>28800.376566305698</v>
      </c>
      <c r="G37">
        <v>1</v>
      </c>
      <c r="H37">
        <v>1</v>
      </c>
      <c r="I37" t="s">
        <v>211</v>
      </c>
    </row>
    <row r="38" spans="1:9" x14ac:dyDescent="0.2">
      <c r="A38" t="s">
        <v>103</v>
      </c>
      <c r="B38">
        <v>305</v>
      </c>
      <c r="C38">
        <v>124</v>
      </c>
      <c r="D38">
        <v>122</v>
      </c>
      <c r="E38">
        <v>98</v>
      </c>
      <c r="F38">
        <v>28800.395248897301</v>
      </c>
      <c r="G38">
        <v>1</v>
      </c>
      <c r="H38">
        <v>1</v>
      </c>
      <c r="I38" t="s">
        <v>214</v>
      </c>
    </row>
    <row r="39" spans="1:9" x14ac:dyDescent="0.2">
      <c r="A39" t="s">
        <v>104</v>
      </c>
      <c r="B39">
        <v>335</v>
      </c>
      <c r="C39">
        <v>136</v>
      </c>
      <c r="D39">
        <v>134</v>
      </c>
      <c r="E39">
        <v>112</v>
      </c>
      <c r="F39">
        <v>28800.382099308001</v>
      </c>
      <c r="G39">
        <v>1</v>
      </c>
      <c r="H39">
        <v>1</v>
      </c>
      <c r="I39" t="s">
        <v>215</v>
      </c>
    </row>
    <row r="40" spans="1:9" x14ac:dyDescent="0.2">
      <c r="A40" t="s">
        <v>105</v>
      </c>
      <c r="B40">
        <v>365</v>
      </c>
      <c r="C40">
        <v>148</v>
      </c>
      <c r="D40">
        <v>146</v>
      </c>
      <c r="E40">
        <v>122</v>
      </c>
      <c r="F40">
        <v>28800.695998184299</v>
      </c>
      <c r="G40">
        <v>1</v>
      </c>
      <c r="H40">
        <v>1</v>
      </c>
      <c r="I40" t="s">
        <v>216</v>
      </c>
    </row>
    <row r="41" spans="1:9" x14ac:dyDescent="0.2">
      <c r="A41" t="s">
        <v>106</v>
      </c>
      <c r="B41">
        <v>400</v>
      </c>
      <c r="C41">
        <v>162</v>
      </c>
      <c r="D41">
        <v>160</v>
      </c>
      <c r="E41">
        <v>138</v>
      </c>
      <c r="F41">
        <v>28800.459410779102</v>
      </c>
      <c r="G41">
        <v>1</v>
      </c>
      <c r="H41">
        <v>1</v>
      </c>
      <c r="I41" t="s">
        <v>220</v>
      </c>
    </row>
    <row r="42" spans="1:9" x14ac:dyDescent="0.2">
      <c r="A42" t="s">
        <v>107</v>
      </c>
      <c r="B42">
        <v>425</v>
      </c>
      <c r="C42">
        <v>172</v>
      </c>
      <c r="D42">
        <v>0</v>
      </c>
      <c r="E42">
        <v>-24</v>
      </c>
      <c r="F42">
        <v>28800.431581757901</v>
      </c>
      <c r="G42">
        <v>1</v>
      </c>
      <c r="H42">
        <v>1</v>
      </c>
      <c r="I42" t="s">
        <v>221</v>
      </c>
    </row>
    <row r="43" spans="1:9" x14ac:dyDescent="0.2">
      <c r="A43" t="s">
        <v>108</v>
      </c>
      <c r="B43">
        <v>475</v>
      </c>
      <c r="C43">
        <v>192</v>
      </c>
      <c r="D43">
        <v>190</v>
      </c>
      <c r="E43">
        <v>166</v>
      </c>
      <c r="F43">
        <v>28800.6725081726</v>
      </c>
      <c r="G43">
        <v>1</v>
      </c>
      <c r="H43">
        <v>1</v>
      </c>
      <c r="I43" t="s">
        <v>222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380E6-4678-E04E-A73D-AB43DFA15566}">
  <dimension ref="A1:I47"/>
  <sheetViews>
    <sheetView workbookViewId="0">
      <selection activeCell="E23" sqref="E23"/>
    </sheetView>
  </sheetViews>
  <sheetFormatPr baseColWidth="10" defaultRowHeight="16" x14ac:dyDescent="0.2"/>
  <sheetData>
    <row r="1" spans="1:1" x14ac:dyDescent="0.2">
      <c r="A1" s="13" t="s">
        <v>0</v>
      </c>
    </row>
    <row r="2" spans="1:1" x14ac:dyDescent="0.2">
      <c r="A2" s="13" t="s">
        <v>1</v>
      </c>
    </row>
    <row r="3" spans="1:1" x14ac:dyDescent="0.2">
      <c r="A3" s="21" t="s">
        <v>259</v>
      </c>
    </row>
    <row r="4" spans="1:1" x14ac:dyDescent="0.2">
      <c r="A4" s="22" t="s">
        <v>80</v>
      </c>
    </row>
    <row r="5" spans="1:1" x14ac:dyDescent="0.2">
      <c r="A5" s="21" t="s">
        <v>2</v>
      </c>
    </row>
    <row r="6" spans="1:1" x14ac:dyDescent="0.2">
      <c r="A6" s="22" t="s">
        <v>29</v>
      </c>
    </row>
    <row r="7" spans="1:1" x14ac:dyDescent="0.2">
      <c r="A7" s="13" t="s">
        <v>4</v>
      </c>
    </row>
    <row r="8" spans="1:1" x14ac:dyDescent="0.2">
      <c r="A8" s="21" t="s">
        <v>30</v>
      </c>
    </row>
    <row r="9" spans="1:1" x14ac:dyDescent="0.2">
      <c r="A9" s="22" t="s">
        <v>325</v>
      </c>
    </row>
    <row r="10" spans="1:1" x14ac:dyDescent="0.2">
      <c r="A10" s="13" t="s">
        <v>326</v>
      </c>
    </row>
    <row r="11" spans="1:1" x14ac:dyDescent="0.2">
      <c r="A11" s="13" t="s">
        <v>5</v>
      </c>
    </row>
    <row r="12" spans="1:1" x14ac:dyDescent="0.2">
      <c r="A12" s="13" t="s">
        <v>6</v>
      </c>
    </row>
    <row r="13" spans="1:1" x14ac:dyDescent="0.2">
      <c r="A13" s="13" t="s">
        <v>7</v>
      </c>
    </row>
    <row r="14" spans="1:1" x14ac:dyDescent="0.2">
      <c r="A14" s="13" t="s">
        <v>8</v>
      </c>
    </row>
    <row r="15" spans="1:1" x14ac:dyDescent="0.2">
      <c r="A15" s="13" t="s">
        <v>9</v>
      </c>
    </row>
    <row r="16" spans="1:1" x14ac:dyDescent="0.2">
      <c r="A16" s="13" t="s">
        <v>327</v>
      </c>
    </row>
    <row r="17" spans="1:9" x14ac:dyDescent="0.2">
      <c r="A17" s="13" t="s">
        <v>328</v>
      </c>
    </row>
    <row r="18" spans="1:9" x14ac:dyDescent="0.2">
      <c r="A18" s="13" t="s">
        <v>10</v>
      </c>
    </row>
    <row r="19" spans="1:9" x14ac:dyDescent="0.2">
      <c r="A19" s="13" t="s">
        <v>14</v>
      </c>
    </row>
    <row r="20" spans="1:9" x14ac:dyDescent="0.2">
      <c r="A20" t="s">
        <v>261</v>
      </c>
    </row>
    <row r="21" spans="1:9" x14ac:dyDescent="0.2">
      <c r="A21" t="s">
        <v>16</v>
      </c>
    </row>
    <row r="22" spans="1:9" x14ac:dyDescent="0.2">
      <c r="A22" t="s">
        <v>262</v>
      </c>
    </row>
    <row r="23" spans="1:9" x14ac:dyDescent="0.2">
      <c r="A23" t="s">
        <v>263</v>
      </c>
    </row>
    <row r="24" spans="1:9" x14ac:dyDescent="0.2">
      <c r="A24" t="s">
        <v>281</v>
      </c>
    </row>
    <row r="25" spans="1:9" x14ac:dyDescent="0.2">
      <c r="A25" t="s">
        <v>18</v>
      </c>
      <c r="F25" s="1"/>
    </row>
    <row r="26" spans="1:9" x14ac:dyDescent="0.2">
      <c r="A26" t="s">
        <v>329</v>
      </c>
    </row>
    <row r="27" spans="1:9" x14ac:dyDescent="0.2">
      <c r="A27" t="s">
        <v>19</v>
      </c>
    </row>
    <row r="28" spans="1:9" x14ac:dyDescent="0.2">
      <c r="A28" t="s">
        <v>20</v>
      </c>
      <c r="B28" t="s">
        <v>21</v>
      </c>
      <c r="C28" t="s">
        <v>22</v>
      </c>
      <c r="D28" t="s">
        <v>23</v>
      </c>
      <c r="E28" t="s">
        <v>24</v>
      </c>
      <c r="F28" t="s">
        <v>25</v>
      </c>
      <c r="G28" t="s">
        <v>26</v>
      </c>
      <c r="H28" t="s">
        <v>27</v>
      </c>
      <c r="I28" t="s">
        <v>28</v>
      </c>
    </row>
    <row r="29" spans="1:9" x14ac:dyDescent="0.2">
      <c r="A29" t="s">
        <v>82</v>
      </c>
      <c r="B29">
        <v>5</v>
      </c>
      <c r="C29">
        <v>4</v>
      </c>
      <c r="D29">
        <v>2</v>
      </c>
      <c r="E29">
        <v>0</v>
      </c>
      <c r="F29">
        <v>2.6863859966397199E-3</v>
      </c>
      <c r="G29">
        <v>1</v>
      </c>
      <c r="H29">
        <v>1</v>
      </c>
      <c r="I29" t="s">
        <v>330</v>
      </c>
    </row>
    <row r="30" spans="1:9" x14ac:dyDescent="0.2">
      <c r="A30" t="s">
        <v>84</v>
      </c>
      <c r="B30">
        <v>20</v>
      </c>
      <c r="C30">
        <v>10</v>
      </c>
      <c r="D30">
        <v>4</v>
      </c>
      <c r="E30">
        <v>0</v>
      </c>
      <c r="F30">
        <v>3.9133531972765897E-3</v>
      </c>
      <c r="G30">
        <v>1</v>
      </c>
      <c r="H30">
        <v>1</v>
      </c>
      <c r="I30" t="s">
        <v>331</v>
      </c>
    </row>
    <row r="31" spans="1:9" x14ac:dyDescent="0.2">
      <c r="A31" t="s">
        <v>86</v>
      </c>
      <c r="B31">
        <v>35</v>
      </c>
      <c r="C31">
        <v>16</v>
      </c>
      <c r="D31">
        <v>0</v>
      </c>
      <c r="E31">
        <v>-6</v>
      </c>
      <c r="F31">
        <v>5.4184142500162099E-3</v>
      </c>
      <c r="G31">
        <v>1</v>
      </c>
      <c r="H31">
        <v>1</v>
      </c>
      <c r="I31" t="s">
        <v>332</v>
      </c>
    </row>
    <row r="32" spans="1:9" x14ac:dyDescent="0.2">
      <c r="A32" t="s">
        <v>88</v>
      </c>
      <c r="B32">
        <v>50</v>
      </c>
      <c r="C32">
        <v>22</v>
      </c>
      <c r="D32">
        <v>0</v>
      </c>
      <c r="E32">
        <v>-8</v>
      </c>
      <c r="F32">
        <v>8.0313431099057198E-3</v>
      </c>
      <c r="G32">
        <v>1</v>
      </c>
      <c r="H32">
        <v>1</v>
      </c>
      <c r="I32" t="s">
        <v>333</v>
      </c>
    </row>
    <row r="33" spans="1:9" x14ac:dyDescent="0.2">
      <c r="A33" t="s">
        <v>90</v>
      </c>
      <c r="B33">
        <v>65</v>
      </c>
      <c r="C33">
        <v>28</v>
      </c>
      <c r="D33">
        <v>0</v>
      </c>
      <c r="E33">
        <v>-10</v>
      </c>
      <c r="F33">
        <v>1.0011253878474201E-2</v>
      </c>
      <c r="G33">
        <v>1</v>
      </c>
      <c r="H33">
        <v>1</v>
      </c>
      <c r="I33" t="s">
        <v>334</v>
      </c>
    </row>
    <row r="34" spans="1:9" x14ac:dyDescent="0.2">
      <c r="A34" t="s">
        <v>92</v>
      </c>
      <c r="B34">
        <v>80</v>
      </c>
      <c r="C34">
        <v>34</v>
      </c>
      <c r="D34">
        <v>0</v>
      </c>
      <c r="E34">
        <v>-12</v>
      </c>
      <c r="F34">
        <v>1.26572465524077E-2</v>
      </c>
      <c r="G34">
        <v>1</v>
      </c>
      <c r="H34">
        <v>1</v>
      </c>
      <c r="I34" t="s">
        <v>335</v>
      </c>
    </row>
    <row r="35" spans="1:9" x14ac:dyDescent="0.2">
      <c r="A35" t="s">
        <v>94</v>
      </c>
      <c r="B35">
        <v>105</v>
      </c>
      <c r="C35">
        <v>44</v>
      </c>
      <c r="D35">
        <v>0</v>
      </c>
      <c r="E35">
        <v>-16</v>
      </c>
      <c r="F35">
        <v>1.8154801800847001E-2</v>
      </c>
      <c r="G35">
        <v>1</v>
      </c>
      <c r="H35">
        <v>1</v>
      </c>
      <c r="I35" t="s">
        <v>336</v>
      </c>
    </row>
    <row r="36" spans="1:9" x14ac:dyDescent="0.2">
      <c r="A36" t="s">
        <v>96</v>
      </c>
      <c r="B36">
        <v>150</v>
      </c>
      <c r="C36">
        <v>62</v>
      </c>
      <c r="D36">
        <v>0</v>
      </c>
      <c r="E36">
        <v>-16</v>
      </c>
      <c r="F36">
        <v>2.98389857634902E-2</v>
      </c>
      <c r="G36">
        <v>1</v>
      </c>
      <c r="H36">
        <v>1</v>
      </c>
      <c r="I36" t="s">
        <v>337</v>
      </c>
    </row>
    <row r="37" spans="1:9" x14ac:dyDescent="0.2">
      <c r="A37" t="s">
        <v>98</v>
      </c>
      <c r="B37">
        <v>155</v>
      </c>
      <c r="C37">
        <v>64</v>
      </c>
      <c r="D37">
        <v>0</v>
      </c>
      <c r="E37">
        <v>-20</v>
      </c>
      <c r="F37">
        <v>3.0995056964457E-2</v>
      </c>
      <c r="G37">
        <v>1</v>
      </c>
      <c r="H37">
        <v>1</v>
      </c>
      <c r="I37" t="s">
        <v>338</v>
      </c>
    </row>
    <row r="38" spans="1:9" x14ac:dyDescent="0.2">
      <c r="A38" t="s">
        <v>99</v>
      </c>
      <c r="B38">
        <v>210</v>
      </c>
      <c r="C38">
        <v>86</v>
      </c>
      <c r="D38">
        <v>0</v>
      </c>
      <c r="E38">
        <v>-24</v>
      </c>
      <c r="F38">
        <v>5.1067760214209501E-2</v>
      </c>
      <c r="G38">
        <v>1</v>
      </c>
      <c r="H38">
        <v>1</v>
      </c>
      <c r="I38" t="s">
        <v>339</v>
      </c>
    </row>
    <row r="39" spans="1:9" x14ac:dyDescent="0.2">
      <c r="A39" t="s">
        <v>100</v>
      </c>
      <c r="B39">
        <v>260</v>
      </c>
      <c r="C39">
        <v>106</v>
      </c>
      <c r="D39">
        <v>0</v>
      </c>
      <c r="E39">
        <v>-22</v>
      </c>
      <c r="F39">
        <v>7.3685082606971194E-2</v>
      </c>
      <c r="G39">
        <v>1</v>
      </c>
      <c r="H39">
        <v>1</v>
      </c>
      <c r="I39" t="s">
        <v>340</v>
      </c>
    </row>
    <row r="40" spans="1:9" x14ac:dyDescent="0.2">
      <c r="A40" t="s">
        <v>101</v>
      </c>
      <c r="B40">
        <v>290</v>
      </c>
      <c r="C40">
        <v>118</v>
      </c>
      <c r="D40">
        <v>0</v>
      </c>
      <c r="E40">
        <v>-20</v>
      </c>
      <c r="F40">
        <v>8.9022680185735198E-2</v>
      </c>
      <c r="G40">
        <v>1</v>
      </c>
      <c r="H40">
        <v>1</v>
      </c>
      <c r="I40" t="s">
        <v>341</v>
      </c>
    </row>
    <row r="41" spans="1:9" x14ac:dyDescent="0.2">
      <c r="A41" t="s">
        <v>102</v>
      </c>
      <c r="B41">
        <v>300</v>
      </c>
      <c r="C41">
        <v>122</v>
      </c>
      <c r="D41">
        <v>0</v>
      </c>
      <c r="E41">
        <v>-20</v>
      </c>
      <c r="F41">
        <v>9.6674517728388296E-2</v>
      </c>
      <c r="G41">
        <v>1</v>
      </c>
      <c r="H41">
        <v>1</v>
      </c>
      <c r="I41" t="s">
        <v>342</v>
      </c>
    </row>
    <row r="42" spans="1:9" x14ac:dyDescent="0.2">
      <c r="A42" t="s">
        <v>103</v>
      </c>
      <c r="B42">
        <v>305</v>
      </c>
      <c r="C42">
        <v>124</v>
      </c>
      <c r="D42">
        <v>0</v>
      </c>
      <c r="E42">
        <v>-24</v>
      </c>
      <c r="F42">
        <v>0.100684827193617</v>
      </c>
      <c r="G42">
        <v>1</v>
      </c>
      <c r="H42">
        <v>1</v>
      </c>
      <c r="I42" t="s">
        <v>343</v>
      </c>
    </row>
    <row r="43" spans="1:9" x14ac:dyDescent="0.2">
      <c r="A43" t="s">
        <v>104</v>
      </c>
      <c r="B43">
        <v>335</v>
      </c>
      <c r="C43">
        <v>136</v>
      </c>
      <c r="D43">
        <v>0</v>
      </c>
      <c r="E43">
        <v>-22</v>
      </c>
      <c r="F43">
        <v>0.12144895084202199</v>
      </c>
      <c r="G43">
        <v>1</v>
      </c>
      <c r="H43">
        <v>1</v>
      </c>
      <c r="I43" t="s">
        <v>344</v>
      </c>
    </row>
    <row r="44" spans="1:9" x14ac:dyDescent="0.2">
      <c r="A44" t="s">
        <v>105</v>
      </c>
      <c r="B44">
        <v>365</v>
      </c>
      <c r="C44">
        <v>148</v>
      </c>
      <c r="D44">
        <v>0</v>
      </c>
      <c r="E44">
        <v>-24</v>
      </c>
      <c r="F44">
        <v>0.144557770341634</v>
      </c>
      <c r="G44">
        <v>1</v>
      </c>
      <c r="H44">
        <v>1</v>
      </c>
      <c r="I44" t="s">
        <v>345</v>
      </c>
    </row>
    <row r="45" spans="1:9" x14ac:dyDescent="0.2">
      <c r="A45" t="s">
        <v>106</v>
      </c>
      <c r="B45">
        <v>400</v>
      </c>
      <c r="C45">
        <v>162</v>
      </c>
      <c r="D45">
        <v>0</v>
      </c>
      <c r="E45">
        <v>-22</v>
      </c>
      <c r="F45">
        <v>0.174771077930927</v>
      </c>
      <c r="G45">
        <v>1</v>
      </c>
      <c r="H45">
        <v>1</v>
      </c>
      <c r="I45" t="s">
        <v>346</v>
      </c>
    </row>
    <row r="46" spans="1:9" x14ac:dyDescent="0.2">
      <c r="A46" t="s">
        <v>107</v>
      </c>
      <c r="B46">
        <v>425</v>
      </c>
      <c r="C46">
        <v>172</v>
      </c>
      <c r="D46">
        <v>0</v>
      </c>
      <c r="E46">
        <v>-24</v>
      </c>
      <c r="F46">
        <v>0.19691528845578399</v>
      </c>
      <c r="G46">
        <v>1</v>
      </c>
      <c r="H46">
        <v>1</v>
      </c>
      <c r="I46" t="s">
        <v>347</v>
      </c>
    </row>
    <row r="47" spans="1:9" x14ac:dyDescent="0.2">
      <c r="A47" t="s">
        <v>108</v>
      </c>
      <c r="B47">
        <v>475</v>
      </c>
      <c r="C47">
        <v>192</v>
      </c>
      <c r="D47">
        <v>0</v>
      </c>
      <c r="E47">
        <v>-24</v>
      </c>
      <c r="F47">
        <v>0.25432767905294801</v>
      </c>
      <c r="G47">
        <v>1</v>
      </c>
      <c r="H47">
        <v>1</v>
      </c>
      <c r="I47" t="s">
        <v>348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63499-43B5-6443-99B5-3857F4FE66AB}">
  <dimension ref="A1:I49"/>
  <sheetViews>
    <sheetView topLeftCell="A15" workbookViewId="0">
      <selection activeCell="F8" sqref="F8"/>
    </sheetView>
  </sheetViews>
  <sheetFormatPr baseColWidth="10" defaultRowHeight="16" x14ac:dyDescent="0.2"/>
  <sheetData>
    <row r="1" spans="1:1" x14ac:dyDescent="0.2">
      <c r="A1" s="13" t="s">
        <v>0</v>
      </c>
    </row>
    <row r="2" spans="1:1" x14ac:dyDescent="0.2">
      <c r="A2" s="13" t="s">
        <v>1</v>
      </c>
    </row>
    <row r="3" spans="1:1" x14ac:dyDescent="0.2">
      <c r="A3" s="21" t="s">
        <v>80</v>
      </c>
    </row>
    <row r="4" spans="1:1" x14ac:dyDescent="0.2">
      <c r="A4" s="22" t="s">
        <v>2</v>
      </c>
    </row>
    <row r="5" spans="1:1" x14ac:dyDescent="0.2">
      <c r="A5" s="21" t="s">
        <v>31</v>
      </c>
    </row>
    <row r="6" spans="1:1" x14ac:dyDescent="0.2">
      <c r="A6" s="22" t="s">
        <v>4</v>
      </c>
    </row>
    <row r="7" spans="1:1" x14ac:dyDescent="0.2">
      <c r="A7" s="13" t="s">
        <v>30</v>
      </c>
    </row>
    <row r="8" spans="1:1" x14ac:dyDescent="0.2">
      <c r="A8" s="21" t="s">
        <v>5</v>
      </c>
    </row>
    <row r="9" spans="1:1" x14ac:dyDescent="0.2">
      <c r="A9" s="22" t="s">
        <v>6</v>
      </c>
    </row>
    <row r="10" spans="1:1" x14ac:dyDescent="0.2">
      <c r="A10" s="13" t="s">
        <v>7</v>
      </c>
    </row>
    <row r="11" spans="1:1" x14ac:dyDescent="0.2">
      <c r="A11" s="13" t="s">
        <v>8</v>
      </c>
    </row>
    <row r="12" spans="1:1" x14ac:dyDescent="0.2">
      <c r="A12" s="13" t="s">
        <v>9</v>
      </c>
    </row>
    <row r="13" spans="1:1" x14ac:dyDescent="0.2">
      <c r="A13" s="13" t="s">
        <v>10</v>
      </c>
    </row>
    <row r="14" spans="1:1" x14ac:dyDescent="0.2">
      <c r="A14" s="13" t="s">
        <v>11</v>
      </c>
    </row>
    <row r="15" spans="1:1" x14ac:dyDescent="0.2">
      <c r="A15" s="13" t="s">
        <v>12</v>
      </c>
    </row>
    <row r="16" spans="1:1" x14ac:dyDescent="0.2">
      <c r="A16" s="13" t="s">
        <v>13</v>
      </c>
    </row>
    <row r="17" spans="1:9" x14ac:dyDescent="0.2">
      <c r="A17" s="13" t="s">
        <v>14</v>
      </c>
    </row>
    <row r="18" spans="1:9" x14ac:dyDescent="0.2">
      <c r="A18" s="13" t="s">
        <v>15</v>
      </c>
    </row>
    <row r="19" spans="1:9" x14ac:dyDescent="0.2">
      <c r="A19" s="13" t="s">
        <v>16</v>
      </c>
    </row>
    <row r="20" spans="1:9" x14ac:dyDescent="0.2">
      <c r="A20" t="s">
        <v>17</v>
      </c>
    </row>
    <row r="21" spans="1:9" x14ac:dyDescent="0.2">
      <c r="A21" t="s">
        <v>32</v>
      </c>
    </row>
    <row r="22" spans="1:9" x14ac:dyDescent="0.2">
      <c r="A22" t="s">
        <v>18</v>
      </c>
    </row>
    <row r="23" spans="1:9" x14ac:dyDescent="0.2">
      <c r="A23" t="s">
        <v>33</v>
      </c>
    </row>
    <row r="24" spans="1:9" x14ac:dyDescent="0.2">
      <c r="A24" t="s">
        <v>34</v>
      </c>
    </row>
    <row r="25" spans="1:9" x14ac:dyDescent="0.2">
      <c r="A25" t="s">
        <v>223</v>
      </c>
    </row>
    <row r="26" spans="1:9" x14ac:dyDescent="0.2">
      <c r="A26" t="s">
        <v>36</v>
      </c>
    </row>
    <row r="27" spans="1:9" x14ac:dyDescent="0.2">
      <c r="A27" t="s">
        <v>224</v>
      </c>
    </row>
    <row r="28" spans="1:9" x14ac:dyDescent="0.2">
      <c r="A28" t="s">
        <v>225</v>
      </c>
    </row>
    <row r="29" spans="1:9" x14ac:dyDescent="0.2">
      <c r="A29" t="s">
        <v>19</v>
      </c>
    </row>
    <row r="30" spans="1:9" x14ac:dyDescent="0.2">
      <c r="A30" t="s">
        <v>20</v>
      </c>
      <c r="B30" t="s">
        <v>21</v>
      </c>
      <c r="C30" t="s">
        <v>22</v>
      </c>
      <c r="D30" t="s">
        <v>23</v>
      </c>
      <c r="E30" t="s">
        <v>24</v>
      </c>
      <c r="F30" t="s">
        <v>25</v>
      </c>
      <c r="G30" t="s">
        <v>26</v>
      </c>
      <c r="H30" t="s">
        <v>27</v>
      </c>
      <c r="I30" t="s">
        <v>28</v>
      </c>
    </row>
    <row r="31" spans="1:9" x14ac:dyDescent="0.2">
      <c r="A31" t="s">
        <v>82</v>
      </c>
      <c r="B31">
        <v>5</v>
      </c>
      <c r="C31">
        <v>4</v>
      </c>
      <c r="D31">
        <v>2</v>
      </c>
      <c r="E31">
        <v>0</v>
      </c>
      <c r="F31">
        <v>4.7494770884513802</v>
      </c>
      <c r="G31">
        <v>10000</v>
      </c>
      <c r="H31">
        <v>10000</v>
      </c>
      <c r="I31" t="s">
        <v>110</v>
      </c>
    </row>
    <row r="32" spans="1:9" x14ac:dyDescent="0.2">
      <c r="A32" t="s">
        <v>84</v>
      </c>
      <c r="B32">
        <v>20</v>
      </c>
      <c r="C32">
        <v>10</v>
      </c>
      <c r="D32">
        <v>4</v>
      </c>
      <c r="E32">
        <v>0</v>
      </c>
      <c r="F32">
        <v>6.2755051404237703</v>
      </c>
      <c r="G32">
        <v>9695</v>
      </c>
      <c r="H32">
        <v>10000</v>
      </c>
      <c r="I32" t="s">
        <v>226</v>
      </c>
    </row>
    <row r="33" spans="1:9" x14ac:dyDescent="0.2">
      <c r="A33" t="s">
        <v>86</v>
      </c>
      <c r="B33">
        <v>35</v>
      </c>
      <c r="C33">
        <v>16</v>
      </c>
      <c r="D33">
        <v>6</v>
      </c>
      <c r="E33">
        <v>0</v>
      </c>
      <c r="F33">
        <v>8.8480581119656492</v>
      </c>
      <c r="G33">
        <v>6029</v>
      </c>
      <c r="H33">
        <v>10000</v>
      </c>
      <c r="I33" t="s">
        <v>227</v>
      </c>
    </row>
    <row r="34" spans="1:9" x14ac:dyDescent="0.2">
      <c r="A34" t="s">
        <v>88</v>
      </c>
      <c r="B34">
        <v>50</v>
      </c>
      <c r="C34">
        <v>22</v>
      </c>
      <c r="D34">
        <v>8</v>
      </c>
      <c r="E34">
        <v>0</v>
      </c>
      <c r="F34">
        <v>11.7800035923719</v>
      </c>
      <c r="G34">
        <v>6425</v>
      </c>
      <c r="H34">
        <v>10000</v>
      </c>
      <c r="I34" t="s">
        <v>228</v>
      </c>
    </row>
    <row r="35" spans="1:9" x14ac:dyDescent="0.2">
      <c r="A35" t="s">
        <v>90</v>
      </c>
      <c r="B35">
        <v>65</v>
      </c>
      <c r="C35">
        <v>28</v>
      </c>
      <c r="D35">
        <v>10</v>
      </c>
      <c r="E35">
        <v>0</v>
      </c>
      <c r="F35">
        <v>15.5858650952577</v>
      </c>
      <c r="G35">
        <v>5548</v>
      </c>
      <c r="H35">
        <v>10000</v>
      </c>
      <c r="I35" t="s">
        <v>229</v>
      </c>
    </row>
    <row r="36" spans="1:9" x14ac:dyDescent="0.2">
      <c r="A36" t="s">
        <v>92</v>
      </c>
      <c r="B36">
        <v>80</v>
      </c>
      <c r="C36">
        <v>34</v>
      </c>
      <c r="D36">
        <v>12</v>
      </c>
      <c r="E36">
        <v>0</v>
      </c>
      <c r="F36">
        <v>20.209130443632599</v>
      </c>
      <c r="G36">
        <v>3023</v>
      </c>
      <c r="H36">
        <v>10000</v>
      </c>
      <c r="I36" t="s">
        <v>230</v>
      </c>
    </row>
    <row r="37" spans="1:9" x14ac:dyDescent="0.2">
      <c r="A37" t="s">
        <v>94</v>
      </c>
      <c r="B37">
        <v>105</v>
      </c>
      <c r="C37">
        <v>44</v>
      </c>
      <c r="D37">
        <v>16</v>
      </c>
      <c r="E37">
        <v>0</v>
      </c>
      <c r="F37">
        <v>35.707926601171401</v>
      </c>
      <c r="G37">
        <v>3052</v>
      </c>
      <c r="H37">
        <v>10000</v>
      </c>
      <c r="I37" t="s">
        <v>231</v>
      </c>
    </row>
    <row r="38" spans="1:9" x14ac:dyDescent="0.2">
      <c r="A38" t="s">
        <v>96</v>
      </c>
      <c r="B38">
        <v>150</v>
      </c>
      <c r="C38">
        <v>62</v>
      </c>
      <c r="D38">
        <v>16</v>
      </c>
      <c r="E38">
        <v>0</v>
      </c>
      <c r="F38">
        <v>100.724969483911</v>
      </c>
      <c r="G38">
        <v>642</v>
      </c>
      <c r="H38">
        <v>10000</v>
      </c>
      <c r="I38" t="s">
        <v>232</v>
      </c>
    </row>
    <row r="39" spans="1:9" x14ac:dyDescent="0.2">
      <c r="A39" t="s">
        <v>98</v>
      </c>
      <c r="B39">
        <v>155</v>
      </c>
      <c r="C39">
        <v>64</v>
      </c>
      <c r="D39">
        <v>20</v>
      </c>
      <c r="E39">
        <v>0</v>
      </c>
      <c r="F39">
        <v>129.950870335102</v>
      </c>
      <c r="G39">
        <v>834</v>
      </c>
      <c r="H39">
        <v>10000</v>
      </c>
      <c r="I39" t="s">
        <v>233</v>
      </c>
    </row>
    <row r="40" spans="1:9" x14ac:dyDescent="0.2">
      <c r="A40" t="s">
        <v>99</v>
      </c>
      <c r="B40">
        <v>210</v>
      </c>
      <c r="C40">
        <v>86</v>
      </c>
      <c r="D40">
        <v>24</v>
      </c>
      <c r="E40">
        <v>0</v>
      </c>
      <c r="F40">
        <v>363.08307367563202</v>
      </c>
      <c r="G40">
        <v>91</v>
      </c>
      <c r="H40">
        <v>10000</v>
      </c>
      <c r="I40" t="s">
        <v>234</v>
      </c>
    </row>
    <row r="41" spans="1:9" x14ac:dyDescent="0.2">
      <c r="A41" t="s">
        <v>100</v>
      </c>
      <c r="B41">
        <v>260</v>
      </c>
      <c r="C41">
        <v>106</v>
      </c>
      <c r="D41">
        <v>22</v>
      </c>
      <c r="E41">
        <v>0</v>
      </c>
      <c r="F41">
        <v>845.61284215003195</v>
      </c>
      <c r="G41">
        <v>29</v>
      </c>
      <c r="H41">
        <v>10000</v>
      </c>
      <c r="I41" t="s">
        <v>235</v>
      </c>
    </row>
    <row r="42" spans="1:9" x14ac:dyDescent="0.2">
      <c r="A42" t="s">
        <v>101</v>
      </c>
      <c r="B42">
        <v>290</v>
      </c>
      <c r="C42">
        <v>118</v>
      </c>
      <c r="D42">
        <v>20</v>
      </c>
      <c r="E42">
        <v>0</v>
      </c>
      <c r="F42">
        <v>1511.2204463407299</v>
      </c>
      <c r="G42">
        <v>61</v>
      </c>
      <c r="H42">
        <v>10000</v>
      </c>
      <c r="I42" t="s">
        <v>236</v>
      </c>
    </row>
    <row r="43" spans="1:9" x14ac:dyDescent="0.2">
      <c r="A43" t="s">
        <v>102</v>
      </c>
      <c r="B43">
        <v>300</v>
      </c>
      <c r="C43">
        <v>122</v>
      </c>
      <c r="D43">
        <v>20</v>
      </c>
      <c r="E43">
        <v>0</v>
      </c>
      <c r="F43">
        <v>1747.8973234370301</v>
      </c>
      <c r="G43">
        <v>108</v>
      </c>
      <c r="H43">
        <v>10000</v>
      </c>
      <c r="I43" t="s">
        <v>237</v>
      </c>
    </row>
    <row r="44" spans="1:9" x14ac:dyDescent="0.2">
      <c r="A44" t="s">
        <v>103</v>
      </c>
      <c r="B44">
        <v>305</v>
      </c>
      <c r="C44">
        <v>124</v>
      </c>
      <c r="D44">
        <v>24</v>
      </c>
      <c r="E44">
        <v>0</v>
      </c>
      <c r="F44">
        <v>1874.6815075874299</v>
      </c>
      <c r="G44">
        <v>44</v>
      </c>
      <c r="H44">
        <v>10000</v>
      </c>
      <c r="I44" t="s">
        <v>238</v>
      </c>
    </row>
    <row r="45" spans="1:9" x14ac:dyDescent="0.2">
      <c r="A45" t="s">
        <v>104</v>
      </c>
      <c r="B45">
        <v>335</v>
      </c>
      <c r="C45">
        <v>136</v>
      </c>
      <c r="D45">
        <v>22</v>
      </c>
      <c r="E45">
        <v>0</v>
      </c>
      <c r="F45">
        <v>2785.66015326976</v>
      </c>
      <c r="G45">
        <v>40</v>
      </c>
      <c r="H45">
        <v>10000</v>
      </c>
      <c r="I45" t="s">
        <v>239</v>
      </c>
    </row>
    <row r="46" spans="1:9" x14ac:dyDescent="0.2">
      <c r="A46" t="s">
        <v>105</v>
      </c>
      <c r="B46">
        <v>365</v>
      </c>
      <c r="C46">
        <v>148</v>
      </c>
      <c r="D46">
        <v>24</v>
      </c>
      <c r="E46">
        <v>0</v>
      </c>
      <c r="F46">
        <v>4314.8950121402704</v>
      </c>
      <c r="G46">
        <v>51</v>
      </c>
      <c r="H46">
        <v>10000</v>
      </c>
      <c r="I46" t="s">
        <v>240</v>
      </c>
    </row>
    <row r="47" spans="1:9" x14ac:dyDescent="0.2">
      <c r="A47" t="s">
        <v>106</v>
      </c>
      <c r="B47">
        <v>400</v>
      </c>
      <c r="C47">
        <v>162</v>
      </c>
      <c r="D47">
        <v>22</v>
      </c>
      <c r="E47">
        <v>0</v>
      </c>
      <c r="F47">
        <v>6549.8591089621104</v>
      </c>
      <c r="G47">
        <v>61</v>
      </c>
      <c r="H47">
        <v>10000</v>
      </c>
      <c r="I47" t="s">
        <v>241</v>
      </c>
    </row>
    <row r="48" spans="1:9" x14ac:dyDescent="0.2">
      <c r="A48" t="s">
        <v>107</v>
      </c>
      <c r="B48">
        <v>425</v>
      </c>
      <c r="C48">
        <v>172</v>
      </c>
      <c r="D48">
        <v>24</v>
      </c>
      <c r="E48">
        <v>0</v>
      </c>
      <c r="F48">
        <v>8132.7213249728002</v>
      </c>
      <c r="G48">
        <v>53</v>
      </c>
      <c r="H48">
        <v>10000</v>
      </c>
      <c r="I48" t="s">
        <v>242</v>
      </c>
    </row>
    <row r="49" spans="1:9" x14ac:dyDescent="0.2">
      <c r="A49" t="s">
        <v>108</v>
      </c>
      <c r="B49">
        <v>475</v>
      </c>
      <c r="C49">
        <v>192</v>
      </c>
      <c r="D49">
        <v>24</v>
      </c>
      <c r="E49">
        <v>0</v>
      </c>
      <c r="F49">
        <v>14463.094011195</v>
      </c>
      <c r="G49">
        <v>76</v>
      </c>
      <c r="H49">
        <v>10000</v>
      </c>
      <c r="I49" t="s">
        <v>243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0F65-B8CD-9B47-B167-6C9F071F03B6}">
  <dimension ref="A1:I49"/>
  <sheetViews>
    <sheetView workbookViewId="0">
      <selection activeCell="G1" sqref="G1"/>
    </sheetView>
  </sheetViews>
  <sheetFormatPr baseColWidth="10" defaultRowHeight="16" x14ac:dyDescent="0.2"/>
  <sheetData>
    <row r="1" spans="1:1" x14ac:dyDescent="0.2">
      <c r="A1" s="13" t="s">
        <v>0</v>
      </c>
    </row>
    <row r="2" spans="1:1" x14ac:dyDescent="0.2">
      <c r="A2" s="13" t="s">
        <v>1</v>
      </c>
    </row>
    <row r="3" spans="1:1" x14ac:dyDescent="0.2">
      <c r="A3" s="21" t="s">
        <v>80</v>
      </c>
    </row>
    <row r="4" spans="1:1" x14ac:dyDescent="0.2">
      <c r="A4" s="22" t="s">
        <v>2</v>
      </c>
    </row>
    <row r="5" spans="1:1" x14ac:dyDescent="0.2">
      <c r="A5" s="21" t="s">
        <v>31</v>
      </c>
    </row>
    <row r="6" spans="1:1" x14ac:dyDescent="0.2">
      <c r="A6" s="22" t="s">
        <v>4</v>
      </c>
    </row>
    <row r="7" spans="1:1" x14ac:dyDescent="0.2">
      <c r="A7" s="13" t="s">
        <v>30</v>
      </c>
    </row>
    <row r="8" spans="1:1" x14ac:dyDescent="0.2">
      <c r="A8" s="21" t="s">
        <v>5</v>
      </c>
    </row>
    <row r="9" spans="1:1" x14ac:dyDescent="0.2">
      <c r="A9" s="22" t="s">
        <v>6</v>
      </c>
    </row>
    <row r="10" spans="1:1" x14ac:dyDescent="0.2">
      <c r="A10" s="13" t="s">
        <v>7</v>
      </c>
    </row>
    <row r="11" spans="1:1" x14ac:dyDescent="0.2">
      <c r="A11" s="13" t="s">
        <v>8</v>
      </c>
    </row>
    <row r="12" spans="1:1" x14ac:dyDescent="0.2">
      <c r="A12" s="13" t="s">
        <v>9</v>
      </c>
    </row>
    <row r="13" spans="1:1" x14ac:dyDescent="0.2">
      <c r="A13" s="13" t="s">
        <v>10</v>
      </c>
    </row>
    <row r="14" spans="1:1" x14ac:dyDescent="0.2">
      <c r="A14" s="13" t="s">
        <v>11</v>
      </c>
    </row>
    <row r="15" spans="1:1" x14ac:dyDescent="0.2">
      <c r="A15" s="13" t="s">
        <v>12</v>
      </c>
    </row>
    <row r="16" spans="1:1" x14ac:dyDescent="0.2">
      <c r="A16" s="13" t="s">
        <v>13</v>
      </c>
    </row>
    <row r="17" spans="1:9" x14ac:dyDescent="0.2">
      <c r="A17" s="13" t="s">
        <v>14</v>
      </c>
    </row>
    <row r="18" spans="1:9" x14ac:dyDescent="0.2">
      <c r="A18" s="13" t="s">
        <v>15</v>
      </c>
    </row>
    <row r="19" spans="1:9" x14ac:dyDescent="0.2">
      <c r="A19" s="13" t="s">
        <v>16</v>
      </c>
    </row>
    <row r="20" spans="1:9" x14ac:dyDescent="0.2">
      <c r="A20" t="s">
        <v>17</v>
      </c>
    </row>
    <row r="21" spans="1:9" x14ac:dyDescent="0.2">
      <c r="A21" t="s">
        <v>32</v>
      </c>
    </row>
    <row r="22" spans="1:9" x14ac:dyDescent="0.2">
      <c r="A22" t="s">
        <v>18</v>
      </c>
    </row>
    <row r="23" spans="1:9" x14ac:dyDescent="0.2">
      <c r="A23" t="s">
        <v>33</v>
      </c>
    </row>
    <row r="24" spans="1:9" x14ac:dyDescent="0.2">
      <c r="A24" t="s">
        <v>34</v>
      </c>
    </row>
    <row r="25" spans="1:9" x14ac:dyDescent="0.2">
      <c r="A25" t="s">
        <v>35</v>
      </c>
    </row>
    <row r="26" spans="1:9" x14ac:dyDescent="0.2">
      <c r="A26" t="s">
        <v>36</v>
      </c>
    </row>
    <row r="27" spans="1:9" x14ac:dyDescent="0.2">
      <c r="A27" t="s">
        <v>37</v>
      </c>
    </row>
    <row r="28" spans="1:9" x14ac:dyDescent="0.2">
      <c r="A28" t="s">
        <v>109</v>
      </c>
    </row>
    <row r="29" spans="1:9" x14ac:dyDescent="0.2">
      <c r="A29" t="s">
        <v>19</v>
      </c>
    </row>
    <row r="30" spans="1:9" x14ac:dyDescent="0.2">
      <c r="A30" t="s">
        <v>20</v>
      </c>
      <c r="B30" t="s">
        <v>21</v>
      </c>
      <c r="C30" t="s">
        <v>22</v>
      </c>
      <c r="D30" t="s">
        <v>23</v>
      </c>
      <c r="E30" t="s">
        <v>24</v>
      </c>
      <c r="F30" t="s">
        <v>25</v>
      </c>
      <c r="G30" t="s">
        <v>26</v>
      </c>
      <c r="H30" t="s">
        <v>27</v>
      </c>
      <c r="I30" t="s">
        <v>28</v>
      </c>
    </row>
    <row r="31" spans="1:9" x14ac:dyDescent="0.2">
      <c r="A31" t="s">
        <v>82</v>
      </c>
      <c r="B31">
        <v>5</v>
      </c>
      <c r="C31">
        <v>4</v>
      </c>
      <c r="D31">
        <v>2</v>
      </c>
      <c r="E31">
        <v>0</v>
      </c>
      <c r="F31">
        <v>5.1459344499744404</v>
      </c>
      <c r="G31">
        <v>10000</v>
      </c>
      <c r="H31">
        <v>10000</v>
      </c>
      <c r="I31" t="s">
        <v>110</v>
      </c>
    </row>
    <row r="32" spans="1:9" x14ac:dyDescent="0.2">
      <c r="A32" t="s">
        <v>84</v>
      </c>
      <c r="B32">
        <v>20</v>
      </c>
      <c r="C32">
        <v>10</v>
      </c>
      <c r="D32">
        <v>4</v>
      </c>
      <c r="E32">
        <v>0</v>
      </c>
      <c r="F32">
        <v>12.9982169130817</v>
      </c>
      <c r="G32">
        <v>8807</v>
      </c>
      <c r="H32">
        <v>10000</v>
      </c>
      <c r="I32" t="s">
        <v>111</v>
      </c>
    </row>
    <row r="33" spans="1:9" x14ac:dyDescent="0.2">
      <c r="A33" t="s">
        <v>86</v>
      </c>
      <c r="B33">
        <v>35</v>
      </c>
      <c r="C33">
        <v>16</v>
      </c>
      <c r="D33">
        <v>6</v>
      </c>
      <c r="E33">
        <v>0</v>
      </c>
      <c r="F33">
        <v>26.532510214950801</v>
      </c>
      <c r="G33">
        <v>3589</v>
      </c>
      <c r="H33">
        <v>10000</v>
      </c>
      <c r="I33" t="s">
        <v>112</v>
      </c>
    </row>
    <row r="34" spans="1:9" x14ac:dyDescent="0.2">
      <c r="A34" t="s">
        <v>88</v>
      </c>
      <c r="B34">
        <v>50</v>
      </c>
      <c r="C34">
        <v>22</v>
      </c>
      <c r="D34">
        <v>8</v>
      </c>
      <c r="E34">
        <v>0</v>
      </c>
      <c r="F34">
        <v>39.325135034043299</v>
      </c>
      <c r="G34">
        <v>6022</v>
      </c>
      <c r="H34">
        <v>10000</v>
      </c>
      <c r="I34" t="s">
        <v>113</v>
      </c>
    </row>
    <row r="35" spans="1:9" x14ac:dyDescent="0.2">
      <c r="A35" t="s">
        <v>90</v>
      </c>
      <c r="B35">
        <v>65</v>
      </c>
      <c r="C35">
        <v>28</v>
      </c>
      <c r="D35">
        <v>10</v>
      </c>
      <c r="E35">
        <v>0</v>
      </c>
      <c r="F35">
        <v>28.440964700654099</v>
      </c>
      <c r="G35">
        <v>4672</v>
      </c>
      <c r="H35">
        <v>10000</v>
      </c>
      <c r="I35" t="s">
        <v>114</v>
      </c>
    </row>
    <row r="36" spans="1:9" x14ac:dyDescent="0.2">
      <c r="A36" t="s">
        <v>92</v>
      </c>
      <c r="B36">
        <v>80</v>
      </c>
      <c r="C36">
        <v>34</v>
      </c>
      <c r="D36">
        <v>12</v>
      </c>
      <c r="E36">
        <v>0</v>
      </c>
      <c r="F36">
        <v>37.902332155033903</v>
      </c>
      <c r="G36">
        <v>2599</v>
      </c>
      <c r="H36">
        <v>10000</v>
      </c>
      <c r="I36" t="s">
        <v>115</v>
      </c>
    </row>
    <row r="37" spans="1:9" x14ac:dyDescent="0.2">
      <c r="A37" t="s">
        <v>94</v>
      </c>
      <c r="B37">
        <v>105</v>
      </c>
      <c r="C37">
        <v>44</v>
      </c>
      <c r="D37">
        <v>16</v>
      </c>
      <c r="E37">
        <v>0</v>
      </c>
      <c r="F37">
        <v>58.296927159186403</v>
      </c>
      <c r="G37">
        <v>2728</v>
      </c>
      <c r="H37">
        <v>10000</v>
      </c>
      <c r="I37" t="s">
        <v>116</v>
      </c>
    </row>
    <row r="38" spans="1:9" x14ac:dyDescent="0.2">
      <c r="A38" t="s">
        <v>96</v>
      </c>
      <c r="B38">
        <v>150</v>
      </c>
      <c r="C38">
        <v>62</v>
      </c>
      <c r="D38">
        <v>16</v>
      </c>
      <c r="E38">
        <v>0</v>
      </c>
      <c r="F38">
        <v>142.73461209191001</v>
      </c>
      <c r="G38">
        <v>562</v>
      </c>
      <c r="H38">
        <v>10000</v>
      </c>
      <c r="I38" t="s">
        <v>117</v>
      </c>
    </row>
    <row r="39" spans="1:9" x14ac:dyDescent="0.2">
      <c r="A39" t="s">
        <v>98</v>
      </c>
      <c r="B39">
        <v>155</v>
      </c>
      <c r="C39">
        <v>64</v>
      </c>
      <c r="D39">
        <v>20</v>
      </c>
      <c r="E39">
        <v>0</v>
      </c>
      <c r="F39">
        <v>185.165068866219</v>
      </c>
      <c r="G39">
        <v>774</v>
      </c>
      <c r="H39">
        <v>10000</v>
      </c>
      <c r="I39" t="s">
        <v>118</v>
      </c>
    </row>
    <row r="40" spans="1:9" x14ac:dyDescent="0.2">
      <c r="A40" t="s">
        <v>99</v>
      </c>
      <c r="B40">
        <v>210</v>
      </c>
      <c r="C40">
        <v>86</v>
      </c>
      <c r="D40">
        <v>24</v>
      </c>
      <c r="E40">
        <v>0</v>
      </c>
      <c r="F40">
        <v>450.36113356379701</v>
      </c>
      <c r="G40">
        <v>116</v>
      </c>
      <c r="H40">
        <v>10000</v>
      </c>
      <c r="I40" t="s">
        <v>119</v>
      </c>
    </row>
    <row r="41" spans="1:9" x14ac:dyDescent="0.2">
      <c r="A41" t="s">
        <v>100</v>
      </c>
      <c r="B41">
        <v>260</v>
      </c>
      <c r="C41">
        <v>106</v>
      </c>
      <c r="D41">
        <v>22</v>
      </c>
      <c r="E41">
        <v>0</v>
      </c>
      <c r="F41">
        <v>987.60662212129603</v>
      </c>
      <c r="G41">
        <v>38</v>
      </c>
      <c r="H41">
        <v>10000</v>
      </c>
      <c r="I41" t="s">
        <v>120</v>
      </c>
    </row>
    <row r="42" spans="1:9" x14ac:dyDescent="0.2">
      <c r="A42" t="s">
        <v>101</v>
      </c>
      <c r="B42">
        <v>290</v>
      </c>
      <c r="C42">
        <v>118</v>
      </c>
      <c r="D42">
        <v>20</v>
      </c>
      <c r="E42">
        <v>0</v>
      </c>
      <c r="F42">
        <v>1711.2587923589099</v>
      </c>
      <c r="G42">
        <v>58</v>
      </c>
      <c r="H42">
        <v>10000</v>
      </c>
      <c r="I42" t="s">
        <v>121</v>
      </c>
    </row>
    <row r="43" spans="1:9" x14ac:dyDescent="0.2">
      <c r="A43" t="s">
        <v>102</v>
      </c>
      <c r="B43">
        <v>300</v>
      </c>
      <c r="C43">
        <v>122</v>
      </c>
      <c r="D43">
        <v>20</v>
      </c>
      <c r="E43">
        <v>0</v>
      </c>
      <c r="F43">
        <v>1987.2127914400701</v>
      </c>
      <c r="G43">
        <v>98</v>
      </c>
      <c r="H43">
        <v>10000</v>
      </c>
      <c r="I43" t="s">
        <v>122</v>
      </c>
    </row>
    <row r="44" spans="1:9" x14ac:dyDescent="0.2">
      <c r="A44" t="s">
        <v>103</v>
      </c>
      <c r="B44">
        <v>305</v>
      </c>
      <c r="C44">
        <v>124</v>
      </c>
      <c r="D44">
        <v>24</v>
      </c>
      <c r="E44">
        <v>0</v>
      </c>
      <c r="F44">
        <v>2132.0759282768699</v>
      </c>
      <c r="G44">
        <v>55</v>
      </c>
      <c r="H44">
        <v>10000</v>
      </c>
      <c r="I44" t="s">
        <v>123</v>
      </c>
    </row>
    <row r="45" spans="1:9" x14ac:dyDescent="0.2">
      <c r="A45" t="s">
        <v>104</v>
      </c>
      <c r="B45">
        <v>335</v>
      </c>
      <c r="C45">
        <v>136</v>
      </c>
      <c r="D45">
        <v>22</v>
      </c>
      <c r="E45">
        <v>0</v>
      </c>
      <c r="F45">
        <v>3104.4773307330902</v>
      </c>
      <c r="G45">
        <v>44</v>
      </c>
      <c r="H45">
        <v>10000</v>
      </c>
      <c r="I45" t="s">
        <v>124</v>
      </c>
    </row>
    <row r="46" spans="1:9" x14ac:dyDescent="0.2">
      <c r="A46" t="s">
        <v>105</v>
      </c>
      <c r="B46">
        <v>365</v>
      </c>
      <c r="C46">
        <v>148</v>
      </c>
      <c r="D46">
        <v>24</v>
      </c>
      <c r="E46">
        <v>0</v>
      </c>
      <c r="F46">
        <v>4653.4384094816596</v>
      </c>
      <c r="G46">
        <v>53</v>
      </c>
      <c r="H46">
        <v>10000</v>
      </c>
      <c r="I46" t="s">
        <v>125</v>
      </c>
    </row>
    <row r="47" spans="1:9" x14ac:dyDescent="0.2">
      <c r="A47" t="s">
        <v>106</v>
      </c>
      <c r="B47">
        <v>400</v>
      </c>
      <c r="C47">
        <v>162</v>
      </c>
      <c r="D47">
        <v>22</v>
      </c>
      <c r="E47">
        <v>0</v>
      </c>
      <c r="F47">
        <v>6788.8033469519496</v>
      </c>
      <c r="G47">
        <v>57</v>
      </c>
      <c r="H47">
        <v>10000</v>
      </c>
      <c r="I47" t="s">
        <v>126</v>
      </c>
    </row>
    <row r="48" spans="1:9" x14ac:dyDescent="0.2">
      <c r="A48" t="s">
        <v>107</v>
      </c>
      <c r="B48">
        <v>425</v>
      </c>
      <c r="C48">
        <v>172</v>
      </c>
      <c r="D48">
        <v>24</v>
      </c>
      <c r="E48">
        <v>0</v>
      </c>
      <c r="F48">
        <v>9144.0826037553998</v>
      </c>
      <c r="G48">
        <v>47</v>
      </c>
      <c r="H48">
        <v>10000</v>
      </c>
      <c r="I48" t="s">
        <v>127</v>
      </c>
    </row>
    <row r="49" spans="1:9" x14ac:dyDescent="0.2">
      <c r="A49" t="s">
        <v>108</v>
      </c>
      <c r="B49">
        <v>475</v>
      </c>
      <c r="C49">
        <v>192</v>
      </c>
      <c r="D49">
        <v>24</v>
      </c>
      <c r="E49">
        <v>0</v>
      </c>
      <c r="F49">
        <v>14921.935174587599</v>
      </c>
      <c r="G49">
        <v>85</v>
      </c>
      <c r="H49">
        <v>10000</v>
      </c>
      <c r="I49" t="s">
        <v>128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8FC68-421A-A549-91BF-87D22664C974}">
  <dimension ref="A1:I29"/>
  <sheetViews>
    <sheetView workbookViewId="0">
      <selection activeCell="F8" sqref="F8"/>
    </sheetView>
  </sheetViews>
  <sheetFormatPr baseColWidth="10" defaultRowHeight="16" x14ac:dyDescent="0.2"/>
  <sheetData>
    <row r="1" spans="1:1" x14ac:dyDescent="0.2">
      <c r="A1" s="13" t="s">
        <v>0</v>
      </c>
    </row>
    <row r="2" spans="1:1" x14ac:dyDescent="0.2">
      <c r="A2" s="13" t="s">
        <v>1</v>
      </c>
    </row>
    <row r="3" spans="1:1" x14ac:dyDescent="0.2">
      <c r="A3" s="21" t="s">
        <v>80</v>
      </c>
    </row>
    <row r="4" spans="1:1" x14ac:dyDescent="0.2">
      <c r="A4" s="22" t="s">
        <v>2</v>
      </c>
    </row>
    <row r="5" spans="1:1" x14ac:dyDescent="0.2">
      <c r="A5" s="21" t="s">
        <v>38</v>
      </c>
    </row>
    <row r="6" spans="1:1" x14ac:dyDescent="0.2">
      <c r="A6" s="22" t="s">
        <v>4</v>
      </c>
    </row>
    <row r="7" spans="1:1" x14ac:dyDescent="0.2">
      <c r="A7" s="13" t="s">
        <v>30</v>
      </c>
    </row>
    <row r="8" spans="1:1" x14ac:dyDescent="0.2">
      <c r="A8" s="21" t="s">
        <v>5</v>
      </c>
    </row>
    <row r="9" spans="1:1" x14ac:dyDescent="0.2">
      <c r="A9" s="22" t="s">
        <v>6</v>
      </c>
    </row>
    <row r="10" spans="1:1" x14ac:dyDescent="0.2">
      <c r="A10" s="13" t="s">
        <v>7</v>
      </c>
    </row>
    <row r="11" spans="1:1" x14ac:dyDescent="0.2">
      <c r="A11" s="13" t="s">
        <v>8</v>
      </c>
    </row>
    <row r="12" spans="1:1" x14ac:dyDescent="0.2">
      <c r="A12" s="13" t="s">
        <v>9</v>
      </c>
    </row>
    <row r="13" spans="1:1" x14ac:dyDescent="0.2">
      <c r="A13" s="13" t="s">
        <v>10</v>
      </c>
    </row>
    <row r="14" spans="1:1" x14ac:dyDescent="0.2">
      <c r="A14" s="13" t="s">
        <v>11</v>
      </c>
    </row>
    <row r="15" spans="1:1" x14ac:dyDescent="0.2">
      <c r="A15" s="13" t="s">
        <v>12</v>
      </c>
    </row>
    <row r="16" spans="1:1" x14ac:dyDescent="0.2">
      <c r="A16" s="13" t="s">
        <v>13</v>
      </c>
    </row>
    <row r="17" spans="1:9" x14ac:dyDescent="0.2">
      <c r="A17" s="13" t="s">
        <v>14</v>
      </c>
    </row>
    <row r="18" spans="1:9" x14ac:dyDescent="0.2">
      <c r="A18" s="13" t="s">
        <v>15</v>
      </c>
    </row>
    <row r="19" spans="1:9" x14ac:dyDescent="0.2">
      <c r="A19" s="13" t="s">
        <v>16</v>
      </c>
    </row>
    <row r="20" spans="1:9" x14ac:dyDescent="0.2">
      <c r="A20" t="s">
        <v>17</v>
      </c>
    </row>
    <row r="21" spans="1:9" x14ac:dyDescent="0.2">
      <c r="A21" t="s">
        <v>18</v>
      </c>
    </row>
    <row r="22" spans="1:9" x14ac:dyDescent="0.2">
      <c r="A22" t="s">
        <v>129</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82</v>
      </c>
      <c r="B25">
        <v>5</v>
      </c>
      <c r="C25">
        <v>4</v>
      </c>
      <c r="D25">
        <v>2</v>
      </c>
      <c r="E25">
        <v>0</v>
      </c>
      <c r="F25">
        <v>0.10861562239006101</v>
      </c>
      <c r="G25">
        <v>1</v>
      </c>
      <c r="H25">
        <v>1</v>
      </c>
      <c r="I25" t="s">
        <v>130</v>
      </c>
    </row>
    <row r="26" spans="1:9" x14ac:dyDescent="0.2">
      <c r="A26" t="s">
        <v>84</v>
      </c>
      <c r="B26">
        <v>20</v>
      </c>
      <c r="C26">
        <v>10</v>
      </c>
      <c r="D26">
        <v>4</v>
      </c>
      <c r="E26">
        <v>0</v>
      </c>
      <c r="F26">
        <v>4.8635032027959803E-2</v>
      </c>
      <c r="G26">
        <v>1</v>
      </c>
      <c r="H26">
        <v>1</v>
      </c>
      <c r="I26" t="s">
        <v>131</v>
      </c>
    </row>
    <row r="27" spans="1:9" x14ac:dyDescent="0.2">
      <c r="A27" t="s">
        <v>86</v>
      </c>
      <c r="B27">
        <v>35</v>
      </c>
      <c r="C27">
        <v>16</v>
      </c>
      <c r="D27">
        <v>6</v>
      </c>
      <c r="E27">
        <v>0</v>
      </c>
      <c r="F27">
        <v>7.6387524604797294E-2</v>
      </c>
      <c r="G27">
        <v>1</v>
      </c>
      <c r="H27">
        <v>1</v>
      </c>
      <c r="I27" t="s">
        <v>132</v>
      </c>
    </row>
    <row r="28" spans="1:9" x14ac:dyDescent="0.2">
      <c r="A28" t="s">
        <v>88</v>
      </c>
      <c r="B28">
        <v>50</v>
      </c>
      <c r="C28">
        <v>22</v>
      </c>
      <c r="D28">
        <v>8</v>
      </c>
      <c r="E28">
        <v>0</v>
      </c>
      <c r="F28">
        <v>0.54214694537222297</v>
      </c>
      <c r="G28">
        <v>1</v>
      </c>
      <c r="H28">
        <v>1</v>
      </c>
      <c r="I28" t="s">
        <v>133</v>
      </c>
    </row>
    <row r="29" spans="1:9" x14ac:dyDescent="0.2">
      <c r="A29" t="s">
        <v>90</v>
      </c>
      <c r="B29">
        <v>65</v>
      </c>
      <c r="C29">
        <v>28</v>
      </c>
      <c r="D29">
        <v>10</v>
      </c>
      <c r="E29">
        <v>0</v>
      </c>
      <c r="F29">
        <v>146.170281088911</v>
      </c>
      <c r="G29">
        <v>1</v>
      </c>
      <c r="H29">
        <v>1</v>
      </c>
      <c r="I29"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6690F-B507-BA45-A5ED-0B371CE5FC7B}">
  <dimension ref="A1:I43"/>
  <sheetViews>
    <sheetView topLeftCell="A4" workbookViewId="0">
      <selection activeCell="F29" sqref="F29"/>
    </sheetView>
  </sheetViews>
  <sheetFormatPr baseColWidth="10" defaultRowHeight="16" x14ac:dyDescent="0.2"/>
  <sheetData>
    <row r="1" spans="1:1" x14ac:dyDescent="0.2">
      <c r="A1" s="13" t="s">
        <v>0</v>
      </c>
    </row>
    <row r="2" spans="1:1" x14ac:dyDescent="0.2">
      <c r="A2" s="13" t="s">
        <v>1</v>
      </c>
    </row>
    <row r="3" spans="1:1" x14ac:dyDescent="0.2">
      <c r="A3" s="21" t="s">
        <v>80</v>
      </c>
    </row>
    <row r="4" spans="1:1" x14ac:dyDescent="0.2">
      <c r="A4" s="22" t="s">
        <v>2</v>
      </c>
    </row>
    <row r="5" spans="1:1" x14ac:dyDescent="0.2">
      <c r="A5" s="21" t="s">
        <v>38</v>
      </c>
    </row>
    <row r="6" spans="1:1" x14ac:dyDescent="0.2">
      <c r="A6" s="22" t="s">
        <v>4</v>
      </c>
    </row>
    <row r="7" spans="1:1" x14ac:dyDescent="0.2">
      <c r="A7" s="13" t="s">
        <v>30</v>
      </c>
    </row>
    <row r="8" spans="1:1" x14ac:dyDescent="0.2">
      <c r="A8" s="21" t="s">
        <v>5</v>
      </c>
    </row>
    <row r="9" spans="1:1" x14ac:dyDescent="0.2">
      <c r="A9" s="22" t="s">
        <v>6</v>
      </c>
    </row>
    <row r="10" spans="1:1" x14ac:dyDescent="0.2">
      <c r="A10" s="13" t="s">
        <v>7</v>
      </c>
    </row>
    <row r="11" spans="1:1" x14ac:dyDescent="0.2">
      <c r="A11" s="13" t="s">
        <v>8</v>
      </c>
    </row>
    <row r="12" spans="1:1" x14ac:dyDescent="0.2">
      <c r="A12" s="13" t="s">
        <v>9</v>
      </c>
    </row>
    <row r="13" spans="1:1" x14ac:dyDescent="0.2">
      <c r="A13" s="13" t="s">
        <v>10</v>
      </c>
    </row>
    <row r="14" spans="1:1" x14ac:dyDescent="0.2">
      <c r="A14" s="13" t="s">
        <v>11</v>
      </c>
    </row>
    <row r="15" spans="1:1" x14ac:dyDescent="0.2">
      <c r="A15" s="13" t="s">
        <v>12</v>
      </c>
    </row>
    <row r="16" spans="1:1" x14ac:dyDescent="0.2">
      <c r="A16" s="13" t="s">
        <v>13</v>
      </c>
    </row>
    <row r="17" spans="1:9" x14ac:dyDescent="0.2">
      <c r="A17" s="13" t="s">
        <v>14</v>
      </c>
    </row>
    <row r="18" spans="1:9" x14ac:dyDescent="0.2">
      <c r="A18" s="13" t="s">
        <v>15</v>
      </c>
    </row>
    <row r="19" spans="1:9" x14ac:dyDescent="0.2">
      <c r="A19" s="13" t="s">
        <v>16</v>
      </c>
    </row>
    <row r="20" spans="1:9" x14ac:dyDescent="0.2">
      <c r="A20" t="s">
        <v>281</v>
      </c>
    </row>
    <row r="21" spans="1:9" x14ac:dyDescent="0.2">
      <c r="A21" t="s">
        <v>18</v>
      </c>
    </row>
    <row r="22" spans="1:9" x14ac:dyDescent="0.2">
      <c r="A22" t="s">
        <v>282</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82</v>
      </c>
      <c r="B25">
        <v>5</v>
      </c>
      <c r="C25">
        <v>4</v>
      </c>
      <c r="D25">
        <v>2</v>
      </c>
      <c r="E25">
        <v>0</v>
      </c>
      <c r="F25">
        <v>8.0840795000000298E-2</v>
      </c>
      <c r="G25">
        <v>1</v>
      </c>
      <c r="H25">
        <v>1</v>
      </c>
      <c r="I25" t="s">
        <v>283</v>
      </c>
    </row>
    <row r="26" spans="1:9" x14ac:dyDescent="0.2">
      <c r="A26" t="s">
        <v>84</v>
      </c>
      <c r="B26">
        <v>20</v>
      </c>
      <c r="C26">
        <v>10</v>
      </c>
      <c r="D26">
        <v>4</v>
      </c>
      <c r="E26">
        <v>0</v>
      </c>
      <c r="F26">
        <v>8.0212479000010703E-2</v>
      </c>
      <c r="G26">
        <v>1</v>
      </c>
      <c r="H26">
        <v>1</v>
      </c>
      <c r="I26" t="s">
        <v>284</v>
      </c>
    </row>
    <row r="27" spans="1:9" x14ac:dyDescent="0.2">
      <c r="A27" t="s">
        <v>86</v>
      </c>
      <c r="B27">
        <v>35</v>
      </c>
      <c r="C27">
        <v>16</v>
      </c>
      <c r="D27">
        <v>6</v>
      </c>
      <c r="E27">
        <v>0</v>
      </c>
      <c r="F27">
        <v>0.10326962399997699</v>
      </c>
      <c r="G27">
        <v>1</v>
      </c>
      <c r="H27">
        <v>1</v>
      </c>
      <c r="I27" t="s">
        <v>285</v>
      </c>
    </row>
    <row r="28" spans="1:9" x14ac:dyDescent="0.2">
      <c r="A28" t="s">
        <v>88</v>
      </c>
      <c r="B28">
        <v>50</v>
      </c>
      <c r="C28">
        <v>22</v>
      </c>
      <c r="D28">
        <v>8</v>
      </c>
      <c r="E28">
        <v>0</v>
      </c>
      <c r="F28">
        <v>0.87494594700001405</v>
      </c>
      <c r="G28">
        <v>1</v>
      </c>
      <c r="H28">
        <v>1</v>
      </c>
      <c r="I28" t="s">
        <v>286</v>
      </c>
    </row>
    <row r="29" spans="1:9" x14ac:dyDescent="0.2">
      <c r="A29" t="s">
        <v>90</v>
      </c>
      <c r="B29">
        <v>65</v>
      </c>
      <c r="C29">
        <v>28</v>
      </c>
      <c r="D29">
        <v>10</v>
      </c>
      <c r="E29">
        <v>0</v>
      </c>
      <c r="F29">
        <v>491.87667527100001</v>
      </c>
      <c r="G29">
        <v>1</v>
      </c>
      <c r="H29">
        <v>1</v>
      </c>
      <c r="I29" t="s">
        <v>287</v>
      </c>
    </row>
    <row r="30" spans="1:9" x14ac:dyDescent="0.2">
      <c r="A30" t="s">
        <v>92</v>
      </c>
      <c r="B30">
        <v>80</v>
      </c>
      <c r="C30">
        <v>34</v>
      </c>
      <c r="D30">
        <v>0</v>
      </c>
      <c r="E30">
        <v>-12</v>
      </c>
      <c r="F30">
        <v>28800.128199480001</v>
      </c>
      <c r="G30">
        <v>1</v>
      </c>
      <c r="H30">
        <v>1</v>
      </c>
    </row>
    <row r="31" spans="1:9" x14ac:dyDescent="0.2">
      <c r="A31" t="s">
        <v>94</v>
      </c>
      <c r="B31">
        <v>105</v>
      </c>
      <c r="C31">
        <v>44</v>
      </c>
      <c r="D31">
        <v>0</v>
      </c>
      <c r="E31">
        <v>-16</v>
      </c>
      <c r="F31">
        <v>28801.129954209999</v>
      </c>
      <c r="G31">
        <v>1</v>
      </c>
      <c r="H31">
        <v>1</v>
      </c>
    </row>
    <row r="32" spans="1:9" x14ac:dyDescent="0.2">
      <c r="A32" t="s">
        <v>96</v>
      </c>
      <c r="B32">
        <v>150</v>
      </c>
      <c r="C32">
        <v>62</v>
      </c>
      <c r="D32">
        <v>0</v>
      </c>
      <c r="E32">
        <v>-16</v>
      </c>
      <c r="F32">
        <v>28801.275981430001</v>
      </c>
      <c r="G32">
        <v>1</v>
      </c>
      <c r="H32">
        <v>1</v>
      </c>
    </row>
    <row r="33" spans="1:8" x14ac:dyDescent="0.2">
      <c r="A33" t="s">
        <v>98</v>
      </c>
      <c r="B33">
        <v>155</v>
      </c>
      <c r="C33">
        <v>64</v>
      </c>
      <c r="D33">
        <v>0</v>
      </c>
      <c r="E33">
        <v>-20</v>
      </c>
      <c r="F33">
        <v>28800.1701878639</v>
      </c>
      <c r="G33">
        <v>1</v>
      </c>
      <c r="H33">
        <v>1</v>
      </c>
    </row>
    <row r="34" spans="1:8" x14ac:dyDescent="0.2">
      <c r="A34" t="s">
        <v>99</v>
      </c>
      <c r="B34">
        <v>210</v>
      </c>
      <c r="C34">
        <v>86</v>
      </c>
      <c r="D34">
        <v>0</v>
      </c>
      <c r="E34">
        <v>-24</v>
      </c>
      <c r="F34">
        <v>28800.133111497002</v>
      </c>
      <c r="G34">
        <v>1</v>
      </c>
      <c r="H34">
        <v>1</v>
      </c>
    </row>
    <row r="35" spans="1:8" x14ac:dyDescent="0.2">
      <c r="A35" t="s">
        <v>100</v>
      </c>
      <c r="B35">
        <v>260</v>
      </c>
      <c r="C35">
        <v>106</v>
      </c>
      <c r="D35">
        <v>0</v>
      </c>
      <c r="E35">
        <v>-22</v>
      </c>
      <c r="F35">
        <v>28801.5275958403</v>
      </c>
      <c r="G35">
        <v>1</v>
      </c>
      <c r="H35">
        <v>1</v>
      </c>
    </row>
    <row r="36" spans="1:8" x14ac:dyDescent="0.2">
      <c r="A36" t="s">
        <v>101</v>
      </c>
      <c r="B36">
        <v>290</v>
      </c>
      <c r="C36">
        <v>118</v>
      </c>
      <c r="D36">
        <v>0</v>
      </c>
      <c r="E36">
        <v>-20</v>
      </c>
      <c r="F36">
        <v>28800.1308175995</v>
      </c>
      <c r="G36">
        <v>1</v>
      </c>
      <c r="H36">
        <v>1</v>
      </c>
    </row>
    <row r="37" spans="1:8" x14ac:dyDescent="0.2">
      <c r="A37" t="s">
        <v>102</v>
      </c>
      <c r="B37">
        <v>300</v>
      </c>
      <c r="C37">
        <v>122</v>
      </c>
      <c r="D37">
        <v>0</v>
      </c>
      <c r="E37">
        <v>-20</v>
      </c>
      <c r="F37">
        <v>28800.1285071149</v>
      </c>
      <c r="G37">
        <v>1</v>
      </c>
      <c r="H37">
        <v>1</v>
      </c>
    </row>
    <row r="38" spans="1:8" x14ac:dyDescent="0.2">
      <c r="A38" t="s">
        <v>103</v>
      </c>
      <c r="B38">
        <v>305</v>
      </c>
      <c r="C38">
        <v>124</v>
      </c>
      <c r="D38">
        <v>0</v>
      </c>
      <c r="E38">
        <v>-24</v>
      </c>
      <c r="F38">
        <v>28800.393831215799</v>
      </c>
      <c r="G38">
        <v>1</v>
      </c>
      <c r="H38">
        <v>1</v>
      </c>
    </row>
    <row r="39" spans="1:8" x14ac:dyDescent="0.2">
      <c r="A39" t="s">
        <v>104</v>
      </c>
      <c r="B39">
        <v>335</v>
      </c>
      <c r="C39">
        <v>136</v>
      </c>
      <c r="D39">
        <v>0</v>
      </c>
      <c r="E39">
        <v>-22</v>
      </c>
      <c r="F39">
        <v>28800.148000299901</v>
      </c>
      <c r="G39">
        <v>1</v>
      </c>
      <c r="H39">
        <v>1</v>
      </c>
    </row>
    <row r="40" spans="1:8" x14ac:dyDescent="0.2">
      <c r="A40" t="s">
        <v>105</v>
      </c>
      <c r="B40">
        <v>365</v>
      </c>
      <c r="C40">
        <v>148</v>
      </c>
      <c r="D40">
        <v>0</v>
      </c>
      <c r="E40">
        <v>-24</v>
      </c>
      <c r="F40">
        <v>28800.210126828399</v>
      </c>
      <c r="G40">
        <v>1</v>
      </c>
      <c r="H40">
        <v>1</v>
      </c>
    </row>
    <row r="41" spans="1:8" x14ac:dyDescent="0.2">
      <c r="A41" t="s">
        <v>106</v>
      </c>
      <c r="B41">
        <v>400</v>
      </c>
      <c r="C41">
        <v>162</v>
      </c>
      <c r="D41">
        <v>0</v>
      </c>
      <c r="E41">
        <v>-22</v>
      </c>
      <c r="F41">
        <v>28800.943079820801</v>
      </c>
      <c r="G41">
        <v>1</v>
      </c>
      <c r="H41">
        <v>1</v>
      </c>
    </row>
    <row r="42" spans="1:8" x14ac:dyDescent="0.2">
      <c r="A42" t="s">
        <v>107</v>
      </c>
      <c r="B42">
        <v>425</v>
      </c>
      <c r="C42">
        <v>172</v>
      </c>
      <c r="D42">
        <v>0</v>
      </c>
      <c r="E42">
        <v>-24</v>
      </c>
      <c r="F42">
        <v>28800.266793955099</v>
      </c>
      <c r="G42">
        <v>1</v>
      </c>
      <c r="H42">
        <v>1</v>
      </c>
    </row>
    <row r="43" spans="1:8" x14ac:dyDescent="0.2">
      <c r="A43" t="s">
        <v>108</v>
      </c>
      <c r="B43">
        <v>475</v>
      </c>
      <c r="C43">
        <v>192</v>
      </c>
      <c r="D43">
        <v>0</v>
      </c>
      <c r="E43">
        <v>-24</v>
      </c>
      <c r="F43">
        <v>28801.794830659401</v>
      </c>
      <c r="G43">
        <v>1</v>
      </c>
      <c r="H43">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12EBB-33A2-B84B-82E4-598367A80FA7}">
  <dimension ref="A1:I43"/>
  <sheetViews>
    <sheetView workbookViewId="0">
      <selection activeCell="F1" sqref="F1"/>
    </sheetView>
  </sheetViews>
  <sheetFormatPr baseColWidth="10" defaultRowHeight="16" x14ac:dyDescent="0.2"/>
  <sheetData>
    <row r="1" spans="1:1" x14ac:dyDescent="0.2">
      <c r="A1" s="13" t="s">
        <v>0</v>
      </c>
    </row>
    <row r="2" spans="1:1" x14ac:dyDescent="0.2">
      <c r="A2" s="13" t="s">
        <v>1</v>
      </c>
    </row>
    <row r="3" spans="1:1" x14ac:dyDescent="0.2">
      <c r="A3" s="21" t="s">
        <v>80</v>
      </c>
    </row>
    <row r="4" spans="1:1" x14ac:dyDescent="0.2">
      <c r="A4" s="22" t="s">
        <v>2</v>
      </c>
    </row>
    <row r="5" spans="1:1" x14ac:dyDescent="0.2">
      <c r="A5" s="21" t="s">
        <v>39</v>
      </c>
    </row>
    <row r="6" spans="1:1" x14ac:dyDescent="0.2">
      <c r="A6" s="22" t="s">
        <v>4</v>
      </c>
    </row>
    <row r="7" spans="1:1" x14ac:dyDescent="0.2">
      <c r="A7" s="13" t="s">
        <v>30</v>
      </c>
    </row>
    <row r="8" spans="1:1" x14ac:dyDescent="0.2">
      <c r="A8" s="21" t="s">
        <v>5</v>
      </c>
    </row>
    <row r="9" spans="1:1" x14ac:dyDescent="0.2">
      <c r="A9" s="22" t="s">
        <v>6</v>
      </c>
    </row>
    <row r="10" spans="1:1" x14ac:dyDescent="0.2">
      <c r="A10" s="13" t="s">
        <v>7</v>
      </c>
    </row>
    <row r="11" spans="1:1" x14ac:dyDescent="0.2">
      <c r="A11" s="13" t="s">
        <v>8</v>
      </c>
    </row>
    <row r="12" spans="1:1" x14ac:dyDescent="0.2">
      <c r="A12" s="13" t="s">
        <v>9</v>
      </c>
    </row>
    <row r="13" spans="1:1" x14ac:dyDescent="0.2">
      <c r="A13" s="13" t="s">
        <v>10</v>
      </c>
    </row>
    <row r="14" spans="1:1" x14ac:dyDescent="0.2">
      <c r="A14" s="13" t="s">
        <v>11</v>
      </c>
    </row>
    <row r="15" spans="1:1" x14ac:dyDescent="0.2">
      <c r="A15" s="13" t="s">
        <v>12</v>
      </c>
    </row>
    <row r="16" spans="1:1" x14ac:dyDescent="0.2">
      <c r="A16" s="13" t="s">
        <v>13</v>
      </c>
    </row>
    <row r="17" spans="1:9" x14ac:dyDescent="0.2">
      <c r="A17" s="13" t="s">
        <v>14</v>
      </c>
    </row>
    <row r="18" spans="1:9" x14ac:dyDescent="0.2">
      <c r="A18" s="13" t="s">
        <v>15</v>
      </c>
    </row>
    <row r="19" spans="1:9" x14ac:dyDescent="0.2">
      <c r="A19" s="13" t="s">
        <v>16</v>
      </c>
    </row>
    <row r="20" spans="1:9" x14ac:dyDescent="0.2">
      <c r="A20" t="s">
        <v>17</v>
      </c>
    </row>
    <row r="21" spans="1:9" x14ac:dyDescent="0.2">
      <c r="A21" t="s">
        <v>18</v>
      </c>
    </row>
    <row r="22" spans="1:9" x14ac:dyDescent="0.2">
      <c r="A22" t="s">
        <v>135</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82</v>
      </c>
      <c r="B25">
        <v>5</v>
      </c>
      <c r="C25">
        <v>4</v>
      </c>
      <c r="D25">
        <v>2</v>
      </c>
      <c r="E25">
        <v>0</v>
      </c>
      <c r="F25">
        <v>1.7751207109540701E-2</v>
      </c>
      <c r="G25">
        <v>1</v>
      </c>
      <c r="H25">
        <v>1</v>
      </c>
      <c r="I25" t="s">
        <v>136</v>
      </c>
    </row>
    <row r="26" spans="1:9" x14ac:dyDescent="0.2">
      <c r="A26" t="s">
        <v>84</v>
      </c>
      <c r="B26">
        <v>20</v>
      </c>
      <c r="C26">
        <v>10</v>
      </c>
      <c r="D26">
        <v>4</v>
      </c>
      <c r="E26">
        <v>0</v>
      </c>
      <c r="F26">
        <v>3.2014368567615699E-2</v>
      </c>
      <c r="G26">
        <v>1</v>
      </c>
      <c r="H26">
        <v>1</v>
      </c>
      <c r="I26" t="s">
        <v>137</v>
      </c>
    </row>
    <row r="27" spans="1:9" x14ac:dyDescent="0.2">
      <c r="A27" t="s">
        <v>86</v>
      </c>
      <c r="B27">
        <v>35</v>
      </c>
      <c r="C27">
        <v>16</v>
      </c>
      <c r="D27">
        <v>6</v>
      </c>
      <c r="E27">
        <v>0</v>
      </c>
      <c r="F27">
        <v>5.8088800404220799E-2</v>
      </c>
      <c r="G27">
        <v>1</v>
      </c>
      <c r="H27">
        <v>1</v>
      </c>
      <c r="I27" t="s">
        <v>138</v>
      </c>
    </row>
    <row r="28" spans="1:9" x14ac:dyDescent="0.2">
      <c r="A28" t="s">
        <v>88</v>
      </c>
      <c r="B28">
        <v>50</v>
      </c>
      <c r="C28">
        <v>22</v>
      </c>
      <c r="D28">
        <v>8</v>
      </c>
      <c r="E28">
        <v>0</v>
      </c>
      <c r="F28">
        <v>8.7563758715987206E-2</v>
      </c>
      <c r="G28">
        <v>1</v>
      </c>
      <c r="H28">
        <v>1</v>
      </c>
      <c r="I28" t="s">
        <v>139</v>
      </c>
    </row>
    <row r="29" spans="1:9" x14ac:dyDescent="0.2">
      <c r="A29" t="s">
        <v>90</v>
      </c>
      <c r="B29">
        <v>65</v>
      </c>
      <c r="C29">
        <v>28</v>
      </c>
      <c r="D29">
        <v>10</v>
      </c>
      <c r="E29">
        <v>0</v>
      </c>
      <c r="F29">
        <v>0.16385021014139001</v>
      </c>
      <c r="G29">
        <v>1</v>
      </c>
      <c r="H29">
        <v>1</v>
      </c>
      <c r="I29" t="s">
        <v>140</v>
      </c>
    </row>
    <row r="30" spans="1:9" x14ac:dyDescent="0.2">
      <c r="A30" t="s">
        <v>92</v>
      </c>
      <c r="B30">
        <v>80</v>
      </c>
      <c r="C30">
        <v>34</v>
      </c>
      <c r="D30">
        <v>12</v>
      </c>
      <c r="E30">
        <v>0</v>
      </c>
      <c r="F30">
        <v>0.19947021408006499</v>
      </c>
      <c r="G30">
        <v>1</v>
      </c>
      <c r="H30">
        <v>1</v>
      </c>
      <c r="I30" t="s">
        <v>141</v>
      </c>
    </row>
    <row r="31" spans="1:9" x14ac:dyDescent="0.2">
      <c r="A31" t="s">
        <v>94</v>
      </c>
      <c r="B31">
        <v>105</v>
      </c>
      <c r="C31">
        <v>44</v>
      </c>
      <c r="D31">
        <v>16</v>
      </c>
      <c r="E31">
        <v>0</v>
      </c>
      <c r="F31">
        <v>0.29565492784604402</v>
      </c>
      <c r="G31">
        <v>1</v>
      </c>
      <c r="H31">
        <v>1</v>
      </c>
      <c r="I31" t="s">
        <v>142</v>
      </c>
    </row>
    <row r="32" spans="1:9" x14ac:dyDescent="0.2">
      <c r="A32" t="s">
        <v>96</v>
      </c>
      <c r="B32">
        <v>150</v>
      </c>
      <c r="C32">
        <v>62</v>
      </c>
      <c r="D32">
        <v>16</v>
      </c>
      <c r="E32">
        <v>0</v>
      </c>
      <c r="F32">
        <v>0.54461753088980902</v>
      </c>
      <c r="G32">
        <v>1</v>
      </c>
      <c r="H32">
        <v>1</v>
      </c>
      <c r="I32" t="s">
        <v>143</v>
      </c>
    </row>
    <row r="33" spans="1:9" x14ac:dyDescent="0.2">
      <c r="A33" t="s">
        <v>98</v>
      </c>
      <c r="B33">
        <v>155</v>
      </c>
      <c r="C33">
        <v>64</v>
      </c>
      <c r="D33">
        <v>20</v>
      </c>
      <c r="E33">
        <v>0</v>
      </c>
      <c r="F33">
        <v>0.58857724303379599</v>
      </c>
      <c r="G33">
        <v>1</v>
      </c>
      <c r="H33">
        <v>1</v>
      </c>
      <c r="I33" t="s">
        <v>144</v>
      </c>
    </row>
    <row r="34" spans="1:9" x14ac:dyDescent="0.2">
      <c r="A34" t="s">
        <v>99</v>
      </c>
      <c r="B34">
        <v>210</v>
      </c>
      <c r="C34">
        <v>86</v>
      </c>
      <c r="D34">
        <v>24</v>
      </c>
      <c r="E34">
        <v>0</v>
      </c>
      <c r="F34">
        <v>1.1746650910936201</v>
      </c>
      <c r="G34">
        <v>1</v>
      </c>
      <c r="H34">
        <v>1</v>
      </c>
      <c r="I34" t="s">
        <v>145</v>
      </c>
    </row>
    <row r="35" spans="1:9" x14ac:dyDescent="0.2">
      <c r="A35" t="s">
        <v>100</v>
      </c>
      <c r="B35">
        <v>260</v>
      </c>
      <c r="C35">
        <v>106</v>
      </c>
      <c r="D35">
        <v>22</v>
      </c>
      <c r="E35">
        <v>0</v>
      </c>
      <c r="F35">
        <v>1.7351358570158399</v>
      </c>
      <c r="G35">
        <v>1</v>
      </c>
      <c r="H35">
        <v>1</v>
      </c>
      <c r="I35" t="s">
        <v>146</v>
      </c>
    </row>
    <row r="36" spans="1:9" x14ac:dyDescent="0.2">
      <c r="A36" t="s">
        <v>101</v>
      </c>
      <c r="B36">
        <v>290</v>
      </c>
      <c r="C36">
        <v>118</v>
      </c>
      <c r="D36">
        <v>20</v>
      </c>
      <c r="E36">
        <v>0</v>
      </c>
      <c r="F36">
        <v>2.1254388228990102</v>
      </c>
      <c r="G36">
        <v>1</v>
      </c>
      <c r="H36">
        <v>1</v>
      </c>
      <c r="I36" t="s">
        <v>147</v>
      </c>
    </row>
    <row r="37" spans="1:9" x14ac:dyDescent="0.2">
      <c r="A37" t="s">
        <v>102</v>
      </c>
      <c r="B37">
        <v>300</v>
      </c>
      <c r="C37">
        <v>122</v>
      </c>
      <c r="D37">
        <v>20</v>
      </c>
      <c r="E37">
        <v>0</v>
      </c>
      <c r="F37">
        <v>2.25670514116063</v>
      </c>
      <c r="G37">
        <v>1</v>
      </c>
      <c r="H37">
        <v>1</v>
      </c>
      <c r="I37" t="s">
        <v>148</v>
      </c>
    </row>
    <row r="38" spans="1:9" x14ac:dyDescent="0.2">
      <c r="A38" t="s">
        <v>103</v>
      </c>
      <c r="B38">
        <v>305</v>
      </c>
      <c r="C38">
        <v>124</v>
      </c>
      <c r="D38">
        <v>24</v>
      </c>
      <c r="E38">
        <v>0</v>
      </c>
      <c r="F38">
        <v>2.3613941101357301</v>
      </c>
      <c r="G38">
        <v>1</v>
      </c>
      <c r="H38">
        <v>1</v>
      </c>
      <c r="I38" t="s">
        <v>149</v>
      </c>
    </row>
    <row r="39" spans="1:9" x14ac:dyDescent="0.2">
      <c r="A39" t="s">
        <v>104</v>
      </c>
      <c r="B39">
        <v>335</v>
      </c>
      <c r="C39">
        <v>136</v>
      </c>
      <c r="D39">
        <v>22</v>
      </c>
      <c r="E39">
        <v>0</v>
      </c>
      <c r="F39">
        <v>2.7581698969006498</v>
      </c>
      <c r="G39">
        <v>1</v>
      </c>
      <c r="H39">
        <v>1</v>
      </c>
      <c r="I39" t="s">
        <v>150</v>
      </c>
    </row>
    <row r="40" spans="1:9" x14ac:dyDescent="0.2">
      <c r="A40" t="s">
        <v>105</v>
      </c>
      <c r="B40">
        <v>365</v>
      </c>
      <c r="C40">
        <v>148</v>
      </c>
      <c r="D40">
        <v>24</v>
      </c>
      <c r="E40">
        <v>0</v>
      </c>
      <c r="F40">
        <v>3.2799681336618902</v>
      </c>
      <c r="G40">
        <v>1</v>
      </c>
      <c r="H40">
        <v>1</v>
      </c>
      <c r="I40" t="s">
        <v>151</v>
      </c>
    </row>
    <row r="41" spans="1:9" x14ac:dyDescent="0.2">
      <c r="A41" t="s">
        <v>106</v>
      </c>
      <c r="B41">
        <v>400</v>
      </c>
      <c r="C41">
        <v>162</v>
      </c>
      <c r="D41">
        <v>22</v>
      </c>
      <c r="E41">
        <v>0</v>
      </c>
      <c r="F41">
        <v>3.9098834432661498</v>
      </c>
      <c r="G41">
        <v>1</v>
      </c>
      <c r="H41">
        <v>1</v>
      </c>
      <c r="I41" t="s">
        <v>152</v>
      </c>
    </row>
    <row r="42" spans="1:9" x14ac:dyDescent="0.2">
      <c r="A42" t="s">
        <v>107</v>
      </c>
      <c r="B42">
        <v>425</v>
      </c>
      <c r="C42">
        <v>172</v>
      </c>
      <c r="D42">
        <v>24</v>
      </c>
      <c r="E42">
        <v>0</v>
      </c>
      <c r="F42">
        <v>4.3338530519977203</v>
      </c>
      <c r="G42">
        <v>1</v>
      </c>
      <c r="H42">
        <v>1</v>
      </c>
      <c r="I42" t="s">
        <v>153</v>
      </c>
    </row>
    <row r="43" spans="1:9" x14ac:dyDescent="0.2">
      <c r="A43" t="s">
        <v>108</v>
      </c>
      <c r="B43">
        <v>475</v>
      </c>
      <c r="C43">
        <v>192</v>
      </c>
      <c r="D43">
        <v>24</v>
      </c>
      <c r="E43">
        <v>0</v>
      </c>
      <c r="F43">
        <v>5.3452871367335302</v>
      </c>
      <c r="G43">
        <v>1</v>
      </c>
      <c r="H43">
        <v>1</v>
      </c>
      <c r="I43" t="s">
        <v>154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B187B-0C55-8248-A316-BB7516FB0397}">
  <dimension ref="A1:I47"/>
  <sheetViews>
    <sheetView workbookViewId="0">
      <selection sqref="A1:I48"/>
    </sheetView>
  </sheetViews>
  <sheetFormatPr baseColWidth="10" defaultRowHeight="16" x14ac:dyDescent="0.2"/>
  <sheetData>
    <row r="1" spans="1:1" x14ac:dyDescent="0.2">
      <c r="A1" s="13" t="s">
        <v>0</v>
      </c>
    </row>
    <row r="2" spans="1:1" x14ac:dyDescent="0.2">
      <c r="A2" s="13" t="s">
        <v>1</v>
      </c>
    </row>
    <row r="3" spans="1:1" x14ac:dyDescent="0.2">
      <c r="A3" s="21" t="s">
        <v>259</v>
      </c>
    </row>
    <row r="4" spans="1:1" x14ac:dyDescent="0.2">
      <c r="A4" s="22" t="s">
        <v>80</v>
      </c>
    </row>
    <row r="5" spans="1:1" x14ac:dyDescent="0.2">
      <c r="A5" s="21" t="s">
        <v>2</v>
      </c>
    </row>
    <row r="6" spans="1:1" x14ac:dyDescent="0.2">
      <c r="A6" s="22" t="s">
        <v>40</v>
      </c>
    </row>
    <row r="7" spans="1:1" x14ac:dyDescent="0.2">
      <c r="A7" s="13" t="s">
        <v>4</v>
      </c>
    </row>
    <row r="8" spans="1:1" x14ac:dyDescent="0.2">
      <c r="A8" s="21" t="s">
        <v>30</v>
      </c>
    </row>
    <row r="9" spans="1:1" x14ac:dyDescent="0.2">
      <c r="A9" s="22" t="s">
        <v>325</v>
      </c>
    </row>
    <row r="10" spans="1:1" x14ac:dyDescent="0.2">
      <c r="A10" s="13" t="s">
        <v>326</v>
      </c>
    </row>
    <row r="11" spans="1:1" x14ac:dyDescent="0.2">
      <c r="A11" s="13" t="s">
        <v>5</v>
      </c>
    </row>
    <row r="12" spans="1:1" x14ac:dyDescent="0.2">
      <c r="A12" s="13" t="s">
        <v>6</v>
      </c>
    </row>
    <row r="13" spans="1:1" x14ac:dyDescent="0.2">
      <c r="A13" s="13" t="s">
        <v>7</v>
      </c>
    </row>
    <row r="14" spans="1:1" x14ac:dyDescent="0.2">
      <c r="A14" s="13" t="s">
        <v>8</v>
      </c>
    </row>
    <row r="15" spans="1:1" x14ac:dyDescent="0.2">
      <c r="A15" s="13" t="s">
        <v>9</v>
      </c>
    </row>
    <row r="16" spans="1:1" x14ac:dyDescent="0.2">
      <c r="A16" s="13" t="s">
        <v>327</v>
      </c>
    </row>
    <row r="17" spans="1:9" x14ac:dyDescent="0.2">
      <c r="A17" s="13" t="s">
        <v>328</v>
      </c>
    </row>
    <row r="18" spans="1:9" x14ac:dyDescent="0.2">
      <c r="A18" s="13" t="s">
        <v>10</v>
      </c>
    </row>
    <row r="19" spans="1:9" x14ac:dyDescent="0.2">
      <c r="A19" s="13" t="s">
        <v>14</v>
      </c>
    </row>
    <row r="20" spans="1:9" x14ac:dyDescent="0.2">
      <c r="A20" t="s">
        <v>261</v>
      </c>
    </row>
    <row r="21" spans="1:9" x14ac:dyDescent="0.2">
      <c r="A21" t="s">
        <v>16</v>
      </c>
    </row>
    <row r="22" spans="1:9" x14ac:dyDescent="0.2">
      <c r="A22" t="s">
        <v>262</v>
      </c>
    </row>
    <row r="23" spans="1:9" x14ac:dyDescent="0.2">
      <c r="A23" t="s">
        <v>263</v>
      </c>
    </row>
    <row r="24" spans="1:9" x14ac:dyDescent="0.2">
      <c r="A24" t="s">
        <v>281</v>
      </c>
    </row>
    <row r="25" spans="1:9" x14ac:dyDescent="0.2">
      <c r="A25" t="s">
        <v>18</v>
      </c>
      <c r="F25" s="1"/>
    </row>
    <row r="26" spans="1:9" x14ac:dyDescent="0.2">
      <c r="A26" t="s">
        <v>349</v>
      </c>
    </row>
    <row r="27" spans="1:9" x14ac:dyDescent="0.2">
      <c r="A27" t="s">
        <v>19</v>
      </c>
    </row>
    <row r="28" spans="1:9" x14ac:dyDescent="0.2">
      <c r="A28" t="s">
        <v>20</v>
      </c>
      <c r="B28" t="s">
        <v>21</v>
      </c>
      <c r="C28" t="s">
        <v>22</v>
      </c>
      <c r="D28" t="s">
        <v>23</v>
      </c>
      <c r="E28" t="s">
        <v>24</v>
      </c>
      <c r="F28" t="s">
        <v>25</v>
      </c>
      <c r="G28" t="s">
        <v>26</v>
      </c>
      <c r="H28" t="s">
        <v>27</v>
      </c>
      <c r="I28" t="s">
        <v>28</v>
      </c>
    </row>
    <row r="29" spans="1:9" x14ac:dyDescent="0.2">
      <c r="A29" t="s">
        <v>82</v>
      </c>
      <c r="B29">
        <v>5</v>
      </c>
      <c r="C29">
        <v>4</v>
      </c>
      <c r="D29">
        <v>2</v>
      </c>
      <c r="E29">
        <v>0</v>
      </c>
      <c r="F29">
        <v>3.1471187248826001E-3</v>
      </c>
      <c r="G29">
        <v>1</v>
      </c>
      <c r="H29">
        <v>1</v>
      </c>
      <c r="I29" t="s">
        <v>350</v>
      </c>
    </row>
    <row r="30" spans="1:9" x14ac:dyDescent="0.2">
      <c r="A30" t="s">
        <v>84</v>
      </c>
      <c r="B30">
        <v>20</v>
      </c>
      <c r="C30">
        <v>10</v>
      </c>
      <c r="D30">
        <v>0</v>
      </c>
      <c r="E30">
        <v>-4</v>
      </c>
      <c r="F30">
        <v>3.7381835281848899E-3</v>
      </c>
      <c r="G30">
        <v>1</v>
      </c>
      <c r="H30">
        <v>1</v>
      </c>
      <c r="I30" t="s">
        <v>351</v>
      </c>
    </row>
    <row r="31" spans="1:9" x14ac:dyDescent="0.2">
      <c r="A31" t="s">
        <v>86</v>
      </c>
      <c r="B31">
        <v>35</v>
      </c>
      <c r="C31">
        <v>16</v>
      </c>
      <c r="D31">
        <v>0</v>
      </c>
      <c r="E31">
        <v>-6</v>
      </c>
      <c r="F31">
        <v>7.8671015799045493E-3</v>
      </c>
      <c r="G31">
        <v>1</v>
      </c>
      <c r="H31">
        <v>1</v>
      </c>
      <c r="I31" t="s">
        <v>351</v>
      </c>
    </row>
    <row r="32" spans="1:9" x14ac:dyDescent="0.2">
      <c r="A32" t="s">
        <v>88</v>
      </c>
      <c r="B32">
        <v>50</v>
      </c>
      <c r="C32">
        <v>22</v>
      </c>
      <c r="D32">
        <v>0</v>
      </c>
      <c r="E32">
        <v>-8</v>
      </c>
      <c r="F32">
        <v>1.56849762424826E-2</v>
      </c>
      <c r="G32">
        <v>1</v>
      </c>
      <c r="H32">
        <v>1</v>
      </c>
      <c r="I32" t="s">
        <v>351</v>
      </c>
    </row>
    <row r="33" spans="1:9" x14ac:dyDescent="0.2">
      <c r="A33" t="s">
        <v>90</v>
      </c>
      <c r="B33">
        <v>65</v>
      </c>
      <c r="C33">
        <v>28</v>
      </c>
      <c r="D33">
        <v>0</v>
      </c>
      <c r="E33">
        <v>-10</v>
      </c>
      <c r="F33">
        <v>9.9553223699331197E-3</v>
      </c>
      <c r="G33">
        <v>1</v>
      </c>
      <c r="H33">
        <v>1</v>
      </c>
      <c r="I33" t="s">
        <v>351</v>
      </c>
    </row>
    <row r="34" spans="1:9" x14ac:dyDescent="0.2">
      <c r="A34" t="s">
        <v>92</v>
      </c>
      <c r="B34">
        <v>80</v>
      </c>
      <c r="C34">
        <v>34</v>
      </c>
      <c r="D34">
        <v>0</v>
      </c>
      <c r="E34">
        <v>-12</v>
      </c>
      <c r="F34">
        <v>1.2709749862551601E-2</v>
      </c>
      <c r="G34">
        <v>1</v>
      </c>
      <c r="H34">
        <v>1</v>
      </c>
      <c r="I34" t="s">
        <v>351</v>
      </c>
    </row>
    <row r="35" spans="1:9" x14ac:dyDescent="0.2">
      <c r="A35" t="s">
        <v>94</v>
      </c>
      <c r="B35">
        <v>105</v>
      </c>
      <c r="C35">
        <v>44</v>
      </c>
      <c r="D35">
        <v>0</v>
      </c>
      <c r="E35">
        <v>-16</v>
      </c>
      <c r="F35">
        <v>1.7683728598058199E-2</v>
      </c>
      <c r="G35">
        <v>1</v>
      </c>
      <c r="H35">
        <v>1</v>
      </c>
      <c r="I35" t="s">
        <v>351</v>
      </c>
    </row>
    <row r="36" spans="1:9" x14ac:dyDescent="0.2">
      <c r="A36" t="s">
        <v>96</v>
      </c>
      <c r="B36">
        <v>150</v>
      </c>
      <c r="C36">
        <v>62</v>
      </c>
      <c r="D36">
        <v>0</v>
      </c>
      <c r="E36">
        <v>-16</v>
      </c>
      <c r="F36">
        <v>2.84661939367651E-2</v>
      </c>
      <c r="G36">
        <v>1</v>
      </c>
      <c r="H36">
        <v>1</v>
      </c>
      <c r="I36" t="s">
        <v>351</v>
      </c>
    </row>
    <row r="37" spans="1:9" x14ac:dyDescent="0.2">
      <c r="A37" t="s">
        <v>98</v>
      </c>
      <c r="B37">
        <v>155</v>
      </c>
      <c r="C37">
        <v>64</v>
      </c>
      <c r="D37">
        <v>0</v>
      </c>
      <c r="E37">
        <v>-20</v>
      </c>
      <c r="F37">
        <v>2.9578453861176902E-2</v>
      </c>
      <c r="G37">
        <v>1</v>
      </c>
      <c r="H37">
        <v>1</v>
      </c>
      <c r="I37" t="s">
        <v>351</v>
      </c>
    </row>
    <row r="38" spans="1:9" x14ac:dyDescent="0.2">
      <c r="A38" t="s">
        <v>99</v>
      </c>
      <c r="B38">
        <v>210</v>
      </c>
      <c r="C38">
        <v>86</v>
      </c>
      <c r="D38">
        <v>0</v>
      </c>
      <c r="E38">
        <v>-24</v>
      </c>
      <c r="F38">
        <v>4.7588980756699997E-2</v>
      </c>
      <c r="G38">
        <v>1</v>
      </c>
      <c r="H38">
        <v>1</v>
      </c>
      <c r="I38" t="s">
        <v>351</v>
      </c>
    </row>
    <row r="39" spans="1:9" x14ac:dyDescent="0.2">
      <c r="A39" t="s">
        <v>100</v>
      </c>
      <c r="B39">
        <v>260</v>
      </c>
      <c r="C39">
        <v>106</v>
      </c>
      <c r="D39">
        <v>0</v>
      </c>
      <c r="E39">
        <v>-22</v>
      </c>
      <c r="F39">
        <v>6.6688789986073901E-2</v>
      </c>
      <c r="G39">
        <v>1</v>
      </c>
      <c r="H39">
        <v>1</v>
      </c>
      <c r="I39" t="s">
        <v>351</v>
      </c>
    </row>
    <row r="40" spans="1:9" x14ac:dyDescent="0.2">
      <c r="A40" t="s">
        <v>101</v>
      </c>
      <c r="B40">
        <v>290</v>
      </c>
      <c r="C40">
        <v>118</v>
      </c>
      <c r="D40">
        <v>0</v>
      </c>
      <c r="E40">
        <v>-20</v>
      </c>
      <c r="F40">
        <v>8.0641729757189695E-2</v>
      </c>
      <c r="G40">
        <v>1</v>
      </c>
      <c r="H40">
        <v>1</v>
      </c>
      <c r="I40" t="s">
        <v>351</v>
      </c>
    </row>
    <row r="41" spans="1:9" x14ac:dyDescent="0.2">
      <c r="A41" t="s">
        <v>102</v>
      </c>
      <c r="B41">
        <v>300</v>
      </c>
      <c r="C41">
        <v>122</v>
      </c>
      <c r="D41">
        <v>0</v>
      </c>
      <c r="E41">
        <v>-20</v>
      </c>
      <c r="F41">
        <v>8.5513443686068003E-2</v>
      </c>
      <c r="G41">
        <v>1</v>
      </c>
      <c r="H41">
        <v>1</v>
      </c>
      <c r="I41" t="s">
        <v>351</v>
      </c>
    </row>
    <row r="42" spans="1:9" x14ac:dyDescent="0.2">
      <c r="A42" t="s">
        <v>103</v>
      </c>
      <c r="B42">
        <v>305</v>
      </c>
      <c r="C42">
        <v>124</v>
      </c>
      <c r="D42">
        <v>0</v>
      </c>
      <c r="E42">
        <v>-24</v>
      </c>
      <c r="F42">
        <v>8.9032085612416198E-2</v>
      </c>
      <c r="G42">
        <v>1</v>
      </c>
      <c r="H42">
        <v>1</v>
      </c>
      <c r="I42" t="s">
        <v>351</v>
      </c>
    </row>
    <row r="43" spans="1:9" x14ac:dyDescent="0.2">
      <c r="A43" t="s">
        <v>104</v>
      </c>
      <c r="B43">
        <v>335</v>
      </c>
      <c r="C43">
        <v>136</v>
      </c>
      <c r="D43">
        <v>0</v>
      </c>
      <c r="E43">
        <v>-22</v>
      </c>
      <c r="F43">
        <v>0.104253662750124</v>
      </c>
      <c r="G43">
        <v>1</v>
      </c>
      <c r="H43">
        <v>1</v>
      </c>
      <c r="I43" t="s">
        <v>351</v>
      </c>
    </row>
    <row r="44" spans="1:9" x14ac:dyDescent="0.2">
      <c r="A44" t="s">
        <v>105</v>
      </c>
      <c r="B44">
        <v>365</v>
      </c>
      <c r="C44">
        <v>148</v>
      </c>
      <c r="D44">
        <v>0</v>
      </c>
      <c r="E44">
        <v>-24</v>
      </c>
      <c r="F44">
        <v>0.121798035688698</v>
      </c>
      <c r="G44">
        <v>1</v>
      </c>
      <c r="H44">
        <v>1</v>
      </c>
      <c r="I44" t="s">
        <v>351</v>
      </c>
    </row>
    <row r="45" spans="1:9" x14ac:dyDescent="0.2">
      <c r="A45" t="s">
        <v>106</v>
      </c>
      <c r="B45">
        <v>400</v>
      </c>
      <c r="C45">
        <v>162</v>
      </c>
      <c r="D45">
        <v>0</v>
      </c>
      <c r="E45">
        <v>-22</v>
      </c>
      <c r="F45">
        <v>0.12947725411504499</v>
      </c>
      <c r="G45">
        <v>1</v>
      </c>
      <c r="H45">
        <v>1</v>
      </c>
      <c r="I45" t="s">
        <v>351</v>
      </c>
    </row>
    <row r="46" spans="1:9" x14ac:dyDescent="0.2">
      <c r="A46" t="s">
        <v>107</v>
      </c>
      <c r="B46">
        <v>425</v>
      </c>
      <c r="C46">
        <v>172</v>
      </c>
      <c r="D46">
        <v>0</v>
      </c>
      <c r="E46">
        <v>-24</v>
      </c>
      <c r="F46">
        <v>0.162690221332013</v>
      </c>
      <c r="G46">
        <v>1</v>
      </c>
      <c r="H46">
        <v>1</v>
      </c>
      <c r="I46" t="s">
        <v>351</v>
      </c>
    </row>
    <row r="47" spans="1:9" x14ac:dyDescent="0.2">
      <c r="A47" t="s">
        <v>108</v>
      </c>
      <c r="B47">
        <v>475</v>
      </c>
      <c r="C47">
        <v>192</v>
      </c>
      <c r="D47">
        <v>0</v>
      </c>
      <c r="E47">
        <v>-24</v>
      </c>
      <c r="F47">
        <v>0.20424290839582601</v>
      </c>
      <c r="G47">
        <v>1</v>
      </c>
      <c r="H47">
        <v>1</v>
      </c>
      <c r="I47" t="s">
        <v>351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0CD76-2BFC-3F43-9C69-0A117A9561DB}">
  <dimension ref="A1:I43"/>
  <sheetViews>
    <sheetView workbookViewId="0">
      <selection activeCell="F1" sqref="F1"/>
    </sheetView>
  </sheetViews>
  <sheetFormatPr baseColWidth="10" defaultRowHeight="16" x14ac:dyDescent="0.2"/>
  <sheetData>
    <row r="1" spans="1:1" x14ac:dyDescent="0.2">
      <c r="A1" s="13" t="s">
        <v>0</v>
      </c>
    </row>
    <row r="2" spans="1:1" x14ac:dyDescent="0.2">
      <c r="A2" s="13" t="s">
        <v>1</v>
      </c>
    </row>
    <row r="3" spans="1:1" x14ac:dyDescent="0.2">
      <c r="A3" s="21" t="s">
        <v>80</v>
      </c>
    </row>
    <row r="4" spans="1:1" x14ac:dyDescent="0.2">
      <c r="A4" s="22" t="s">
        <v>2</v>
      </c>
    </row>
    <row r="5" spans="1:1" x14ac:dyDescent="0.2">
      <c r="A5" s="21" t="s">
        <v>41</v>
      </c>
    </row>
    <row r="6" spans="1:1" x14ac:dyDescent="0.2">
      <c r="A6" s="22" t="s">
        <v>4</v>
      </c>
    </row>
    <row r="7" spans="1:1" x14ac:dyDescent="0.2">
      <c r="A7" s="13" t="s">
        <v>30</v>
      </c>
    </row>
    <row r="8" spans="1:1" x14ac:dyDescent="0.2">
      <c r="A8" s="21" t="s">
        <v>5</v>
      </c>
    </row>
    <row r="9" spans="1:1" x14ac:dyDescent="0.2">
      <c r="A9" s="22" t="s">
        <v>6</v>
      </c>
    </row>
    <row r="10" spans="1:1" x14ac:dyDescent="0.2">
      <c r="A10" s="13" t="s">
        <v>7</v>
      </c>
    </row>
    <row r="11" spans="1:1" x14ac:dyDescent="0.2">
      <c r="A11" s="13" t="s">
        <v>8</v>
      </c>
    </row>
    <row r="12" spans="1:1" x14ac:dyDescent="0.2">
      <c r="A12" s="13" t="s">
        <v>9</v>
      </c>
    </row>
    <row r="13" spans="1:1" x14ac:dyDescent="0.2">
      <c r="A13" s="13" t="s">
        <v>10</v>
      </c>
    </row>
    <row r="14" spans="1:1" x14ac:dyDescent="0.2">
      <c r="A14" s="13" t="s">
        <v>11</v>
      </c>
    </row>
    <row r="15" spans="1:1" x14ac:dyDescent="0.2">
      <c r="A15" s="13" t="s">
        <v>12</v>
      </c>
    </row>
    <row r="16" spans="1:1" x14ac:dyDescent="0.2">
      <c r="A16" s="13" t="s">
        <v>13</v>
      </c>
    </row>
    <row r="17" spans="1:9" x14ac:dyDescent="0.2">
      <c r="A17" s="13" t="s">
        <v>14</v>
      </c>
    </row>
    <row r="18" spans="1:9" x14ac:dyDescent="0.2">
      <c r="A18" s="13" t="s">
        <v>15</v>
      </c>
    </row>
    <row r="19" spans="1:9" x14ac:dyDescent="0.2">
      <c r="A19" s="13" t="s">
        <v>16</v>
      </c>
    </row>
    <row r="20" spans="1:9" x14ac:dyDescent="0.2">
      <c r="A20" t="s">
        <v>17</v>
      </c>
    </row>
    <row r="21" spans="1:9" x14ac:dyDescent="0.2">
      <c r="A21" t="s">
        <v>18</v>
      </c>
    </row>
    <row r="22" spans="1:9" x14ac:dyDescent="0.2">
      <c r="A22" t="s">
        <v>155</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82</v>
      </c>
      <c r="B25">
        <v>5</v>
      </c>
      <c r="C25">
        <v>4</v>
      </c>
      <c r="D25">
        <v>2</v>
      </c>
      <c r="E25">
        <v>0</v>
      </c>
      <c r="F25">
        <v>2.4174784310162001E-2</v>
      </c>
      <c r="G25">
        <v>1</v>
      </c>
      <c r="H25">
        <v>1</v>
      </c>
    </row>
    <row r="26" spans="1:9" x14ac:dyDescent="0.2">
      <c r="A26" t="s">
        <v>84</v>
      </c>
      <c r="B26">
        <v>20</v>
      </c>
      <c r="C26">
        <v>10</v>
      </c>
      <c r="D26">
        <v>4</v>
      </c>
      <c r="E26">
        <v>0</v>
      </c>
      <c r="F26">
        <v>3.3476301934569998E-2</v>
      </c>
      <c r="G26">
        <v>1</v>
      </c>
      <c r="H26">
        <v>1</v>
      </c>
    </row>
    <row r="27" spans="1:9" x14ac:dyDescent="0.2">
      <c r="A27" t="s">
        <v>86</v>
      </c>
      <c r="B27">
        <v>35</v>
      </c>
      <c r="C27">
        <v>16</v>
      </c>
      <c r="D27">
        <v>6</v>
      </c>
      <c r="E27">
        <v>0</v>
      </c>
      <c r="F27">
        <v>8.3380978088825899E-2</v>
      </c>
      <c r="G27">
        <v>1</v>
      </c>
      <c r="H27">
        <v>1</v>
      </c>
    </row>
    <row r="28" spans="1:9" x14ac:dyDescent="0.2">
      <c r="A28" t="s">
        <v>88</v>
      </c>
      <c r="B28">
        <v>50</v>
      </c>
      <c r="C28">
        <v>22</v>
      </c>
      <c r="D28">
        <v>8</v>
      </c>
      <c r="E28">
        <v>0</v>
      </c>
      <c r="F28">
        <v>0.536240994930267</v>
      </c>
      <c r="G28">
        <v>1</v>
      </c>
      <c r="H28">
        <v>1</v>
      </c>
    </row>
    <row r="29" spans="1:9" x14ac:dyDescent="0.2">
      <c r="A29" t="s">
        <v>90</v>
      </c>
      <c r="B29">
        <v>65</v>
      </c>
      <c r="C29">
        <v>28</v>
      </c>
      <c r="D29">
        <v>10</v>
      </c>
      <c r="E29">
        <v>0</v>
      </c>
      <c r="F29">
        <v>18.2203948786482</v>
      </c>
      <c r="G29">
        <v>1</v>
      </c>
      <c r="H29">
        <v>1</v>
      </c>
    </row>
    <row r="30" spans="1:9" x14ac:dyDescent="0.2">
      <c r="A30" t="s">
        <v>92</v>
      </c>
      <c r="B30">
        <v>80</v>
      </c>
      <c r="C30">
        <v>34</v>
      </c>
      <c r="D30">
        <v>12</v>
      </c>
      <c r="E30">
        <v>0</v>
      </c>
      <c r="F30">
        <v>399.76645249500802</v>
      </c>
      <c r="G30">
        <v>1</v>
      </c>
      <c r="H30">
        <v>1</v>
      </c>
    </row>
    <row r="31" spans="1:9" x14ac:dyDescent="0.2">
      <c r="A31" t="s">
        <v>94</v>
      </c>
      <c r="B31">
        <v>105</v>
      </c>
      <c r="C31">
        <v>44</v>
      </c>
      <c r="D31">
        <v>16</v>
      </c>
      <c r="E31">
        <v>0</v>
      </c>
      <c r="F31">
        <v>28874.010674744299</v>
      </c>
      <c r="G31">
        <v>1</v>
      </c>
      <c r="H31">
        <v>1</v>
      </c>
    </row>
    <row r="32" spans="1:9" x14ac:dyDescent="0.2">
      <c r="A32" t="s">
        <v>96</v>
      </c>
      <c r="B32">
        <v>150</v>
      </c>
      <c r="C32">
        <v>62</v>
      </c>
      <c r="D32">
        <v>16</v>
      </c>
      <c r="E32">
        <v>0</v>
      </c>
      <c r="F32">
        <v>28892.330680227798</v>
      </c>
      <c r="G32">
        <v>1</v>
      </c>
      <c r="H32">
        <v>1</v>
      </c>
    </row>
    <row r="33" spans="1:8" x14ac:dyDescent="0.2">
      <c r="A33" t="s">
        <v>98</v>
      </c>
      <c r="B33">
        <v>155</v>
      </c>
      <c r="C33">
        <v>64</v>
      </c>
      <c r="D33">
        <v>20</v>
      </c>
      <c r="E33">
        <v>0</v>
      </c>
      <c r="F33">
        <v>28916.240508132101</v>
      </c>
      <c r="G33">
        <v>1</v>
      </c>
      <c r="H33">
        <v>1</v>
      </c>
    </row>
    <row r="34" spans="1:8" x14ac:dyDescent="0.2">
      <c r="A34" t="s">
        <v>99</v>
      </c>
      <c r="B34">
        <v>210</v>
      </c>
      <c r="C34">
        <v>86</v>
      </c>
      <c r="D34">
        <v>24</v>
      </c>
      <c r="E34">
        <v>0</v>
      </c>
      <c r="F34">
        <v>28884.953653999601</v>
      </c>
      <c r="G34">
        <v>1</v>
      </c>
      <c r="H34">
        <v>1</v>
      </c>
    </row>
    <row r="35" spans="1:8" x14ac:dyDescent="0.2">
      <c r="A35" t="s">
        <v>100</v>
      </c>
      <c r="B35">
        <v>260</v>
      </c>
      <c r="C35">
        <v>106</v>
      </c>
      <c r="D35">
        <v>22</v>
      </c>
      <c r="E35">
        <v>0</v>
      </c>
      <c r="F35">
        <v>28871.741809310301</v>
      </c>
      <c r="G35">
        <v>1</v>
      </c>
      <c r="H35">
        <v>1</v>
      </c>
    </row>
    <row r="36" spans="1:8" x14ac:dyDescent="0.2">
      <c r="A36" t="s">
        <v>101</v>
      </c>
      <c r="B36">
        <v>290</v>
      </c>
      <c r="C36">
        <v>118</v>
      </c>
      <c r="D36">
        <v>20</v>
      </c>
      <c r="E36">
        <v>0</v>
      </c>
      <c r="F36">
        <v>28864.301873810498</v>
      </c>
      <c r="G36">
        <v>1</v>
      </c>
      <c r="H36">
        <v>1</v>
      </c>
    </row>
    <row r="37" spans="1:8" x14ac:dyDescent="0.2">
      <c r="A37" t="s">
        <v>102</v>
      </c>
      <c r="B37">
        <v>300</v>
      </c>
      <c r="C37">
        <v>122</v>
      </c>
      <c r="D37">
        <v>20</v>
      </c>
      <c r="E37">
        <v>0</v>
      </c>
      <c r="F37">
        <v>28849.668768249401</v>
      </c>
      <c r="G37">
        <v>1</v>
      </c>
      <c r="H37">
        <v>1</v>
      </c>
    </row>
    <row r="38" spans="1:8" x14ac:dyDescent="0.2">
      <c r="A38" t="s">
        <v>103</v>
      </c>
      <c r="B38">
        <v>305</v>
      </c>
      <c r="C38">
        <v>124</v>
      </c>
      <c r="D38">
        <v>24</v>
      </c>
      <c r="E38">
        <v>0</v>
      </c>
      <c r="F38">
        <v>28846.526423536201</v>
      </c>
      <c r="G38">
        <v>1</v>
      </c>
      <c r="H38">
        <v>1</v>
      </c>
    </row>
    <row r="39" spans="1:8" x14ac:dyDescent="0.2">
      <c r="A39" t="s">
        <v>104</v>
      </c>
      <c r="B39">
        <v>335</v>
      </c>
      <c r="C39">
        <v>136</v>
      </c>
      <c r="D39">
        <v>22</v>
      </c>
      <c r="E39">
        <v>0</v>
      </c>
      <c r="F39">
        <v>28834.5315524041</v>
      </c>
      <c r="G39">
        <v>1</v>
      </c>
      <c r="H39">
        <v>1</v>
      </c>
    </row>
    <row r="40" spans="1:8" x14ac:dyDescent="0.2">
      <c r="A40" t="s">
        <v>105</v>
      </c>
      <c r="B40">
        <v>365</v>
      </c>
      <c r="C40">
        <v>148</v>
      </c>
      <c r="D40">
        <v>56</v>
      </c>
      <c r="E40">
        <v>32</v>
      </c>
      <c r="F40">
        <v>28841.132324501799</v>
      </c>
      <c r="G40">
        <v>1</v>
      </c>
      <c r="H40">
        <v>1</v>
      </c>
    </row>
    <row r="41" spans="1:8" x14ac:dyDescent="0.2">
      <c r="A41" t="s">
        <v>106</v>
      </c>
      <c r="B41">
        <v>400</v>
      </c>
      <c r="C41">
        <v>162</v>
      </c>
      <c r="D41">
        <v>24</v>
      </c>
      <c r="E41">
        <v>2</v>
      </c>
      <c r="F41">
        <v>28838.621648438198</v>
      </c>
      <c r="G41">
        <v>1</v>
      </c>
      <c r="H41">
        <v>1</v>
      </c>
    </row>
    <row r="42" spans="1:8" x14ac:dyDescent="0.2">
      <c r="A42" t="s">
        <v>107</v>
      </c>
      <c r="B42">
        <v>425</v>
      </c>
      <c r="C42">
        <v>172</v>
      </c>
      <c r="D42">
        <v>24</v>
      </c>
      <c r="E42">
        <v>0</v>
      </c>
      <c r="F42">
        <v>28830.2275740429</v>
      </c>
      <c r="G42">
        <v>1</v>
      </c>
      <c r="H42">
        <v>1</v>
      </c>
    </row>
    <row r="43" spans="1:8" x14ac:dyDescent="0.2">
      <c r="A43" t="s">
        <v>108</v>
      </c>
      <c r="B43">
        <v>475</v>
      </c>
      <c r="C43">
        <v>192</v>
      </c>
      <c r="D43">
        <v>84</v>
      </c>
      <c r="E43">
        <v>60</v>
      </c>
      <c r="F43">
        <v>28825.227034077001</v>
      </c>
      <c r="G43">
        <v>1</v>
      </c>
      <c r="H43">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9EF3-6ECC-1742-88E4-B042E47C2704}">
  <dimension ref="A1:I44"/>
  <sheetViews>
    <sheetView workbookViewId="0">
      <selection activeCell="F1" sqref="F1"/>
    </sheetView>
  </sheetViews>
  <sheetFormatPr baseColWidth="10" defaultRowHeight="16" x14ac:dyDescent="0.2"/>
  <sheetData>
    <row r="1" spans="1:1" x14ac:dyDescent="0.2">
      <c r="A1" s="13" t="s">
        <v>0</v>
      </c>
    </row>
    <row r="2" spans="1:1" x14ac:dyDescent="0.2">
      <c r="A2" s="13" t="s">
        <v>1</v>
      </c>
    </row>
    <row r="3" spans="1:1" x14ac:dyDescent="0.2">
      <c r="A3" s="21" t="s">
        <v>80</v>
      </c>
    </row>
    <row r="4" spans="1:1" x14ac:dyDescent="0.2">
      <c r="A4" s="22" t="s">
        <v>2</v>
      </c>
    </row>
    <row r="5" spans="1:1" x14ac:dyDescent="0.2">
      <c r="A5" s="21" t="s">
        <v>42</v>
      </c>
    </row>
    <row r="6" spans="1:1" x14ac:dyDescent="0.2">
      <c r="A6" s="22" t="s">
        <v>4</v>
      </c>
    </row>
    <row r="7" spans="1:1" x14ac:dyDescent="0.2">
      <c r="A7" s="13" t="s">
        <v>30</v>
      </c>
    </row>
    <row r="8" spans="1:1" x14ac:dyDescent="0.2">
      <c r="A8" s="21" t="s">
        <v>5</v>
      </c>
    </row>
    <row r="9" spans="1:1" x14ac:dyDescent="0.2">
      <c r="A9" s="22" t="s">
        <v>6</v>
      </c>
    </row>
    <row r="10" spans="1:1" x14ac:dyDescent="0.2">
      <c r="A10" s="13" t="s">
        <v>7</v>
      </c>
    </row>
    <row r="11" spans="1:1" x14ac:dyDescent="0.2">
      <c r="A11" s="13" t="s">
        <v>8</v>
      </c>
    </row>
    <row r="12" spans="1:1" x14ac:dyDescent="0.2">
      <c r="A12" s="13" t="s">
        <v>9</v>
      </c>
    </row>
    <row r="13" spans="1:1" x14ac:dyDescent="0.2">
      <c r="A13" s="13" t="s">
        <v>10</v>
      </c>
    </row>
    <row r="14" spans="1:1" x14ac:dyDescent="0.2">
      <c r="A14" s="13" t="s">
        <v>11</v>
      </c>
    </row>
    <row r="15" spans="1:1" x14ac:dyDescent="0.2">
      <c r="A15" s="13" t="s">
        <v>12</v>
      </c>
    </row>
    <row r="16" spans="1:1" x14ac:dyDescent="0.2">
      <c r="A16" s="13" t="s">
        <v>13</v>
      </c>
    </row>
    <row r="17" spans="1:9" x14ac:dyDescent="0.2">
      <c r="A17" s="13" t="s">
        <v>14</v>
      </c>
    </row>
    <row r="18" spans="1:9" x14ac:dyDescent="0.2">
      <c r="A18" s="13" t="s">
        <v>15</v>
      </c>
    </row>
    <row r="19" spans="1:9" x14ac:dyDescent="0.2">
      <c r="A19" s="13" t="s">
        <v>16</v>
      </c>
    </row>
    <row r="20" spans="1:9" x14ac:dyDescent="0.2">
      <c r="A20" t="s">
        <v>17</v>
      </c>
    </row>
    <row r="21" spans="1:9" x14ac:dyDescent="0.2">
      <c r="A21" t="s">
        <v>43</v>
      </c>
    </row>
    <row r="22" spans="1:9" x14ac:dyDescent="0.2">
      <c r="A22" t="s">
        <v>18</v>
      </c>
    </row>
    <row r="23" spans="1:9" x14ac:dyDescent="0.2">
      <c r="A23" t="s">
        <v>156</v>
      </c>
    </row>
    <row r="24" spans="1:9" x14ac:dyDescent="0.2">
      <c r="A24" t="s">
        <v>19</v>
      </c>
    </row>
    <row r="25" spans="1:9" x14ac:dyDescent="0.2">
      <c r="A25" t="s">
        <v>20</v>
      </c>
      <c r="B25" t="s">
        <v>21</v>
      </c>
      <c r="C25" t="s">
        <v>22</v>
      </c>
      <c r="D25" t="s">
        <v>23</v>
      </c>
      <c r="E25" t="s">
        <v>24</v>
      </c>
      <c r="F25" t="s">
        <v>25</v>
      </c>
      <c r="G25" t="s">
        <v>26</v>
      </c>
      <c r="H25" t="s">
        <v>27</v>
      </c>
      <c r="I25" t="s">
        <v>28</v>
      </c>
    </row>
    <row r="26" spans="1:9" x14ac:dyDescent="0.2">
      <c r="A26" t="s">
        <v>82</v>
      </c>
      <c r="B26">
        <v>5</v>
      </c>
      <c r="C26">
        <v>4</v>
      </c>
      <c r="D26">
        <v>2</v>
      </c>
      <c r="E26">
        <v>0</v>
      </c>
      <c r="F26">
        <v>1.0282602161169E-2</v>
      </c>
      <c r="G26">
        <v>1</v>
      </c>
      <c r="H26">
        <v>1</v>
      </c>
      <c r="I26" t="s">
        <v>157</v>
      </c>
    </row>
    <row r="27" spans="1:9" x14ac:dyDescent="0.2">
      <c r="A27" t="s">
        <v>84</v>
      </c>
      <c r="B27">
        <v>20</v>
      </c>
      <c r="C27">
        <v>10</v>
      </c>
      <c r="D27">
        <v>4</v>
      </c>
      <c r="E27">
        <v>0</v>
      </c>
      <c r="F27">
        <v>4.4279285240918398E-2</v>
      </c>
      <c r="G27">
        <v>1</v>
      </c>
      <c r="H27">
        <v>1</v>
      </c>
      <c r="I27" t="s">
        <v>158</v>
      </c>
    </row>
    <row r="28" spans="1:9" x14ac:dyDescent="0.2">
      <c r="A28" t="s">
        <v>86</v>
      </c>
      <c r="B28">
        <v>35</v>
      </c>
      <c r="C28">
        <v>16</v>
      </c>
      <c r="D28">
        <v>6</v>
      </c>
      <c r="E28">
        <v>0</v>
      </c>
      <c r="F28">
        <v>0.25959258479997499</v>
      </c>
      <c r="G28">
        <v>1</v>
      </c>
      <c r="H28">
        <v>1</v>
      </c>
      <c r="I28" t="s">
        <v>159</v>
      </c>
    </row>
    <row r="29" spans="1:9" x14ac:dyDescent="0.2">
      <c r="A29" t="s">
        <v>88</v>
      </c>
      <c r="B29">
        <v>50</v>
      </c>
      <c r="C29">
        <v>22</v>
      </c>
      <c r="D29">
        <v>8</v>
      </c>
      <c r="E29">
        <v>0</v>
      </c>
      <c r="F29">
        <v>1.7402468230575301</v>
      </c>
      <c r="G29">
        <v>1</v>
      </c>
      <c r="H29">
        <v>1</v>
      </c>
      <c r="I29" t="s">
        <v>160</v>
      </c>
    </row>
    <row r="30" spans="1:9" x14ac:dyDescent="0.2">
      <c r="A30" t="s">
        <v>90</v>
      </c>
      <c r="B30">
        <v>65</v>
      </c>
      <c r="C30">
        <v>28</v>
      </c>
      <c r="D30">
        <v>10</v>
      </c>
      <c r="E30">
        <v>0</v>
      </c>
      <c r="F30">
        <v>24.346778511069701</v>
      </c>
      <c r="G30">
        <v>1</v>
      </c>
      <c r="H30">
        <v>1</v>
      </c>
      <c r="I30" t="s">
        <v>161</v>
      </c>
    </row>
    <row r="31" spans="1:9" x14ac:dyDescent="0.2">
      <c r="A31" t="s">
        <v>92</v>
      </c>
      <c r="B31">
        <v>80</v>
      </c>
      <c r="C31">
        <v>34</v>
      </c>
      <c r="D31">
        <v>12</v>
      </c>
      <c r="E31">
        <v>0</v>
      </c>
      <c r="F31">
        <v>386.75556916464097</v>
      </c>
      <c r="G31">
        <v>1</v>
      </c>
      <c r="H31">
        <v>1</v>
      </c>
      <c r="I31" t="s">
        <v>162</v>
      </c>
    </row>
    <row r="32" spans="1:9" x14ac:dyDescent="0.2">
      <c r="A32" t="s">
        <v>94</v>
      </c>
      <c r="B32">
        <v>105</v>
      </c>
      <c r="C32">
        <v>44</v>
      </c>
      <c r="D32">
        <v>16</v>
      </c>
      <c r="E32">
        <v>0</v>
      </c>
      <c r="F32">
        <v>28819.6901571704</v>
      </c>
      <c r="G32">
        <v>1</v>
      </c>
      <c r="H32">
        <v>1</v>
      </c>
      <c r="I32" t="s">
        <v>163</v>
      </c>
    </row>
    <row r="33" spans="1:9" x14ac:dyDescent="0.2">
      <c r="A33" t="s">
        <v>96</v>
      </c>
      <c r="B33">
        <v>150</v>
      </c>
      <c r="C33">
        <v>62</v>
      </c>
      <c r="D33">
        <v>16</v>
      </c>
      <c r="E33">
        <v>0</v>
      </c>
      <c r="F33">
        <v>28816.280251984899</v>
      </c>
      <c r="G33">
        <v>1</v>
      </c>
      <c r="H33">
        <v>1</v>
      </c>
      <c r="I33" t="s">
        <v>164</v>
      </c>
    </row>
    <row r="34" spans="1:9" x14ac:dyDescent="0.2">
      <c r="A34" t="s">
        <v>98</v>
      </c>
      <c r="B34">
        <v>155</v>
      </c>
      <c r="C34">
        <v>64</v>
      </c>
      <c r="D34">
        <v>20</v>
      </c>
      <c r="E34">
        <v>0</v>
      </c>
      <c r="F34">
        <v>28812.826393418902</v>
      </c>
      <c r="G34">
        <v>1</v>
      </c>
      <c r="H34">
        <v>1</v>
      </c>
      <c r="I34" t="s">
        <v>207</v>
      </c>
    </row>
    <row r="35" spans="1:9" x14ac:dyDescent="0.2">
      <c r="A35" t="s">
        <v>99</v>
      </c>
      <c r="B35">
        <v>210</v>
      </c>
      <c r="C35">
        <v>86</v>
      </c>
      <c r="D35">
        <v>24</v>
      </c>
      <c r="E35">
        <v>0</v>
      </c>
      <c r="F35">
        <v>28818.351760025998</v>
      </c>
      <c r="G35">
        <v>1</v>
      </c>
      <c r="H35">
        <v>1</v>
      </c>
      <c r="I35" t="s">
        <v>208</v>
      </c>
    </row>
    <row r="36" spans="1:9" x14ac:dyDescent="0.2">
      <c r="A36" t="s">
        <v>100</v>
      </c>
      <c r="B36">
        <v>260</v>
      </c>
      <c r="C36">
        <v>106</v>
      </c>
      <c r="D36">
        <v>22</v>
      </c>
      <c r="E36">
        <v>0</v>
      </c>
      <c r="F36">
        <v>28814.662353338601</v>
      </c>
      <c r="G36">
        <v>1</v>
      </c>
      <c r="H36">
        <v>1</v>
      </c>
      <c r="I36" t="s">
        <v>209</v>
      </c>
    </row>
    <row r="37" spans="1:9" x14ac:dyDescent="0.2">
      <c r="A37" t="s">
        <v>101</v>
      </c>
      <c r="B37">
        <v>290</v>
      </c>
      <c r="C37">
        <v>118</v>
      </c>
      <c r="D37">
        <v>20</v>
      </c>
      <c r="E37">
        <v>0</v>
      </c>
      <c r="F37">
        <v>28817.793277174202</v>
      </c>
      <c r="G37">
        <v>1</v>
      </c>
      <c r="H37">
        <v>1</v>
      </c>
      <c r="I37" t="s">
        <v>212</v>
      </c>
    </row>
    <row r="38" spans="1:9" x14ac:dyDescent="0.2">
      <c r="A38" t="s">
        <v>102</v>
      </c>
      <c r="B38">
        <v>300</v>
      </c>
      <c r="C38">
        <v>122</v>
      </c>
      <c r="D38">
        <v>20</v>
      </c>
      <c r="E38">
        <v>0</v>
      </c>
      <c r="F38">
        <v>28817.521620877</v>
      </c>
      <c r="G38">
        <v>1</v>
      </c>
      <c r="H38">
        <v>1</v>
      </c>
      <c r="I38" t="s">
        <v>213</v>
      </c>
    </row>
    <row r="39" spans="1:9" x14ac:dyDescent="0.2">
      <c r="A39" t="s">
        <v>103</v>
      </c>
      <c r="B39">
        <v>305</v>
      </c>
      <c r="C39">
        <v>124</v>
      </c>
      <c r="D39">
        <v>24</v>
      </c>
      <c r="E39">
        <v>0</v>
      </c>
      <c r="F39">
        <v>28817.957364104601</v>
      </c>
      <c r="G39">
        <v>1</v>
      </c>
      <c r="H39">
        <v>1</v>
      </c>
      <c r="I39" t="s">
        <v>217</v>
      </c>
    </row>
    <row r="40" spans="1:9" x14ac:dyDescent="0.2">
      <c r="A40" t="s">
        <v>104</v>
      </c>
      <c r="B40">
        <v>335</v>
      </c>
      <c r="C40">
        <v>136</v>
      </c>
      <c r="D40">
        <v>22</v>
      </c>
      <c r="E40">
        <v>0</v>
      </c>
      <c r="F40">
        <v>28817.3673491552</v>
      </c>
      <c r="G40">
        <v>1</v>
      </c>
      <c r="H40">
        <v>1</v>
      </c>
      <c r="I40" t="s">
        <v>218</v>
      </c>
    </row>
    <row r="41" spans="1:9" x14ac:dyDescent="0.2">
      <c r="A41" t="s">
        <v>105</v>
      </c>
      <c r="B41">
        <v>365</v>
      </c>
      <c r="C41">
        <v>148</v>
      </c>
      <c r="D41">
        <v>24</v>
      </c>
      <c r="E41">
        <v>0</v>
      </c>
      <c r="F41">
        <v>28816.962175875899</v>
      </c>
      <c r="G41">
        <v>1</v>
      </c>
      <c r="H41">
        <v>1</v>
      </c>
      <c r="I41" t="s">
        <v>219</v>
      </c>
    </row>
    <row r="42" spans="1:9" x14ac:dyDescent="0.2">
      <c r="A42" t="s">
        <v>106</v>
      </c>
      <c r="B42">
        <v>400</v>
      </c>
      <c r="C42">
        <v>162</v>
      </c>
      <c r="D42">
        <v>22</v>
      </c>
      <c r="E42">
        <v>0</v>
      </c>
      <c r="F42">
        <v>28821.783498525601</v>
      </c>
      <c r="G42">
        <v>1</v>
      </c>
      <c r="H42">
        <v>1</v>
      </c>
      <c r="I42" t="s">
        <v>244</v>
      </c>
    </row>
    <row r="43" spans="1:9" x14ac:dyDescent="0.2">
      <c r="A43" t="s">
        <v>107</v>
      </c>
      <c r="B43">
        <v>425</v>
      </c>
      <c r="C43">
        <v>172</v>
      </c>
      <c r="D43">
        <v>24</v>
      </c>
      <c r="E43">
        <v>0</v>
      </c>
      <c r="F43">
        <v>28818.2352726832</v>
      </c>
      <c r="G43">
        <v>1</v>
      </c>
      <c r="H43">
        <v>1</v>
      </c>
      <c r="I43" t="s">
        <v>245</v>
      </c>
    </row>
    <row r="44" spans="1:9" x14ac:dyDescent="0.2">
      <c r="A44" t="s">
        <v>108</v>
      </c>
      <c r="B44">
        <v>475</v>
      </c>
      <c r="C44">
        <v>192</v>
      </c>
      <c r="D44">
        <v>24</v>
      </c>
      <c r="E44">
        <v>0</v>
      </c>
      <c r="F44">
        <v>28815.215383238999</v>
      </c>
      <c r="G44">
        <v>1</v>
      </c>
      <c r="H44">
        <v>1</v>
      </c>
      <c r="I44" t="s">
        <v>246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6FD23-2671-CB45-B947-E2776D6C94D3}">
  <dimension ref="A1:I43"/>
  <sheetViews>
    <sheetView topLeftCell="A9" workbookViewId="0">
      <selection activeCell="F25" sqref="F25:F43"/>
    </sheetView>
  </sheetViews>
  <sheetFormatPr baseColWidth="10" defaultRowHeight="16" x14ac:dyDescent="0.2"/>
  <sheetData>
    <row r="1" spans="1:1" x14ac:dyDescent="0.2">
      <c r="A1" s="13" t="s">
        <v>0</v>
      </c>
    </row>
    <row r="2" spans="1:1" x14ac:dyDescent="0.2">
      <c r="A2" s="13" t="s">
        <v>1</v>
      </c>
    </row>
    <row r="3" spans="1:1" x14ac:dyDescent="0.2">
      <c r="A3" s="21" t="s">
        <v>80</v>
      </c>
    </row>
    <row r="4" spans="1:1" x14ac:dyDescent="0.2">
      <c r="A4" s="22" t="s">
        <v>2</v>
      </c>
    </row>
    <row r="5" spans="1:1" x14ac:dyDescent="0.2">
      <c r="A5" s="21" t="s">
        <v>44</v>
      </c>
    </row>
    <row r="6" spans="1:1" x14ac:dyDescent="0.2">
      <c r="A6" s="22" t="s">
        <v>4</v>
      </c>
    </row>
    <row r="7" spans="1:1" x14ac:dyDescent="0.2">
      <c r="A7" s="13" t="s">
        <v>30</v>
      </c>
    </row>
    <row r="8" spans="1:1" x14ac:dyDescent="0.2">
      <c r="A8" s="21" t="s">
        <v>5</v>
      </c>
    </row>
    <row r="9" spans="1:1" x14ac:dyDescent="0.2">
      <c r="A9" s="22" t="s">
        <v>6</v>
      </c>
    </row>
    <row r="10" spans="1:1" x14ac:dyDescent="0.2">
      <c r="A10" s="13" t="s">
        <v>7</v>
      </c>
    </row>
    <row r="11" spans="1:1" x14ac:dyDescent="0.2">
      <c r="A11" s="13" t="s">
        <v>8</v>
      </c>
    </row>
    <row r="12" spans="1:1" x14ac:dyDescent="0.2">
      <c r="A12" s="13" t="s">
        <v>9</v>
      </c>
    </row>
    <row r="13" spans="1:1" x14ac:dyDescent="0.2">
      <c r="A13" s="13" t="s">
        <v>10</v>
      </c>
    </row>
    <row r="14" spans="1:1" x14ac:dyDescent="0.2">
      <c r="A14" s="13" t="s">
        <v>11</v>
      </c>
    </row>
    <row r="15" spans="1:1" x14ac:dyDescent="0.2">
      <c r="A15" s="13" t="s">
        <v>12</v>
      </c>
    </row>
    <row r="16" spans="1:1" x14ac:dyDescent="0.2">
      <c r="A16" s="13" t="s">
        <v>13</v>
      </c>
    </row>
    <row r="17" spans="1:9" x14ac:dyDescent="0.2">
      <c r="A17" s="13" t="s">
        <v>14</v>
      </c>
    </row>
    <row r="18" spans="1:9" x14ac:dyDescent="0.2">
      <c r="A18" s="13" t="s">
        <v>15</v>
      </c>
    </row>
    <row r="19" spans="1:9" x14ac:dyDescent="0.2">
      <c r="A19" s="13" t="s">
        <v>16</v>
      </c>
    </row>
    <row r="20" spans="1:9" x14ac:dyDescent="0.2">
      <c r="A20" t="s">
        <v>17</v>
      </c>
    </row>
    <row r="21" spans="1:9" x14ac:dyDescent="0.2">
      <c r="A21" t="s">
        <v>18</v>
      </c>
    </row>
    <row r="22" spans="1:9" x14ac:dyDescent="0.2">
      <c r="A22" t="s">
        <v>165</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82</v>
      </c>
      <c r="B25">
        <v>5</v>
      </c>
      <c r="C25">
        <v>4</v>
      </c>
      <c r="D25">
        <v>2</v>
      </c>
      <c r="E25">
        <v>0</v>
      </c>
      <c r="F25">
        <v>1.5531606990844</v>
      </c>
      <c r="G25">
        <v>10000</v>
      </c>
      <c r="H25">
        <v>10000</v>
      </c>
      <c r="I25" t="s">
        <v>166</v>
      </c>
    </row>
    <row r="26" spans="1:9" x14ac:dyDescent="0.2">
      <c r="A26" t="s">
        <v>84</v>
      </c>
      <c r="B26">
        <v>20</v>
      </c>
      <c r="C26">
        <v>10</v>
      </c>
      <c r="D26">
        <v>4</v>
      </c>
      <c r="E26">
        <v>0</v>
      </c>
      <c r="F26">
        <v>3.4052417436614602</v>
      </c>
      <c r="G26">
        <v>9834</v>
      </c>
      <c r="H26">
        <v>10000</v>
      </c>
      <c r="I26" t="s">
        <v>167</v>
      </c>
    </row>
    <row r="27" spans="1:9" x14ac:dyDescent="0.2">
      <c r="A27" t="s">
        <v>86</v>
      </c>
      <c r="B27">
        <v>35</v>
      </c>
      <c r="C27">
        <v>16</v>
      </c>
      <c r="D27">
        <v>6</v>
      </c>
      <c r="E27">
        <v>0</v>
      </c>
      <c r="F27">
        <v>5.5988932731561301</v>
      </c>
      <c r="G27">
        <v>7178</v>
      </c>
      <c r="H27">
        <v>10000</v>
      </c>
      <c r="I27" t="s">
        <v>168</v>
      </c>
    </row>
    <row r="28" spans="1:9" x14ac:dyDescent="0.2">
      <c r="A28" t="s">
        <v>88</v>
      </c>
      <c r="B28">
        <v>50</v>
      </c>
      <c r="C28">
        <v>22</v>
      </c>
      <c r="D28">
        <v>8</v>
      </c>
      <c r="E28">
        <v>0</v>
      </c>
      <c r="F28">
        <v>8.16596573079004</v>
      </c>
      <c r="G28">
        <v>9780</v>
      </c>
      <c r="H28">
        <v>10000</v>
      </c>
      <c r="I28" t="s">
        <v>169</v>
      </c>
    </row>
    <row r="29" spans="1:9" x14ac:dyDescent="0.2">
      <c r="A29" t="s">
        <v>90</v>
      </c>
      <c r="B29">
        <v>65</v>
      </c>
      <c r="C29">
        <v>28</v>
      </c>
      <c r="D29">
        <v>10</v>
      </c>
      <c r="E29">
        <v>0</v>
      </c>
      <c r="F29">
        <v>10.5709480531513</v>
      </c>
      <c r="G29">
        <v>6893</v>
      </c>
      <c r="H29">
        <v>10000</v>
      </c>
      <c r="I29" t="s">
        <v>170</v>
      </c>
    </row>
    <row r="30" spans="1:9" x14ac:dyDescent="0.2">
      <c r="A30" t="s">
        <v>92</v>
      </c>
      <c r="B30">
        <v>80</v>
      </c>
      <c r="C30">
        <v>34</v>
      </c>
      <c r="D30">
        <v>12</v>
      </c>
      <c r="E30">
        <v>0</v>
      </c>
      <c r="F30">
        <v>13.1093265530653</v>
      </c>
      <c r="G30">
        <v>4103</v>
      </c>
      <c r="H30">
        <v>10000</v>
      </c>
      <c r="I30" t="s">
        <v>171</v>
      </c>
    </row>
    <row r="31" spans="1:9" x14ac:dyDescent="0.2">
      <c r="A31" t="s">
        <v>94</v>
      </c>
      <c r="B31">
        <v>105</v>
      </c>
      <c r="C31">
        <v>44</v>
      </c>
      <c r="D31">
        <v>16</v>
      </c>
      <c r="E31">
        <v>0</v>
      </c>
      <c r="F31">
        <v>18.458086018916202</v>
      </c>
      <c r="G31">
        <v>4878</v>
      </c>
      <c r="H31">
        <v>10000</v>
      </c>
      <c r="I31" t="s">
        <v>172</v>
      </c>
    </row>
    <row r="32" spans="1:9" x14ac:dyDescent="0.2">
      <c r="A32" t="s">
        <v>96</v>
      </c>
      <c r="B32">
        <v>150</v>
      </c>
      <c r="C32">
        <v>62</v>
      </c>
      <c r="D32">
        <v>16</v>
      </c>
      <c r="E32">
        <v>0</v>
      </c>
      <c r="F32">
        <v>30.927501353900801</v>
      </c>
      <c r="G32">
        <v>1524</v>
      </c>
      <c r="H32">
        <v>10000</v>
      </c>
      <c r="I32" t="s">
        <v>173</v>
      </c>
    </row>
    <row r="33" spans="1:9" x14ac:dyDescent="0.2">
      <c r="A33" t="s">
        <v>98</v>
      </c>
      <c r="B33">
        <v>155</v>
      </c>
      <c r="C33">
        <v>64</v>
      </c>
      <c r="D33">
        <v>20</v>
      </c>
      <c r="E33">
        <v>0</v>
      </c>
      <c r="F33">
        <v>32.450160908047103</v>
      </c>
      <c r="G33">
        <v>1294</v>
      </c>
      <c r="H33">
        <v>10000</v>
      </c>
      <c r="I33" t="s">
        <v>174</v>
      </c>
    </row>
    <row r="34" spans="1:9" x14ac:dyDescent="0.2">
      <c r="A34" t="s">
        <v>99</v>
      </c>
      <c r="B34">
        <v>210</v>
      </c>
      <c r="C34">
        <v>86</v>
      </c>
      <c r="D34">
        <v>24</v>
      </c>
      <c r="E34">
        <v>0</v>
      </c>
      <c r="F34">
        <v>51.849407617933998</v>
      </c>
      <c r="G34">
        <v>227</v>
      </c>
      <c r="H34">
        <v>10000</v>
      </c>
      <c r="I34" t="s">
        <v>175</v>
      </c>
    </row>
    <row r="35" spans="1:9" x14ac:dyDescent="0.2">
      <c r="A35" t="s">
        <v>100</v>
      </c>
      <c r="B35">
        <v>260</v>
      </c>
      <c r="C35">
        <v>106</v>
      </c>
      <c r="D35">
        <v>22</v>
      </c>
      <c r="E35">
        <v>0</v>
      </c>
      <c r="F35">
        <v>73.248180310241807</v>
      </c>
      <c r="G35">
        <v>80</v>
      </c>
      <c r="H35">
        <v>10000</v>
      </c>
      <c r="I35" t="s">
        <v>176</v>
      </c>
    </row>
    <row r="36" spans="1:9" x14ac:dyDescent="0.2">
      <c r="A36" t="s">
        <v>101</v>
      </c>
      <c r="B36">
        <v>290</v>
      </c>
      <c r="C36">
        <v>118</v>
      </c>
      <c r="D36">
        <v>20</v>
      </c>
      <c r="E36">
        <v>0</v>
      </c>
      <c r="F36">
        <v>89.927385971881407</v>
      </c>
      <c r="G36">
        <v>144</v>
      </c>
      <c r="H36">
        <v>10000</v>
      </c>
      <c r="I36" t="s">
        <v>177</v>
      </c>
    </row>
    <row r="37" spans="1:9" x14ac:dyDescent="0.2">
      <c r="A37" t="s">
        <v>102</v>
      </c>
      <c r="B37">
        <v>300</v>
      </c>
      <c r="C37">
        <v>122</v>
      </c>
      <c r="D37">
        <v>20</v>
      </c>
      <c r="E37">
        <v>0</v>
      </c>
      <c r="F37">
        <v>95.076091315131606</v>
      </c>
      <c r="G37">
        <v>345</v>
      </c>
      <c r="H37">
        <v>10000</v>
      </c>
      <c r="I37" t="s">
        <v>178</v>
      </c>
    </row>
    <row r="38" spans="1:9" x14ac:dyDescent="0.2">
      <c r="A38" t="s">
        <v>103</v>
      </c>
      <c r="B38">
        <v>305</v>
      </c>
      <c r="C38">
        <v>124</v>
      </c>
      <c r="D38">
        <v>24</v>
      </c>
      <c r="E38">
        <v>0</v>
      </c>
      <c r="F38">
        <v>97.585344456136198</v>
      </c>
      <c r="G38">
        <v>130</v>
      </c>
      <c r="H38">
        <v>10000</v>
      </c>
      <c r="I38" t="s">
        <v>179</v>
      </c>
    </row>
    <row r="39" spans="1:9" x14ac:dyDescent="0.2">
      <c r="A39" t="s">
        <v>104</v>
      </c>
      <c r="B39">
        <v>335</v>
      </c>
      <c r="C39">
        <v>136</v>
      </c>
      <c r="D39">
        <v>22</v>
      </c>
      <c r="E39">
        <v>0</v>
      </c>
      <c r="F39">
        <v>116.390246111899</v>
      </c>
      <c r="G39">
        <v>132</v>
      </c>
      <c r="H39">
        <v>10000</v>
      </c>
      <c r="I39" t="s">
        <v>180</v>
      </c>
    </row>
    <row r="40" spans="1:9" x14ac:dyDescent="0.2">
      <c r="A40" t="s">
        <v>105</v>
      </c>
      <c r="B40">
        <v>365</v>
      </c>
      <c r="C40">
        <v>148</v>
      </c>
      <c r="D40">
        <v>24</v>
      </c>
      <c r="E40">
        <v>0</v>
      </c>
      <c r="F40">
        <v>137.868691191077</v>
      </c>
      <c r="G40">
        <v>105</v>
      </c>
      <c r="H40">
        <v>10000</v>
      </c>
      <c r="I40" t="s">
        <v>181</v>
      </c>
    </row>
    <row r="41" spans="1:9" x14ac:dyDescent="0.2">
      <c r="A41" t="s">
        <v>106</v>
      </c>
      <c r="B41">
        <v>400</v>
      </c>
      <c r="C41">
        <v>162</v>
      </c>
      <c r="D41">
        <v>22</v>
      </c>
      <c r="E41">
        <v>0</v>
      </c>
      <c r="F41">
        <v>161.420932446606</v>
      </c>
      <c r="G41">
        <v>185</v>
      </c>
      <c r="H41">
        <v>10000</v>
      </c>
      <c r="I41" t="s">
        <v>182</v>
      </c>
    </row>
    <row r="42" spans="1:9" x14ac:dyDescent="0.2">
      <c r="A42" t="s">
        <v>107</v>
      </c>
      <c r="B42">
        <v>425</v>
      </c>
      <c r="C42">
        <v>172</v>
      </c>
      <c r="D42">
        <v>24</v>
      </c>
      <c r="E42">
        <v>0</v>
      </c>
      <c r="F42">
        <v>183.865035309456</v>
      </c>
      <c r="G42">
        <v>162</v>
      </c>
      <c r="H42">
        <v>10000</v>
      </c>
      <c r="I42" t="s">
        <v>183</v>
      </c>
    </row>
    <row r="43" spans="1:9" x14ac:dyDescent="0.2">
      <c r="A43" t="s">
        <v>108</v>
      </c>
      <c r="B43">
        <v>475</v>
      </c>
      <c r="C43">
        <v>192</v>
      </c>
      <c r="D43">
        <v>24</v>
      </c>
      <c r="E43">
        <v>0</v>
      </c>
      <c r="F43">
        <v>231.66821511276001</v>
      </c>
      <c r="G43">
        <v>157</v>
      </c>
      <c r="H43">
        <v>10000</v>
      </c>
      <c r="I43" t="s">
        <v>184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FD46F-B079-1F4D-95E9-F0165D49905B}">
  <dimension ref="A1:I52"/>
  <sheetViews>
    <sheetView workbookViewId="0">
      <selection sqref="A1:XFD1048576"/>
    </sheetView>
  </sheetViews>
  <sheetFormatPr baseColWidth="10" defaultRowHeight="16" x14ac:dyDescent="0.2"/>
  <sheetData>
    <row r="1" spans="1:1" x14ac:dyDescent="0.2">
      <c r="A1" t="s">
        <v>0</v>
      </c>
    </row>
    <row r="2" spans="1:1" x14ac:dyDescent="0.2">
      <c r="A2" t="s">
        <v>1</v>
      </c>
    </row>
    <row r="3" spans="1:1" x14ac:dyDescent="0.2">
      <c r="A3" t="s">
        <v>259</v>
      </c>
    </row>
    <row r="4" spans="1:1" x14ac:dyDescent="0.2">
      <c r="A4" t="s">
        <v>407</v>
      </c>
    </row>
    <row r="5" spans="1:1" x14ac:dyDescent="0.2">
      <c r="A5" t="s">
        <v>80</v>
      </c>
    </row>
    <row r="6" spans="1:1" x14ac:dyDescent="0.2">
      <c r="A6" t="s">
        <v>2</v>
      </c>
    </row>
    <row r="7" spans="1:1" x14ac:dyDescent="0.2">
      <c r="A7" t="s">
        <v>44</v>
      </c>
    </row>
    <row r="8" spans="1:1" x14ac:dyDescent="0.2">
      <c r="A8" t="s">
        <v>4</v>
      </c>
    </row>
    <row r="9" spans="1:1" x14ac:dyDescent="0.2">
      <c r="A9" t="s">
        <v>30</v>
      </c>
    </row>
    <row r="10" spans="1:1" x14ac:dyDescent="0.2">
      <c r="A10" t="s">
        <v>325</v>
      </c>
    </row>
    <row r="11" spans="1:1" x14ac:dyDescent="0.2">
      <c r="A11" t="s">
        <v>326</v>
      </c>
    </row>
    <row r="12" spans="1:1" x14ac:dyDescent="0.2">
      <c r="A12" t="s">
        <v>5</v>
      </c>
    </row>
    <row r="13" spans="1:1" x14ac:dyDescent="0.2">
      <c r="A13" t="s">
        <v>6</v>
      </c>
    </row>
    <row r="14" spans="1:1" x14ac:dyDescent="0.2">
      <c r="A14" t="s">
        <v>7</v>
      </c>
    </row>
    <row r="15" spans="1:1" x14ac:dyDescent="0.2">
      <c r="A15" t="s">
        <v>8</v>
      </c>
    </row>
    <row r="16" spans="1:1" x14ac:dyDescent="0.2">
      <c r="A16" t="s">
        <v>9</v>
      </c>
    </row>
    <row r="17" spans="1:1" x14ac:dyDescent="0.2">
      <c r="A17" t="s">
        <v>380</v>
      </c>
    </row>
    <row r="18" spans="1:1" x14ac:dyDescent="0.2">
      <c r="A18" t="s">
        <v>328</v>
      </c>
    </row>
    <row r="19" spans="1:1" x14ac:dyDescent="0.2">
      <c r="A19" t="s">
        <v>10</v>
      </c>
    </row>
    <row r="20" spans="1:1" x14ac:dyDescent="0.2">
      <c r="A20" t="s">
        <v>14</v>
      </c>
    </row>
    <row r="21" spans="1:1" x14ac:dyDescent="0.2">
      <c r="A21" t="s">
        <v>261</v>
      </c>
    </row>
    <row r="22" spans="1:1" x14ac:dyDescent="0.2">
      <c r="A22" t="s">
        <v>16</v>
      </c>
    </row>
    <row r="23" spans="1:1" x14ac:dyDescent="0.2">
      <c r="A23" t="s">
        <v>262</v>
      </c>
    </row>
    <row r="24" spans="1:1" x14ac:dyDescent="0.2">
      <c r="A24" t="s">
        <v>381</v>
      </c>
    </row>
    <row r="25" spans="1:1" x14ac:dyDescent="0.2">
      <c r="A25" t="s">
        <v>382</v>
      </c>
    </row>
    <row r="26" spans="1:1" x14ac:dyDescent="0.2">
      <c r="A26" t="s">
        <v>383</v>
      </c>
    </row>
    <row r="27" spans="1:1" x14ac:dyDescent="0.2">
      <c r="A27" t="s">
        <v>384</v>
      </c>
    </row>
    <row r="28" spans="1:1" x14ac:dyDescent="0.2">
      <c r="A28" t="s">
        <v>408</v>
      </c>
    </row>
    <row r="29" spans="1:1" x14ac:dyDescent="0.2">
      <c r="A29" t="s">
        <v>281</v>
      </c>
    </row>
    <row r="30" spans="1:1" x14ac:dyDescent="0.2">
      <c r="A30" t="s">
        <v>18</v>
      </c>
    </row>
    <row r="31" spans="1:1" x14ac:dyDescent="0.2">
      <c r="A31" t="s">
        <v>409</v>
      </c>
    </row>
    <row r="32" spans="1:1" x14ac:dyDescent="0.2">
      <c r="A32" t="s">
        <v>19</v>
      </c>
    </row>
    <row r="33" spans="1:9" x14ac:dyDescent="0.2">
      <c r="A33" t="s">
        <v>20</v>
      </c>
      <c r="B33" t="s">
        <v>21</v>
      </c>
      <c r="C33" t="s">
        <v>22</v>
      </c>
      <c r="D33" t="s">
        <v>23</v>
      </c>
      <c r="E33" t="s">
        <v>24</v>
      </c>
      <c r="F33" t="s">
        <v>25</v>
      </c>
      <c r="G33" t="s">
        <v>26</v>
      </c>
      <c r="H33" t="s">
        <v>27</v>
      </c>
      <c r="I33" t="s">
        <v>28</v>
      </c>
    </row>
    <row r="34" spans="1:9" x14ac:dyDescent="0.2">
      <c r="A34" t="s">
        <v>82</v>
      </c>
      <c r="B34">
        <v>5</v>
      </c>
      <c r="C34">
        <v>4</v>
      </c>
      <c r="D34">
        <v>2</v>
      </c>
      <c r="E34">
        <v>0</v>
      </c>
      <c r="F34">
        <v>1.2516234777867701</v>
      </c>
      <c r="G34">
        <v>10000</v>
      </c>
      <c r="H34">
        <v>10000</v>
      </c>
      <c r="I34" t="s">
        <v>385</v>
      </c>
    </row>
    <row r="35" spans="1:9" x14ac:dyDescent="0.2">
      <c r="A35" t="s">
        <v>84</v>
      </c>
      <c r="B35">
        <v>20</v>
      </c>
      <c r="C35">
        <v>10</v>
      </c>
      <c r="D35">
        <v>4</v>
      </c>
      <c r="E35">
        <v>0</v>
      </c>
      <c r="F35">
        <v>1.5715380311012199</v>
      </c>
      <c r="G35">
        <v>9996</v>
      </c>
      <c r="H35">
        <v>10000</v>
      </c>
      <c r="I35" t="s">
        <v>410</v>
      </c>
    </row>
    <row r="36" spans="1:9" x14ac:dyDescent="0.2">
      <c r="A36" t="s">
        <v>86</v>
      </c>
      <c r="B36">
        <v>35</v>
      </c>
      <c r="C36">
        <v>16</v>
      </c>
      <c r="D36">
        <v>6</v>
      </c>
      <c r="E36">
        <v>0</v>
      </c>
      <c r="F36">
        <v>1.85003076028078</v>
      </c>
      <c r="G36">
        <v>9918</v>
      </c>
      <c r="H36">
        <v>10000</v>
      </c>
      <c r="I36" t="s">
        <v>411</v>
      </c>
    </row>
    <row r="37" spans="1:9" x14ac:dyDescent="0.2">
      <c r="A37" t="s">
        <v>88</v>
      </c>
      <c r="B37">
        <v>50</v>
      </c>
      <c r="C37">
        <v>22</v>
      </c>
      <c r="D37">
        <v>8</v>
      </c>
      <c r="E37">
        <v>0</v>
      </c>
      <c r="F37">
        <v>2.5845944453030798</v>
      </c>
      <c r="G37">
        <v>9995</v>
      </c>
      <c r="H37">
        <v>10000</v>
      </c>
      <c r="I37" t="s">
        <v>412</v>
      </c>
    </row>
    <row r="38" spans="1:9" x14ac:dyDescent="0.2">
      <c r="A38" t="s">
        <v>90</v>
      </c>
      <c r="B38">
        <v>65</v>
      </c>
      <c r="C38">
        <v>28</v>
      </c>
      <c r="D38">
        <v>10</v>
      </c>
      <c r="E38">
        <v>0</v>
      </c>
      <c r="F38">
        <v>2.8917791219428102</v>
      </c>
      <c r="G38">
        <v>9902</v>
      </c>
      <c r="H38">
        <v>10000</v>
      </c>
      <c r="I38" t="s">
        <v>413</v>
      </c>
    </row>
    <row r="39" spans="1:9" x14ac:dyDescent="0.2">
      <c r="A39" t="s">
        <v>92</v>
      </c>
      <c r="B39">
        <v>80</v>
      </c>
      <c r="C39">
        <v>34</v>
      </c>
      <c r="D39">
        <v>12</v>
      </c>
      <c r="E39">
        <v>0</v>
      </c>
      <c r="F39">
        <v>3.15059760957956</v>
      </c>
      <c r="G39">
        <v>9217</v>
      </c>
      <c r="H39">
        <v>10000</v>
      </c>
      <c r="I39" t="s">
        <v>414</v>
      </c>
    </row>
    <row r="40" spans="1:9" x14ac:dyDescent="0.2">
      <c r="A40" t="s">
        <v>94</v>
      </c>
      <c r="B40">
        <v>105</v>
      </c>
      <c r="C40">
        <v>44</v>
      </c>
      <c r="D40">
        <v>16</v>
      </c>
      <c r="E40">
        <v>0</v>
      </c>
      <c r="F40">
        <v>4.3833787394687498</v>
      </c>
      <c r="G40">
        <v>8881</v>
      </c>
      <c r="H40">
        <v>10000</v>
      </c>
      <c r="I40" t="s">
        <v>415</v>
      </c>
    </row>
    <row r="41" spans="1:9" x14ac:dyDescent="0.2">
      <c r="A41" t="s">
        <v>96</v>
      </c>
      <c r="B41">
        <v>150</v>
      </c>
      <c r="C41">
        <v>62</v>
      </c>
      <c r="D41">
        <v>16</v>
      </c>
      <c r="E41">
        <v>0</v>
      </c>
      <c r="F41">
        <v>7.1345366081222803</v>
      </c>
      <c r="G41">
        <v>7731</v>
      </c>
      <c r="H41">
        <v>10000</v>
      </c>
      <c r="I41" t="s">
        <v>416</v>
      </c>
    </row>
    <row r="42" spans="1:9" x14ac:dyDescent="0.2">
      <c r="A42" t="s">
        <v>98</v>
      </c>
      <c r="B42">
        <v>155</v>
      </c>
      <c r="C42">
        <v>64</v>
      </c>
      <c r="D42">
        <v>20</v>
      </c>
      <c r="E42">
        <v>0</v>
      </c>
      <c r="F42">
        <v>7.6499531827866996</v>
      </c>
      <c r="G42">
        <v>7051</v>
      </c>
      <c r="H42">
        <v>10000</v>
      </c>
      <c r="I42" t="s">
        <v>417</v>
      </c>
    </row>
    <row r="43" spans="1:9" x14ac:dyDescent="0.2">
      <c r="A43" t="s">
        <v>99</v>
      </c>
      <c r="B43">
        <v>210</v>
      </c>
      <c r="C43">
        <v>86</v>
      </c>
      <c r="D43">
        <v>24</v>
      </c>
      <c r="E43">
        <v>0</v>
      </c>
      <c r="F43">
        <v>12.9100893111899</v>
      </c>
      <c r="G43">
        <v>5405</v>
      </c>
      <c r="H43">
        <v>10000</v>
      </c>
      <c r="I43" t="s">
        <v>418</v>
      </c>
    </row>
    <row r="44" spans="1:9" x14ac:dyDescent="0.2">
      <c r="A44" t="s">
        <v>100</v>
      </c>
      <c r="B44">
        <v>260</v>
      </c>
      <c r="C44">
        <v>106</v>
      </c>
      <c r="D44">
        <v>22</v>
      </c>
      <c r="E44">
        <v>0</v>
      </c>
      <c r="F44">
        <v>17.8435007883235</v>
      </c>
      <c r="G44">
        <v>4726</v>
      </c>
      <c r="H44">
        <v>10000</v>
      </c>
      <c r="I44" t="s">
        <v>419</v>
      </c>
    </row>
    <row r="45" spans="1:9" x14ac:dyDescent="0.2">
      <c r="A45" t="s">
        <v>101</v>
      </c>
      <c r="B45">
        <v>290</v>
      </c>
      <c r="C45">
        <v>118</v>
      </c>
      <c r="D45">
        <v>20</v>
      </c>
      <c r="E45">
        <v>0</v>
      </c>
      <c r="F45">
        <v>22.7706303671002</v>
      </c>
      <c r="G45">
        <v>5555</v>
      </c>
      <c r="H45">
        <v>10000</v>
      </c>
      <c r="I45" t="s">
        <v>420</v>
      </c>
    </row>
    <row r="46" spans="1:9" x14ac:dyDescent="0.2">
      <c r="A46" t="s">
        <v>102</v>
      </c>
      <c r="B46">
        <v>300</v>
      </c>
      <c r="C46">
        <v>122</v>
      </c>
      <c r="D46">
        <v>20</v>
      </c>
      <c r="E46">
        <v>0</v>
      </c>
      <c r="F46">
        <v>24.5864471271634</v>
      </c>
      <c r="G46">
        <v>6134</v>
      </c>
      <c r="H46">
        <v>10000</v>
      </c>
      <c r="I46" t="s">
        <v>421</v>
      </c>
    </row>
    <row r="47" spans="1:9" x14ac:dyDescent="0.2">
      <c r="A47" t="s">
        <v>103</v>
      </c>
      <c r="B47">
        <v>305</v>
      </c>
      <c r="C47">
        <v>124</v>
      </c>
      <c r="D47">
        <v>24</v>
      </c>
      <c r="E47">
        <v>0</v>
      </c>
      <c r="F47">
        <v>25.7991945594549</v>
      </c>
      <c r="G47">
        <v>5383</v>
      </c>
      <c r="H47">
        <v>10000</v>
      </c>
      <c r="I47" t="s">
        <v>422</v>
      </c>
    </row>
    <row r="48" spans="1:9" x14ac:dyDescent="0.2">
      <c r="A48" t="s">
        <v>104</v>
      </c>
      <c r="B48">
        <v>335</v>
      </c>
      <c r="C48">
        <v>136</v>
      </c>
      <c r="D48">
        <v>22</v>
      </c>
      <c r="E48">
        <v>0</v>
      </c>
      <c r="F48">
        <v>32.087634228169897</v>
      </c>
      <c r="G48">
        <v>5049</v>
      </c>
      <c r="H48">
        <v>10000</v>
      </c>
      <c r="I48" t="s">
        <v>423</v>
      </c>
    </row>
    <row r="49" spans="1:9" x14ac:dyDescent="0.2">
      <c r="A49" t="s">
        <v>105</v>
      </c>
      <c r="B49">
        <v>365</v>
      </c>
      <c r="C49">
        <v>148</v>
      </c>
      <c r="D49">
        <v>24</v>
      </c>
      <c r="E49">
        <v>0</v>
      </c>
      <c r="F49">
        <v>39.459415561519499</v>
      </c>
      <c r="G49">
        <v>5170</v>
      </c>
      <c r="H49">
        <v>10000</v>
      </c>
      <c r="I49" t="s">
        <v>424</v>
      </c>
    </row>
    <row r="50" spans="1:9" x14ac:dyDescent="0.2">
      <c r="A50" t="s">
        <v>106</v>
      </c>
      <c r="B50">
        <v>400</v>
      </c>
      <c r="C50">
        <v>162</v>
      </c>
      <c r="D50">
        <v>22</v>
      </c>
      <c r="E50">
        <v>0</v>
      </c>
      <c r="F50">
        <v>45.740938689559698</v>
      </c>
      <c r="G50">
        <v>5435</v>
      </c>
      <c r="H50">
        <v>10000</v>
      </c>
      <c r="I50" t="s">
        <v>425</v>
      </c>
    </row>
    <row r="51" spans="1:9" x14ac:dyDescent="0.2">
      <c r="A51" t="s">
        <v>107</v>
      </c>
      <c r="B51">
        <v>425</v>
      </c>
      <c r="C51">
        <v>172</v>
      </c>
      <c r="D51">
        <v>24</v>
      </c>
      <c r="E51">
        <v>0</v>
      </c>
      <c r="F51">
        <v>53.172922646626802</v>
      </c>
      <c r="G51">
        <v>5574</v>
      </c>
      <c r="H51">
        <v>10000</v>
      </c>
      <c r="I51" t="s">
        <v>426</v>
      </c>
    </row>
    <row r="52" spans="1:9" x14ac:dyDescent="0.2">
      <c r="A52" t="s">
        <v>108</v>
      </c>
      <c r="B52">
        <v>475</v>
      </c>
      <c r="C52">
        <v>192</v>
      </c>
      <c r="D52">
        <v>24</v>
      </c>
      <c r="E52">
        <v>0</v>
      </c>
      <c r="F52">
        <v>71.353994339704499</v>
      </c>
      <c r="G52">
        <v>5511</v>
      </c>
      <c r="H52">
        <v>10000</v>
      </c>
      <c r="I52" t="s">
        <v>427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D758-EFE7-5540-8BEC-C3C6E7E8BACC}">
  <dimension ref="A1:I43"/>
  <sheetViews>
    <sheetView topLeftCell="A9" workbookViewId="0">
      <selection activeCell="F25" sqref="F25:F43"/>
    </sheetView>
  </sheetViews>
  <sheetFormatPr baseColWidth="10" defaultRowHeight="16" x14ac:dyDescent="0.2"/>
  <sheetData>
    <row r="1" spans="1:1" x14ac:dyDescent="0.2">
      <c r="A1" s="13" t="s">
        <v>0</v>
      </c>
    </row>
    <row r="2" spans="1:1" x14ac:dyDescent="0.2">
      <c r="A2" s="13" t="s">
        <v>1</v>
      </c>
    </row>
    <row r="3" spans="1:1" x14ac:dyDescent="0.2">
      <c r="A3" s="21" t="s">
        <v>80</v>
      </c>
    </row>
    <row r="4" spans="1:1" x14ac:dyDescent="0.2">
      <c r="A4" s="22" t="s">
        <v>2</v>
      </c>
    </row>
    <row r="5" spans="1:1" x14ac:dyDescent="0.2">
      <c r="A5" s="21" t="s">
        <v>45</v>
      </c>
    </row>
    <row r="6" spans="1:1" x14ac:dyDescent="0.2">
      <c r="A6" s="22" t="s">
        <v>4</v>
      </c>
    </row>
    <row r="7" spans="1:1" x14ac:dyDescent="0.2">
      <c r="A7" s="13" t="s">
        <v>30</v>
      </c>
    </row>
    <row r="8" spans="1:1" x14ac:dyDescent="0.2">
      <c r="A8" s="21" t="s">
        <v>5</v>
      </c>
    </row>
    <row r="9" spans="1:1" x14ac:dyDescent="0.2">
      <c r="A9" s="22" t="s">
        <v>6</v>
      </c>
    </row>
    <row r="10" spans="1:1" x14ac:dyDescent="0.2">
      <c r="A10" s="13" t="s">
        <v>7</v>
      </c>
    </row>
    <row r="11" spans="1:1" x14ac:dyDescent="0.2">
      <c r="A11" s="13" t="s">
        <v>8</v>
      </c>
    </row>
    <row r="12" spans="1:1" x14ac:dyDescent="0.2">
      <c r="A12" s="13" t="s">
        <v>9</v>
      </c>
    </row>
    <row r="13" spans="1:1" x14ac:dyDescent="0.2">
      <c r="A13" s="13" t="s">
        <v>10</v>
      </c>
    </row>
    <row r="14" spans="1:1" x14ac:dyDescent="0.2">
      <c r="A14" s="13" t="s">
        <v>11</v>
      </c>
    </row>
    <row r="15" spans="1:1" x14ac:dyDescent="0.2">
      <c r="A15" s="13" t="s">
        <v>12</v>
      </c>
    </row>
    <row r="16" spans="1:1" x14ac:dyDescent="0.2">
      <c r="A16" s="13" t="s">
        <v>13</v>
      </c>
    </row>
    <row r="17" spans="1:9" x14ac:dyDescent="0.2">
      <c r="A17" s="13" t="s">
        <v>14</v>
      </c>
    </row>
    <row r="18" spans="1:9" x14ac:dyDescent="0.2">
      <c r="A18" s="13" t="s">
        <v>15</v>
      </c>
    </row>
    <row r="19" spans="1:9" x14ac:dyDescent="0.2">
      <c r="A19" s="13" t="s">
        <v>16</v>
      </c>
    </row>
    <row r="20" spans="1:9" x14ac:dyDescent="0.2">
      <c r="A20" t="s">
        <v>17</v>
      </c>
    </row>
    <row r="21" spans="1:9" x14ac:dyDescent="0.2">
      <c r="A21" t="s">
        <v>18</v>
      </c>
    </row>
    <row r="22" spans="1:9" x14ac:dyDescent="0.2">
      <c r="A22" t="s">
        <v>185</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82</v>
      </c>
      <c r="B25">
        <v>5</v>
      </c>
      <c r="C25">
        <v>4</v>
      </c>
      <c r="D25">
        <v>2</v>
      </c>
      <c r="E25">
        <v>0</v>
      </c>
      <c r="F25">
        <v>0.83639018889516503</v>
      </c>
      <c r="G25">
        <v>10000</v>
      </c>
      <c r="H25">
        <v>10000</v>
      </c>
      <c r="I25" t="s">
        <v>110</v>
      </c>
    </row>
    <row r="26" spans="1:9" x14ac:dyDescent="0.2">
      <c r="A26" t="s">
        <v>84</v>
      </c>
      <c r="B26">
        <v>20</v>
      </c>
      <c r="C26">
        <v>10</v>
      </c>
      <c r="D26">
        <v>4</v>
      </c>
      <c r="E26">
        <v>0</v>
      </c>
      <c r="F26">
        <v>1.0697287251241501</v>
      </c>
      <c r="G26">
        <v>9586</v>
      </c>
      <c r="H26">
        <v>10000</v>
      </c>
      <c r="I26" t="s">
        <v>186</v>
      </c>
    </row>
    <row r="27" spans="1:9" x14ac:dyDescent="0.2">
      <c r="A27" t="s">
        <v>86</v>
      </c>
      <c r="B27">
        <v>35</v>
      </c>
      <c r="C27">
        <v>16</v>
      </c>
      <c r="D27">
        <v>6</v>
      </c>
      <c r="E27">
        <v>0</v>
      </c>
      <c r="F27">
        <v>1.4290251228958299</v>
      </c>
      <c r="G27">
        <v>6153</v>
      </c>
      <c r="H27">
        <v>10000</v>
      </c>
      <c r="I27" t="s">
        <v>187</v>
      </c>
    </row>
    <row r="28" spans="1:9" x14ac:dyDescent="0.2">
      <c r="A28" t="s">
        <v>88</v>
      </c>
      <c r="B28">
        <v>50</v>
      </c>
      <c r="C28">
        <v>22</v>
      </c>
      <c r="D28">
        <v>8</v>
      </c>
      <c r="E28">
        <v>0</v>
      </c>
      <c r="F28">
        <v>1.86461300682276</v>
      </c>
      <c r="G28">
        <v>9690</v>
      </c>
      <c r="H28">
        <v>10000</v>
      </c>
      <c r="I28" t="s">
        <v>188</v>
      </c>
    </row>
    <row r="29" spans="1:9" x14ac:dyDescent="0.2">
      <c r="A29" t="s">
        <v>90</v>
      </c>
      <c r="B29">
        <v>65</v>
      </c>
      <c r="C29">
        <v>28</v>
      </c>
      <c r="D29">
        <v>10</v>
      </c>
      <c r="E29">
        <v>0</v>
      </c>
      <c r="F29">
        <v>2.24441807903349</v>
      </c>
      <c r="G29">
        <v>6520</v>
      </c>
      <c r="H29">
        <v>10000</v>
      </c>
      <c r="I29" t="s">
        <v>189</v>
      </c>
    </row>
    <row r="30" spans="1:9" x14ac:dyDescent="0.2">
      <c r="A30" t="s">
        <v>92</v>
      </c>
      <c r="B30">
        <v>80</v>
      </c>
      <c r="C30">
        <v>34</v>
      </c>
      <c r="D30">
        <v>12</v>
      </c>
      <c r="E30">
        <v>0</v>
      </c>
      <c r="F30">
        <v>2.7682329998351598</v>
      </c>
      <c r="G30">
        <v>3652</v>
      </c>
      <c r="H30">
        <v>10000</v>
      </c>
      <c r="I30" t="s">
        <v>190</v>
      </c>
    </row>
    <row r="31" spans="1:9" x14ac:dyDescent="0.2">
      <c r="A31" t="s">
        <v>94</v>
      </c>
      <c r="B31">
        <v>105</v>
      </c>
      <c r="C31">
        <v>44</v>
      </c>
      <c r="D31">
        <v>16</v>
      </c>
      <c r="E31">
        <v>0</v>
      </c>
      <c r="F31">
        <v>3.91402270505204</v>
      </c>
      <c r="G31">
        <v>4767</v>
      </c>
      <c r="H31">
        <v>10000</v>
      </c>
      <c r="I31" t="s">
        <v>191</v>
      </c>
    </row>
    <row r="32" spans="1:9" x14ac:dyDescent="0.2">
      <c r="A32" t="s">
        <v>96</v>
      </c>
      <c r="B32">
        <v>150</v>
      </c>
      <c r="C32">
        <v>62</v>
      </c>
      <c r="D32">
        <v>16</v>
      </c>
      <c r="E32">
        <v>0</v>
      </c>
      <c r="F32">
        <v>7.6381934862583796</v>
      </c>
      <c r="G32">
        <v>1183</v>
      </c>
      <c r="H32">
        <v>10000</v>
      </c>
      <c r="I32" t="s">
        <v>192</v>
      </c>
    </row>
    <row r="33" spans="1:9" x14ac:dyDescent="0.2">
      <c r="A33" t="s">
        <v>98</v>
      </c>
      <c r="B33">
        <v>155</v>
      </c>
      <c r="C33">
        <v>64</v>
      </c>
      <c r="D33">
        <v>20</v>
      </c>
      <c r="E33">
        <v>0</v>
      </c>
      <c r="F33">
        <v>7.6229277178645098</v>
      </c>
      <c r="G33">
        <v>1167</v>
      </c>
      <c r="H33">
        <v>10000</v>
      </c>
      <c r="I33" t="s">
        <v>193</v>
      </c>
    </row>
    <row r="34" spans="1:9" x14ac:dyDescent="0.2">
      <c r="A34" t="s">
        <v>99</v>
      </c>
      <c r="B34">
        <v>210</v>
      </c>
      <c r="C34">
        <v>86</v>
      </c>
      <c r="D34">
        <v>24</v>
      </c>
      <c r="E34">
        <v>0</v>
      </c>
      <c r="F34">
        <v>13.0120724579319</v>
      </c>
      <c r="G34">
        <v>214</v>
      </c>
      <c r="H34">
        <v>10000</v>
      </c>
      <c r="I34" t="s">
        <v>194</v>
      </c>
    </row>
    <row r="35" spans="1:9" x14ac:dyDescent="0.2">
      <c r="A35" t="s">
        <v>100</v>
      </c>
      <c r="B35">
        <v>260</v>
      </c>
      <c r="C35">
        <v>106</v>
      </c>
      <c r="D35">
        <v>22</v>
      </c>
      <c r="E35">
        <v>0</v>
      </c>
      <c r="F35">
        <v>18.9001445220783</v>
      </c>
      <c r="G35">
        <v>71</v>
      </c>
      <c r="H35">
        <v>10000</v>
      </c>
      <c r="I35" t="s">
        <v>195</v>
      </c>
    </row>
    <row r="36" spans="1:9" x14ac:dyDescent="0.2">
      <c r="A36" t="s">
        <v>101</v>
      </c>
      <c r="B36">
        <v>290</v>
      </c>
      <c r="C36">
        <v>118</v>
      </c>
      <c r="D36">
        <v>20</v>
      </c>
      <c r="E36">
        <v>0</v>
      </c>
      <c r="F36">
        <v>23.8653488298878</v>
      </c>
      <c r="G36">
        <v>133</v>
      </c>
      <c r="H36">
        <v>10000</v>
      </c>
      <c r="I36" t="s">
        <v>196</v>
      </c>
    </row>
    <row r="37" spans="1:9" x14ac:dyDescent="0.2">
      <c r="A37" t="s">
        <v>102</v>
      </c>
      <c r="B37">
        <v>300</v>
      </c>
      <c r="C37">
        <v>122</v>
      </c>
      <c r="D37">
        <v>20</v>
      </c>
      <c r="E37">
        <v>0</v>
      </c>
      <c r="F37">
        <v>25.629004656337202</v>
      </c>
      <c r="G37">
        <v>264</v>
      </c>
      <c r="H37">
        <v>10000</v>
      </c>
      <c r="I37" t="s">
        <v>197</v>
      </c>
    </row>
    <row r="38" spans="1:9" x14ac:dyDescent="0.2">
      <c r="A38" t="s">
        <v>103</v>
      </c>
      <c r="B38">
        <v>305</v>
      </c>
      <c r="C38">
        <v>124</v>
      </c>
      <c r="D38">
        <v>24</v>
      </c>
      <c r="E38">
        <v>0</v>
      </c>
      <c r="F38">
        <v>26.469133146572801</v>
      </c>
      <c r="G38">
        <v>92</v>
      </c>
      <c r="H38">
        <v>10000</v>
      </c>
      <c r="I38" t="s">
        <v>198</v>
      </c>
    </row>
    <row r="39" spans="1:9" x14ac:dyDescent="0.2">
      <c r="A39" t="s">
        <v>104</v>
      </c>
      <c r="B39">
        <v>335</v>
      </c>
      <c r="C39">
        <v>136</v>
      </c>
      <c r="D39">
        <v>22</v>
      </c>
      <c r="E39">
        <v>0</v>
      </c>
      <c r="F39">
        <v>33.215727290138602</v>
      </c>
      <c r="G39">
        <v>96</v>
      </c>
      <c r="H39">
        <v>10000</v>
      </c>
      <c r="I39" t="s">
        <v>199</v>
      </c>
    </row>
    <row r="40" spans="1:9" x14ac:dyDescent="0.2">
      <c r="A40" t="s">
        <v>105</v>
      </c>
      <c r="B40">
        <v>365</v>
      </c>
      <c r="C40">
        <v>148</v>
      </c>
      <c r="D40">
        <v>24</v>
      </c>
      <c r="E40">
        <v>0</v>
      </c>
      <c r="F40">
        <v>40.416657955851399</v>
      </c>
      <c r="G40">
        <v>125</v>
      </c>
      <c r="H40">
        <v>10000</v>
      </c>
      <c r="I40" t="s">
        <v>200</v>
      </c>
    </row>
    <row r="41" spans="1:9" x14ac:dyDescent="0.2">
      <c r="A41" t="s">
        <v>106</v>
      </c>
      <c r="B41">
        <v>400</v>
      </c>
      <c r="C41">
        <v>162</v>
      </c>
      <c r="D41">
        <v>22</v>
      </c>
      <c r="E41">
        <v>0</v>
      </c>
      <c r="F41">
        <v>46.814096285030203</v>
      </c>
      <c r="G41">
        <v>152</v>
      </c>
      <c r="H41">
        <v>10000</v>
      </c>
      <c r="I41" t="s">
        <v>201</v>
      </c>
    </row>
    <row r="42" spans="1:9" x14ac:dyDescent="0.2">
      <c r="A42" t="s">
        <v>107</v>
      </c>
      <c r="B42">
        <v>425</v>
      </c>
      <c r="C42">
        <v>172</v>
      </c>
      <c r="D42">
        <v>24</v>
      </c>
      <c r="E42">
        <v>0</v>
      </c>
      <c r="F42">
        <v>55.781340416986403</v>
      </c>
      <c r="G42">
        <v>138</v>
      </c>
      <c r="H42">
        <v>10000</v>
      </c>
      <c r="I42" t="s">
        <v>202</v>
      </c>
    </row>
    <row r="43" spans="1:9" x14ac:dyDescent="0.2">
      <c r="A43" t="s">
        <v>108</v>
      </c>
      <c r="B43">
        <v>475</v>
      </c>
      <c r="C43">
        <v>192</v>
      </c>
      <c r="D43">
        <v>24</v>
      </c>
      <c r="E43">
        <v>0</v>
      </c>
      <c r="F43">
        <v>74.846928925253394</v>
      </c>
      <c r="G43">
        <v>151</v>
      </c>
      <c r="H43">
        <v>10000</v>
      </c>
      <c r="I43" t="s">
        <v>203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02504-C25F-3A46-B1DF-72E5814D9D3B}">
  <dimension ref="A1:I50"/>
  <sheetViews>
    <sheetView topLeftCell="A21" workbookViewId="0">
      <selection activeCell="F32" sqref="F32:F50"/>
    </sheetView>
  </sheetViews>
  <sheetFormatPr baseColWidth="10" defaultRowHeight="16" x14ac:dyDescent="0.2"/>
  <sheetData>
    <row r="1" spans="1:1" x14ac:dyDescent="0.2">
      <c r="A1" t="s">
        <v>0</v>
      </c>
    </row>
    <row r="2" spans="1:1" x14ac:dyDescent="0.2">
      <c r="A2" t="s">
        <v>1</v>
      </c>
    </row>
    <row r="3" spans="1:1" x14ac:dyDescent="0.2">
      <c r="A3" t="s">
        <v>259</v>
      </c>
    </row>
    <row r="4" spans="1:1" x14ac:dyDescent="0.2">
      <c r="A4" t="s">
        <v>80</v>
      </c>
    </row>
    <row r="5" spans="1:1" x14ac:dyDescent="0.2">
      <c r="A5" t="s">
        <v>2</v>
      </c>
    </row>
    <row r="6" spans="1:1" x14ac:dyDescent="0.2">
      <c r="A6" t="s">
        <v>45</v>
      </c>
    </row>
    <row r="7" spans="1:1" x14ac:dyDescent="0.2">
      <c r="A7" t="s">
        <v>4</v>
      </c>
    </row>
    <row r="8" spans="1:1" x14ac:dyDescent="0.2">
      <c r="A8" t="s">
        <v>30</v>
      </c>
    </row>
    <row r="9" spans="1:1" x14ac:dyDescent="0.2">
      <c r="A9" t="s">
        <v>325</v>
      </c>
    </row>
    <row r="10" spans="1:1" x14ac:dyDescent="0.2">
      <c r="A10" t="s">
        <v>326</v>
      </c>
    </row>
    <row r="11" spans="1:1" x14ac:dyDescent="0.2">
      <c r="A11" t="s">
        <v>5</v>
      </c>
    </row>
    <row r="12" spans="1:1" x14ac:dyDescent="0.2">
      <c r="A12" t="s">
        <v>6</v>
      </c>
    </row>
    <row r="13" spans="1:1" x14ac:dyDescent="0.2">
      <c r="A13" t="s">
        <v>7</v>
      </c>
    </row>
    <row r="14" spans="1:1" x14ac:dyDescent="0.2">
      <c r="A14" t="s">
        <v>8</v>
      </c>
    </row>
    <row r="15" spans="1:1" x14ac:dyDescent="0.2">
      <c r="A15" t="s">
        <v>9</v>
      </c>
    </row>
    <row r="16" spans="1:1" x14ac:dyDescent="0.2">
      <c r="A16" t="s">
        <v>380</v>
      </c>
    </row>
    <row r="17" spans="1:9" x14ac:dyDescent="0.2">
      <c r="A17" t="s">
        <v>328</v>
      </c>
    </row>
    <row r="18" spans="1:9" x14ac:dyDescent="0.2">
      <c r="A18" t="s">
        <v>10</v>
      </c>
    </row>
    <row r="19" spans="1:9" x14ac:dyDescent="0.2">
      <c r="A19" t="s">
        <v>14</v>
      </c>
    </row>
    <row r="20" spans="1:9" x14ac:dyDescent="0.2">
      <c r="A20" t="s">
        <v>261</v>
      </c>
    </row>
    <row r="21" spans="1:9" x14ac:dyDescent="0.2">
      <c r="A21" t="s">
        <v>16</v>
      </c>
    </row>
    <row r="22" spans="1:9" x14ac:dyDescent="0.2">
      <c r="A22" t="s">
        <v>387</v>
      </c>
    </row>
    <row r="23" spans="1:9" x14ac:dyDescent="0.2">
      <c r="A23" t="s">
        <v>381</v>
      </c>
    </row>
    <row r="24" spans="1:9" x14ac:dyDescent="0.2">
      <c r="A24" t="s">
        <v>382</v>
      </c>
    </row>
    <row r="25" spans="1:9" x14ac:dyDescent="0.2">
      <c r="A25" t="s">
        <v>383</v>
      </c>
    </row>
    <row r="26" spans="1:9" x14ac:dyDescent="0.2">
      <c r="A26" t="s">
        <v>384</v>
      </c>
    </row>
    <row r="27" spans="1:9" x14ac:dyDescent="0.2">
      <c r="A27" t="s">
        <v>281</v>
      </c>
    </row>
    <row r="28" spans="1:9" x14ac:dyDescent="0.2">
      <c r="A28" t="s">
        <v>18</v>
      </c>
    </row>
    <row r="29" spans="1:9" x14ac:dyDescent="0.2">
      <c r="A29" t="s">
        <v>388</v>
      </c>
    </row>
    <row r="30" spans="1:9" x14ac:dyDescent="0.2">
      <c r="A30" t="s">
        <v>19</v>
      </c>
    </row>
    <row r="31" spans="1:9" x14ac:dyDescent="0.2">
      <c r="A31" t="s">
        <v>20</v>
      </c>
      <c r="B31" t="s">
        <v>21</v>
      </c>
      <c r="C31" t="s">
        <v>22</v>
      </c>
      <c r="D31" t="s">
        <v>23</v>
      </c>
      <c r="E31" t="s">
        <v>24</v>
      </c>
      <c r="F31" t="s">
        <v>25</v>
      </c>
      <c r="G31" t="s">
        <v>26</v>
      </c>
      <c r="H31" t="s">
        <v>27</v>
      </c>
      <c r="I31" t="s">
        <v>28</v>
      </c>
    </row>
    <row r="32" spans="1:9" x14ac:dyDescent="0.2">
      <c r="A32" t="s">
        <v>82</v>
      </c>
      <c r="B32">
        <v>5</v>
      </c>
      <c r="C32">
        <v>4</v>
      </c>
      <c r="D32">
        <v>2</v>
      </c>
      <c r="E32">
        <v>0</v>
      </c>
      <c r="F32">
        <v>0.72811784781515598</v>
      </c>
      <c r="G32">
        <v>10000</v>
      </c>
      <c r="H32">
        <v>10000</v>
      </c>
      <c r="I32" t="s">
        <v>386</v>
      </c>
    </row>
    <row r="33" spans="1:9" x14ac:dyDescent="0.2">
      <c r="A33" t="s">
        <v>84</v>
      </c>
      <c r="B33">
        <v>20</v>
      </c>
      <c r="C33">
        <v>10</v>
      </c>
      <c r="D33">
        <v>4</v>
      </c>
      <c r="E33">
        <v>0</v>
      </c>
      <c r="F33">
        <v>0.95120844896882695</v>
      </c>
      <c r="G33">
        <v>9573</v>
      </c>
      <c r="H33">
        <v>10000</v>
      </c>
      <c r="I33" t="s">
        <v>389</v>
      </c>
    </row>
    <row r="34" spans="1:9" x14ac:dyDescent="0.2">
      <c r="A34" t="s">
        <v>86</v>
      </c>
      <c r="B34">
        <v>35</v>
      </c>
      <c r="C34">
        <v>16</v>
      </c>
      <c r="D34">
        <v>6</v>
      </c>
      <c r="E34">
        <v>0</v>
      </c>
      <c r="F34">
        <v>1.26520340610295</v>
      </c>
      <c r="G34">
        <v>6094</v>
      </c>
      <c r="H34">
        <v>10000</v>
      </c>
      <c r="I34" t="s">
        <v>390</v>
      </c>
    </row>
    <row r="35" spans="1:9" x14ac:dyDescent="0.2">
      <c r="A35" t="s">
        <v>88</v>
      </c>
      <c r="B35">
        <v>50</v>
      </c>
      <c r="C35">
        <v>22</v>
      </c>
      <c r="D35">
        <v>8</v>
      </c>
      <c r="E35">
        <v>0</v>
      </c>
      <c r="F35">
        <v>1.6832473631948199</v>
      </c>
      <c r="G35">
        <v>9673</v>
      </c>
      <c r="H35">
        <v>10000</v>
      </c>
      <c r="I35" t="s">
        <v>391</v>
      </c>
    </row>
    <row r="36" spans="1:9" x14ac:dyDescent="0.2">
      <c r="A36" t="s">
        <v>90</v>
      </c>
      <c r="B36">
        <v>65</v>
      </c>
      <c r="C36">
        <v>28</v>
      </c>
      <c r="D36">
        <v>10</v>
      </c>
      <c r="E36">
        <v>0</v>
      </c>
      <c r="F36">
        <v>2.0396093102171999</v>
      </c>
      <c r="G36">
        <v>6478</v>
      </c>
      <c r="H36">
        <v>10000</v>
      </c>
      <c r="I36" t="s">
        <v>392</v>
      </c>
    </row>
    <row r="37" spans="1:9" x14ac:dyDescent="0.2">
      <c r="A37" t="s">
        <v>92</v>
      </c>
      <c r="B37">
        <v>80</v>
      </c>
      <c r="C37">
        <v>34</v>
      </c>
      <c r="D37">
        <v>12</v>
      </c>
      <c r="E37">
        <v>0</v>
      </c>
      <c r="F37">
        <v>2.5609413031488599</v>
      </c>
      <c r="G37">
        <v>3627</v>
      </c>
      <c r="H37">
        <v>10000</v>
      </c>
      <c r="I37" t="s">
        <v>393</v>
      </c>
    </row>
    <row r="38" spans="1:9" x14ac:dyDescent="0.2">
      <c r="A38" t="s">
        <v>94</v>
      </c>
      <c r="B38">
        <v>105</v>
      </c>
      <c r="C38">
        <v>44</v>
      </c>
      <c r="D38">
        <v>16</v>
      </c>
      <c r="E38">
        <v>0</v>
      </c>
      <c r="F38">
        <v>3.80945065058767</v>
      </c>
      <c r="G38">
        <v>4677</v>
      </c>
      <c r="H38">
        <v>10000</v>
      </c>
      <c r="I38" t="s">
        <v>394</v>
      </c>
    </row>
    <row r="39" spans="1:9" x14ac:dyDescent="0.2">
      <c r="A39" t="s">
        <v>96</v>
      </c>
      <c r="B39">
        <v>150</v>
      </c>
      <c r="C39">
        <v>62</v>
      </c>
      <c r="D39">
        <v>16</v>
      </c>
      <c r="E39">
        <v>0</v>
      </c>
      <c r="F39">
        <v>6.77960797492414</v>
      </c>
      <c r="G39">
        <v>1162</v>
      </c>
      <c r="H39">
        <v>10000</v>
      </c>
      <c r="I39" t="s">
        <v>395</v>
      </c>
    </row>
    <row r="40" spans="1:9" x14ac:dyDescent="0.2">
      <c r="A40" t="s">
        <v>98</v>
      </c>
      <c r="B40">
        <v>155</v>
      </c>
      <c r="C40">
        <v>64</v>
      </c>
      <c r="D40">
        <v>20</v>
      </c>
      <c r="E40">
        <v>0</v>
      </c>
      <c r="F40">
        <v>7.1110872915014598</v>
      </c>
      <c r="G40">
        <v>1205</v>
      </c>
      <c r="H40">
        <v>10000</v>
      </c>
      <c r="I40" t="s">
        <v>396</v>
      </c>
    </row>
    <row r="41" spans="1:9" x14ac:dyDescent="0.2">
      <c r="A41" t="s">
        <v>99</v>
      </c>
      <c r="B41">
        <v>210</v>
      </c>
      <c r="C41">
        <v>86</v>
      </c>
      <c r="D41">
        <v>24</v>
      </c>
      <c r="E41">
        <v>0</v>
      </c>
      <c r="F41">
        <v>12.421072865836299</v>
      </c>
      <c r="G41">
        <v>207</v>
      </c>
      <c r="H41">
        <v>10000</v>
      </c>
      <c r="I41" t="s">
        <v>397</v>
      </c>
    </row>
    <row r="42" spans="1:9" x14ac:dyDescent="0.2">
      <c r="A42" t="s">
        <v>100</v>
      </c>
      <c r="B42">
        <v>260</v>
      </c>
      <c r="C42">
        <v>106</v>
      </c>
      <c r="D42">
        <v>22</v>
      </c>
      <c r="E42">
        <v>0</v>
      </c>
      <c r="F42">
        <v>18.216560476459499</v>
      </c>
      <c r="G42">
        <v>70</v>
      </c>
      <c r="H42">
        <v>10000</v>
      </c>
      <c r="I42" t="s">
        <v>398</v>
      </c>
    </row>
    <row r="43" spans="1:9" x14ac:dyDescent="0.2">
      <c r="A43" t="s">
        <v>101</v>
      </c>
      <c r="B43">
        <v>290</v>
      </c>
      <c r="C43">
        <v>118</v>
      </c>
      <c r="D43">
        <v>20</v>
      </c>
      <c r="E43">
        <v>0</v>
      </c>
      <c r="F43">
        <v>22.993069109506902</v>
      </c>
      <c r="G43">
        <v>130</v>
      </c>
      <c r="H43">
        <v>10000</v>
      </c>
      <c r="I43" t="s">
        <v>399</v>
      </c>
    </row>
    <row r="44" spans="1:9" x14ac:dyDescent="0.2">
      <c r="A44" t="s">
        <v>102</v>
      </c>
      <c r="B44">
        <v>300</v>
      </c>
      <c r="C44">
        <v>122</v>
      </c>
      <c r="D44">
        <v>20</v>
      </c>
      <c r="E44">
        <v>0</v>
      </c>
      <c r="F44">
        <v>25.089682760648401</v>
      </c>
      <c r="G44">
        <v>259</v>
      </c>
      <c r="H44">
        <v>10000</v>
      </c>
      <c r="I44" t="s">
        <v>400</v>
      </c>
    </row>
    <row r="45" spans="1:9" x14ac:dyDescent="0.2">
      <c r="A45" t="s">
        <v>103</v>
      </c>
      <c r="B45">
        <v>305</v>
      </c>
      <c r="C45">
        <v>124</v>
      </c>
      <c r="D45">
        <v>24</v>
      </c>
      <c r="E45">
        <v>0</v>
      </c>
      <c r="F45">
        <v>25.676492759957899</v>
      </c>
      <c r="G45">
        <v>97</v>
      </c>
      <c r="H45">
        <v>10000</v>
      </c>
      <c r="I45" t="s">
        <v>401</v>
      </c>
    </row>
    <row r="46" spans="1:9" x14ac:dyDescent="0.2">
      <c r="A46" t="s">
        <v>104</v>
      </c>
      <c r="B46">
        <v>335</v>
      </c>
      <c r="C46">
        <v>136</v>
      </c>
      <c r="D46">
        <v>22</v>
      </c>
      <c r="E46">
        <v>0</v>
      </c>
      <c r="F46">
        <v>32.3998418776318</v>
      </c>
      <c r="G46">
        <v>98</v>
      </c>
      <c r="H46">
        <v>10000</v>
      </c>
      <c r="I46" t="s">
        <v>402</v>
      </c>
    </row>
    <row r="47" spans="1:9" x14ac:dyDescent="0.2">
      <c r="A47" t="s">
        <v>105</v>
      </c>
      <c r="B47">
        <v>365</v>
      </c>
      <c r="C47">
        <v>148</v>
      </c>
      <c r="D47">
        <v>24</v>
      </c>
      <c r="E47">
        <v>0</v>
      </c>
      <c r="F47">
        <v>39.224440872669199</v>
      </c>
      <c r="G47">
        <v>107</v>
      </c>
      <c r="H47">
        <v>10000</v>
      </c>
      <c r="I47" t="s">
        <v>403</v>
      </c>
    </row>
    <row r="48" spans="1:9" x14ac:dyDescent="0.2">
      <c r="A48" t="s">
        <v>106</v>
      </c>
      <c r="B48">
        <v>400</v>
      </c>
      <c r="C48">
        <v>162</v>
      </c>
      <c r="D48">
        <v>22</v>
      </c>
      <c r="E48">
        <v>0</v>
      </c>
      <c r="F48">
        <v>46.693441110663102</v>
      </c>
      <c r="G48">
        <v>136</v>
      </c>
      <c r="H48">
        <v>10000</v>
      </c>
      <c r="I48" t="s">
        <v>404</v>
      </c>
    </row>
    <row r="49" spans="1:9" x14ac:dyDescent="0.2">
      <c r="A49" t="s">
        <v>107</v>
      </c>
      <c r="B49">
        <v>425</v>
      </c>
      <c r="C49">
        <v>172</v>
      </c>
      <c r="D49">
        <v>24</v>
      </c>
      <c r="E49">
        <v>0</v>
      </c>
      <c r="F49">
        <v>56.686233919113803</v>
      </c>
      <c r="G49">
        <v>141</v>
      </c>
      <c r="H49">
        <v>10000</v>
      </c>
      <c r="I49" t="s">
        <v>405</v>
      </c>
    </row>
    <row r="50" spans="1:9" x14ac:dyDescent="0.2">
      <c r="A50" t="s">
        <v>108</v>
      </c>
      <c r="B50">
        <v>475</v>
      </c>
      <c r="C50">
        <v>192</v>
      </c>
      <c r="D50">
        <v>24</v>
      </c>
      <c r="E50">
        <v>0</v>
      </c>
      <c r="F50">
        <v>75.754965589381698</v>
      </c>
      <c r="G50">
        <v>170</v>
      </c>
      <c r="H50">
        <v>10000</v>
      </c>
      <c r="I50" t="s">
        <v>406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25AE3-52BE-C940-9685-9E870C3772EC}">
  <dimension ref="A1:I47"/>
  <sheetViews>
    <sheetView workbookViewId="0">
      <selection activeCell="D8" sqref="D8"/>
    </sheetView>
  </sheetViews>
  <sheetFormatPr baseColWidth="10" defaultRowHeight="16" x14ac:dyDescent="0.2"/>
  <sheetData>
    <row r="1" spans="1:1" x14ac:dyDescent="0.2">
      <c r="A1" s="13" t="s">
        <v>0</v>
      </c>
    </row>
    <row r="2" spans="1:1" x14ac:dyDescent="0.2">
      <c r="A2" s="13" t="s">
        <v>1</v>
      </c>
    </row>
    <row r="3" spans="1:1" x14ac:dyDescent="0.2">
      <c r="A3" s="21" t="s">
        <v>259</v>
      </c>
    </row>
    <row r="4" spans="1:1" x14ac:dyDescent="0.2">
      <c r="A4" s="22" t="s">
        <v>80</v>
      </c>
    </row>
    <row r="5" spans="1:1" x14ac:dyDescent="0.2">
      <c r="A5" s="21" t="s">
        <v>2</v>
      </c>
    </row>
    <row r="6" spans="1:1" x14ac:dyDescent="0.2">
      <c r="A6" s="22" t="s">
        <v>46</v>
      </c>
    </row>
    <row r="7" spans="1:1" x14ac:dyDescent="0.2">
      <c r="A7" s="13" t="s">
        <v>4</v>
      </c>
    </row>
    <row r="8" spans="1:1" x14ac:dyDescent="0.2">
      <c r="A8" s="21" t="s">
        <v>30</v>
      </c>
    </row>
    <row r="9" spans="1:1" x14ac:dyDescent="0.2">
      <c r="A9" s="22" t="s">
        <v>325</v>
      </c>
    </row>
    <row r="10" spans="1:1" x14ac:dyDescent="0.2">
      <c r="A10" s="13" t="s">
        <v>326</v>
      </c>
    </row>
    <row r="11" spans="1:1" x14ac:dyDescent="0.2">
      <c r="A11" s="13" t="s">
        <v>5</v>
      </c>
    </row>
    <row r="12" spans="1:1" x14ac:dyDescent="0.2">
      <c r="A12" s="13" t="s">
        <v>6</v>
      </c>
    </row>
    <row r="13" spans="1:1" x14ac:dyDescent="0.2">
      <c r="A13" s="13" t="s">
        <v>7</v>
      </c>
    </row>
    <row r="14" spans="1:1" x14ac:dyDescent="0.2">
      <c r="A14" s="13" t="s">
        <v>8</v>
      </c>
    </row>
    <row r="15" spans="1:1" x14ac:dyDescent="0.2">
      <c r="A15" s="13" t="s">
        <v>9</v>
      </c>
    </row>
    <row r="16" spans="1:1" x14ac:dyDescent="0.2">
      <c r="A16" s="13" t="s">
        <v>327</v>
      </c>
    </row>
    <row r="17" spans="1:9" x14ac:dyDescent="0.2">
      <c r="A17" s="13" t="s">
        <v>328</v>
      </c>
    </row>
    <row r="18" spans="1:9" x14ac:dyDescent="0.2">
      <c r="A18" s="13" t="s">
        <v>10</v>
      </c>
    </row>
    <row r="19" spans="1:9" x14ac:dyDescent="0.2">
      <c r="A19" s="13" t="s">
        <v>14</v>
      </c>
    </row>
    <row r="20" spans="1:9" x14ac:dyDescent="0.2">
      <c r="A20" t="s">
        <v>261</v>
      </c>
    </row>
    <row r="21" spans="1:9" x14ac:dyDescent="0.2">
      <c r="A21" t="s">
        <v>16</v>
      </c>
    </row>
    <row r="22" spans="1:9" x14ac:dyDescent="0.2">
      <c r="A22" t="s">
        <v>262</v>
      </c>
    </row>
    <row r="23" spans="1:9" x14ac:dyDescent="0.2">
      <c r="A23" t="s">
        <v>263</v>
      </c>
    </row>
    <row r="24" spans="1:9" x14ac:dyDescent="0.2">
      <c r="A24" t="s">
        <v>281</v>
      </c>
    </row>
    <row r="25" spans="1:9" x14ac:dyDescent="0.2">
      <c r="A25" t="s">
        <v>18</v>
      </c>
      <c r="F25" s="1"/>
    </row>
    <row r="26" spans="1:9" x14ac:dyDescent="0.2">
      <c r="A26" t="s">
        <v>352</v>
      </c>
    </row>
    <row r="27" spans="1:9" x14ac:dyDescent="0.2">
      <c r="A27" t="s">
        <v>19</v>
      </c>
    </row>
    <row r="28" spans="1:9" x14ac:dyDescent="0.2">
      <c r="A28" t="s">
        <v>20</v>
      </c>
      <c r="B28" t="s">
        <v>21</v>
      </c>
      <c r="C28" t="s">
        <v>22</v>
      </c>
      <c r="D28" t="s">
        <v>23</v>
      </c>
      <c r="E28" t="s">
        <v>24</v>
      </c>
      <c r="F28" t="s">
        <v>25</v>
      </c>
      <c r="G28" t="s">
        <v>26</v>
      </c>
      <c r="H28" t="s">
        <v>27</v>
      </c>
      <c r="I28" t="s">
        <v>28</v>
      </c>
    </row>
    <row r="29" spans="1:9" x14ac:dyDescent="0.2">
      <c r="A29" t="s">
        <v>82</v>
      </c>
      <c r="B29">
        <v>5</v>
      </c>
      <c r="C29">
        <v>4</v>
      </c>
      <c r="D29">
        <v>2</v>
      </c>
      <c r="E29">
        <v>0</v>
      </c>
      <c r="F29">
        <v>2.7510551735758699E-3</v>
      </c>
      <c r="G29">
        <v>2</v>
      </c>
      <c r="H29">
        <v>2</v>
      </c>
      <c r="I29" t="s">
        <v>353</v>
      </c>
    </row>
    <row r="30" spans="1:9" x14ac:dyDescent="0.2">
      <c r="A30" t="s">
        <v>84</v>
      </c>
      <c r="B30">
        <v>20</v>
      </c>
      <c r="C30">
        <v>10</v>
      </c>
      <c r="D30">
        <v>4</v>
      </c>
      <c r="E30">
        <v>0</v>
      </c>
      <c r="F30">
        <v>4.1603073477745004E-3</v>
      </c>
      <c r="G30">
        <v>2</v>
      </c>
      <c r="H30">
        <v>2</v>
      </c>
      <c r="I30" t="s">
        <v>354</v>
      </c>
    </row>
    <row r="31" spans="1:9" x14ac:dyDescent="0.2">
      <c r="A31" t="s">
        <v>86</v>
      </c>
      <c r="B31">
        <v>35</v>
      </c>
      <c r="C31">
        <v>16</v>
      </c>
      <c r="D31">
        <v>6</v>
      </c>
      <c r="E31">
        <v>0</v>
      </c>
      <c r="F31">
        <v>1.07365222647786E-2</v>
      </c>
      <c r="G31">
        <v>2</v>
      </c>
      <c r="H31">
        <v>6</v>
      </c>
      <c r="I31" t="s">
        <v>355</v>
      </c>
    </row>
    <row r="32" spans="1:9" x14ac:dyDescent="0.2">
      <c r="A32" t="s">
        <v>88</v>
      </c>
      <c r="B32">
        <v>50</v>
      </c>
      <c r="C32">
        <v>22</v>
      </c>
      <c r="D32">
        <v>8</v>
      </c>
      <c r="E32">
        <v>0</v>
      </c>
      <c r="F32">
        <v>9.1555456630885601E-2</v>
      </c>
      <c r="G32">
        <v>2</v>
      </c>
      <c r="H32">
        <v>9</v>
      </c>
      <c r="I32" t="s">
        <v>356</v>
      </c>
    </row>
    <row r="33" spans="1:9" x14ac:dyDescent="0.2">
      <c r="A33" t="s">
        <v>90</v>
      </c>
      <c r="B33">
        <v>65</v>
      </c>
      <c r="C33">
        <v>28</v>
      </c>
      <c r="D33">
        <v>0</v>
      </c>
      <c r="E33">
        <v>-10</v>
      </c>
      <c r="F33">
        <v>1.5821556560695098E-2</v>
      </c>
      <c r="G33">
        <v>9</v>
      </c>
      <c r="H33">
        <v>9</v>
      </c>
      <c r="I33" t="s">
        <v>357</v>
      </c>
    </row>
    <row r="34" spans="1:9" x14ac:dyDescent="0.2">
      <c r="A34" t="s">
        <v>92</v>
      </c>
      <c r="B34">
        <v>80</v>
      </c>
      <c r="C34">
        <v>34</v>
      </c>
      <c r="D34">
        <v>0</v>
      </c>
      <c r="E34">
        <v>-12</v>
      </c>
      <c r="F34">
        <v>2.02741613611578E-2</v>
      </c>
      <c r="G34">
        <v>9</v>
      </c>
      <c r="H34">
        <v>9</v>
      </c>
      <c r="I34" t="s">
        <v>358</v>
      </c>
    </row>
    <row r="35" spans="1:9" x14ac:dyDescent="0.2">
      <c r="A35" t="s">
        <v>94</v>
      </c>
      <c r="B35">
        <v>105</v>
      </c>
      <c r="C35">
        <v>44</v>
      </c>
      <c r="D35">
        <v>0</v>
      </c>
      <c r="E35">
        <v>-16</v>
      </c>
      <c r="F35">
        <v>3.0724646523594801E-2</v>
      </c>
      <c r="G35">
        <v>9</v>
      </c>
      <c r="H35">
        <v>9</v>
      </c>
      <c r="I35" t="s">
        <v>359</v>
      </c>
    </row>
    <row r="36" spans="1:9" x14ac:dyDescent="0.2">
      <c r="A36" t="s">
        <v>96</v>
      </c>
      <c r="B36">
        <v>150</v>
      </c>
      <c r="C36">
        <v>62</v>
      </c>
      <c r="D36">
        <v>0</v>
      </c>
      <c r="E36">
        <v>-16</v>
      </c>
      <c r="F36">
        <v>5.5634681135416003E-2</v>
      </c>
      <c r="G36">
        <v>9</v>
      </c>
      <c r="H36">
        <v>9</v>
      </c>
      <c r="I36" t="s">
        <v>360</v>
      </c>
    </row>
    <row r="37" spans="1:9" x14ac:dyDescent="0.2">
      <c r="A37" t="s">
        <v>98</v>
      </c>
      <c r="B37">
        <v>155</v>
      </c>
      <c r="C37">
        <v>64</v>
      </c>
      <c r="D37">
        <v>0</v>
      </c>
      <c r="E37">
        <v>-20</v>
      </c>
      <c r="F37">
        <v>5.6280314922332701E-2</v>
      </c>
      <c r="G37">
        <v>9</v>
      </c>
      <c r="H37">
        <v>9</v>
      </c>
      <c r="I37" t="s">
        <v>361</v>
      </c>
    </row>
    <row r="38" spans="1:9" x14ac:dyDescent="0.2">
      <c r="A38" t="s">
        <v>99</v>
      </c>
      <c r="B38">
        <v>210</v>
      </c>
      <c r="C38">
        <v>86</v>
      </c>
      <c r="D38">
        <v>0</v>
      </c>
      <c r="E38">
        <v>-24</v>
      </c>
      <c r="F38">
        <v>0.107663478702306</v>
      </c>
      <c r="G38">
        <v>9</v>
      </c>
      <c r="H38">
        <v>9</v>
      </c>
      <c r="I38" t="s">
        <v>362</v>
      </c>
    </row>
    <row r="39" spans="1:9" x14ac:dyDescent="0.2">
      <c r="A39" t="s">
        <v>100</v>
      </c>
      <c r="B39">
        <v>260</v>
      </c>
      <c r="C39">
        <v>106</v>
      </c>
      <c r="D39">
        <v>0</v>
      </c>
      <c r="E39">
        <v>-22</v>
      </c>
      <c r="F39">
        <v>0.171104086562991</v>
      </c>
      <c r="G39">
        <v>9</v>
      </c>
      <c r="H39">
        <v>9</v>
      </c>
      <c r="I39" t="s">
        <v>363</v>
      </c>
    </row>
    <row r="40" spans="1:9" x14ac:dyDescent="0.2">
      <c r="A40" t="s">
        <v>101</v>
      </c>
      <c r="B40">
        <v>290</v>
      </c>
      <c r="C40">
        <v>118</v>
      </c>
      <c r="D40">
        <v>0</v>
      </c>
      <c r="E40">
        <v>-20</v>
      </c>
      <c r="F40">
        <v>0.247215196490287</v>
      </c>
      <c r="G40">
        <v>9</v>
      </c>
      <c r="H40">
        <v>9</v>
      </c>
      <c r="I40" t="s">
        <v>364</v>
      </c>
    </row>
    <row r="41" spans="1:9" x14ac:dyDescent="0.2">
      <c r="A41" t="s">
        <v>102</v>
      </c>
      <c r="B41">
        <v>300</v>
      </c>
      <c r="C41">
        <v>122</v>
      </c>
      <c r="D41">
        <v>0</v>
      </c>
      <c r="E41">
        <v>-20</v>
      </c>
      <c r="F41">
        <v>0.27651543356478198</v>
      </c>
      <c r="G41">
        <v>9</v>
      </c>
      <c r="H41">
        <v>9</v>
      </c>
      <c r="I41" t="s">
        <v>365</v>
      </c>
    </row>
    <row r="42" spans="1:9" x14ac:dyDescent="0.2">
      <c r="A42" t="s">
        <v>103</v>
      </c>
      <c r="B42">
        <v>305</v>
      </c>
      <c r="C42">
        <v>124</v>
      </c>
      <c r="D42">
        <v>0</v>
      </c>
      <c r="E42">
        <v>-24</v>
      </c>
      <c r="F42">
        <v>0.28280804865062198</v>
      </c>
      <c r="G42">
        <v>9</v>
      </c>
      <c r="H42">
        <v>9</v>
      </c>
      <c r="I42" t="s">
        <v>366</v>
      </c>
    </row>
    <row r="43" spans="1:9" x14ac:dyDescent="0.2">
      <c r="A43" t="s">
        <v>104</v>
      </c>
      <c r="B43">
        <v>335</v>
      </c>
      <c r="C43">
        <v>136</v>
      </c>
      <c r="D43">
        <v>0</v>
      </c>
      <c r="E43">
        <v>-22</v>
      </c>
      <c r="F43">
        <v>0.371320625767111</v>
      </c>
      <c r="G43">
        <v>9</v>
      </c>
      <c r="H43">
        <v>9</v>
      </c>
      <c r="I43" t="s">
        <v>367</v>
      </c>
    </row>
    <row r="44" spans="1:9" x14ac:dyDescent="0.2">
      <c r="A44" t="s">
        <v>105</v>
      </c>
      <c r="B44">
        <v>365</v>
      </c>
      <c r="C44">
        <v>148</v>
      </c>
      <c r="D44">
        <v>0</v>
      </c>
      <c r="E44">
        <v>-24</v>
      </c>
      <c r="F44">
        <v>0.450473855249583</v>
      </c>
      <c r="G44">
        <v>9</v>
      </c>
      <c r="H44">
        <v>9</v>
      </c>
      <c r="I44" t="s">
        <v>368</v>
      </c>
    </row>
    <row r="45" spans="1:9" x14ac:dyDescent="0.2">
      <c r="A45" t="s">
        <v>106</v>
      </c>
      <c r="B45">
        <v>400</v>
      </c>
      <c r="C45">
        <v>162</v>
      </c>
      <c r="D45">
        <v>0</v>
      </c>
      <c r="E45">
        <v>-22</v>
      </c>
      <c r="F45">
        <v>0.51943446602672305</v>
      </c>
      <c r="G45">
        <v>9</v>
      </c>
      <c r="H45">
        <v>9</v>
      </c>
      <c r="I45" t="s">
        <v>369</v>
      </c>
    </row>
    <row r="46" spans="1:9" x14ac:dyDescent="0.2">
      <c r="A46" t="s">
        <v>107</v>
      </c>
      <c r="B46">
        <v>425</v>
      </c>
      <c r="C46">
        <v>172</v>
      </c>
      <c r="D46">
        <v>0</v>
      </c>
      <c r="E46">
        <v>-24</v>
      </c>
      <c r="F46">
        <v>0.61711182445287704</v>
      </c>
      <c r="G46">
        <v>9</v>
      </c>
      <c r="H46">
        <v>9</v>
      </c>
      <c r="I46" t="s">
        <v>370</v>
      </c>
    </row>
    <row r="47" spans="1:9" x14ac:dyDescent="0.2">
      <c r="A47" t="s">
        <v>108</v>
      </c>
      <c r="B47">
        <v>475</v>
      </c>
      <c r="C47">
        <v>192</v>
      </c>
      <c r="D47">
        <v>0</v>
      </c>
      <c r="E47">
        <v>-24</v>
      </c>
      <c r="F47">
        <v>0.83552683796733596</v>
      </c>
      <c r="G47">
        <v>9</v>
      </c>
      <c r="H47">
        <v>9</v>
      </c>
      <c r="I47" t="s">
        <v>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analysis</vt:lpstr>
      <vt:lpstr>best</vt:lpstr>
      <vt:lpstr>magma</vt:lpstr>
      <vt:lpstr>CLISAT</vt:lpstr>
      <vt:lpstr>CCStim</vt:lpstr>
      <vt:lpstr>bposdO8I10</vt:lpstr>
      <vt:lpstr>bposd</vt:lpstr>
      <vt:lpstr>m4ri_CC-start1</vt:lpstr>
      <vt:lpstr>m4ri_CC</vt:lpstr>
      <vt:lpstr>m4ri_RW</vt:lpstr>
      <vt:lpstr>GEStim</vt:lpstr>
      <vt:lpstr>Gurobi</vt:lpstr>
      <vt:lpstr>MIP-SCIP</vt:lpstr>
      <vt:lpstr>QDistEvol20251226</vt:lpstr>
      <vt:lpstr>QDistEvol</vt:lpstr>
      <vt:lpstr>QDistRndMW20251226</vt:lpstr>
      <vt:lpstr>QDistRndMW</vt:lpstr>
      <vt:lpstr>UEStim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Webster</dc:creator>
  <cp:lastModifiedBy>Mark Webster</cp:lastModifiedBy>
  <dcterms:created xsi:type="dcterms:W3CDTF">2025-12-23T14:15:23Z</dcterms:created>
  <dcterms:modified xsi:type="dcterms:W3CDTF">2026-02-21T07:05:20Z</dcterms:modified>
</cp:coreProperties>
</file>